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PC\Desktop\PROCUREMENT CETT\project\"/>
    </mc:Choice>
  </mc:AlternateContent>
  <xr:revisionPtr revIDLastSave="0" documentId="13_ncr:1_{30BBBF11-36FD-4ACE-95A1-7A06FAE0185A}" xr6:coauthVersionLast="47" xr6:coauthVersionMax="47" xr10:uidLastSave="{00000000-0000-0000-0000-000000000000}"/>
  <bookViews>
    <workbookView xWindow="-108" yWindow="-108" windowWidth="23256" windowHeight="12456" firstSheet="1" activeTab="2" xr2:uid="{08A2D586-79EB-49F3-B99D-23ADA7D83E11}"/>
  </bookViews>
  <sheets>
    <sheet name="Procurement KPI Analysis Datase" sheetId="1" r:id="rId1"/>
    <sheet name="Procurement kpi Analysis" sheetId="2" r:id="rId2"/>
    <sheet name="Analyis" sheetId="3" r:id="rId3"/>
    <sheet name="Procurement Overview" sheetId="4" r:id="rId4"/>
    <sheet name="Supplier Performance" sheetId="5" r:id="rId5"/>
    <sheet name="Recommendations" sheetId="7" r:id="rId6"/>
  </sheets>
  <definedNames>
    <definedName name="ExternalData_1" localSheetId="1" hidden="1">'Procurement kpi Analysis'!$A$1:$K$778</definedName>
    <definedName name="Slicer_Item_Category">#N/A</definedName>
    <definedName name="Slicer_Supplier">#N/A</definedName>
    <definedName name="Slicer_Years__Order_Date">#N/A</definedName>
  </definedNames>
  <calcPr calcId="191029"/>
  <pivotCaches>
    <pivotCache cacheId="6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M27" i="3" a="1"/>
  <c r="M27" i="3" s="1"/>
  <c r="D34" i="3"/>
  <c r="D35" i="3"/>
  <c r="D36" i="3"/>
  <c r="D37" i="3"/>
  <c r="D33" i="3"/>
  <c r="D45" i="3"/>
  <c r="D46" i="3"/>
  <c r="D47" i="3"/>
  <c r="D43" i="3"/>
  <c r="C61" i="3"/>
  <c r="B56" i="3" a="1"/>
  <c r="B56" i="3" s="1"/>
  <c r="P45" i="3"/>
  <c r="K83" i="3"/>
  <c r="K82" i="3"/>
  <c r="B39" i="3"/>
  <c r="N68" i="3"/>
  <c r="N69" i="3"/>
  <c r="N70" i="3"/>
  <c r="N71" i="3"/>
  <c r="N67" i="3"/>
  <c r="M68" i="3"/>
  <c r="M69" i="3"/>
  <c r="M70" i="3"/>
  <c r="M71" i="3"/>
  <c r="M67" i="3"/>
  <c r="P52" i="3"/>
  <c r="P51" i="3"/>
  <c r="P56" i="3"/>
  <c r="P55" i="3"/>
  <c r="P54" i="3"/>
  <c r="P53" i="3"/>
  <c r="P41" i="3"/>
  <c r="P42" i="3"/>
  <c r="P43" i="3"/>
  <c r="P44" i="3"/>
  <c r="P40" i="3"/>
  <c r="K5" i="3"/>
  <c r="K97" i="3"/>
  <c r="K96" i="3"/>
  <c r="K95" i="3"/>
  <c r="O5" i="3"/>
  <c r="N5" i="3"/>
  <c r="E5" i="3"/>
  <c r="D5" i="3"/>
  <c r="C5" i="3"/>
  <c r="B5" i="3"/>
  <c r="L95" i="3" l="1"/>
  <c r="L96" i="3"/>
  <c r="D4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95B51C-A599-4CB4-882F-74EAF21578AF}" keepAlive="1" name="Query - Procurement kpi Analysis" description="Connection to the 'Procurement kpi Analysis' query in the workbook." type="5" refreshedVersion="8" background="1" saveData="1">
    <dbPr connection="Provider=Microsoft.Mashup.OleDb.1;Data Source=$Workbook$;Location=&quot;Procurement kpi Analysis&quot;;Extended Properties=&quot;&quot;" command="SELECT * FROM [Procurement kpi Analysi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<sst xmlns="http://schemas.openxmlformats.org/spreadsheetml/2006/main" count="7942" uniqueCount="858">
  <si>
    <t>PO_ID</t>
  </si>
  <si>
    <t>Supplier</t>
  </si>
  <si>
    <t>Order_Date</t>
  </si>
  <si>
    <t>Delivery_Date</t>
  </si>
  <si>
    <t>Item_Category</t>
  </si>
  <si>
    <t>Order_Status</t>
  </si>
  <si>
    <t>Quantity</t>
  </si>
  <si>
    <t>Unit_Price</t>
  </si>
  <si>
    <t>Negotiated_Price</t>
  </si>
  <si>
    <t>Defective_Units</t>
  </si>
  <si>
    <t>Compliance</t>
  </si>
  <si>
    <t>PO-00001</t>
  </si>
  <si>
    <t>Alpha_Inc</t>
  </si>
  <si>
    <t>Office Supplies</t>
  </si>
  <si>
    <t>Cancelled</t>
  </si>
  <si>
    <t>Yes</t>
  </si>
  <si>
    <t>PO-00002</t>
  </si>
  <si>
    <t>Delta_Logistics</t>
  </si>
  <si>
    <t>Delivered</t>
  </si>
  <si>
    <t>PO-00003</t>
  </si>
  <si>
    <t>Gamma_Co</t>
  </si>
  <si>
    <t>MRO</t>
  </si>
  <si>
    <t>PO-00004</t>
  </si>
  <si>
    <t>Beta_Supplies</t>
  </si>
  <si>
    <t>Packaging</t>
  </si>
  <si>
    <t>PO-00005</t>
  </si>
  <si>
    <t>Raw Materials</t>
  </si>
  <si>
    <t>No</t>
  </si>
  <si>
    <t>PO-00006</t>
  </si>
  <si>
    <t>Epsilon_Group</t>
  </si>
  <si>
    <t>PO-00007</t>
  </si>
  <si>
    <t>PO-00008</t>
  </si>
  <si>
    <t>PO-00009</t>
  </si>
  <si>
    <t>Partially Delivered</t>
  </si>
  <si>
    <t>PO-00010</t>
  </si>
  <si>
    <t>Pending</t>
  </si>
  <si>
    <t>PO-00011</t>
  </si>
  <si>
    <t>PO-00012</t>
  </si>
  <si>
    <t>PO-00013</t>
  </si>
  <si>
    <t>Electronics</t>
  </si>
  <si>
    <t>PO-00014</t>
  </si>
  <si>
    <t>PO-00015</t>
  </si>
  <si>
    <t>PO-00016</t>
  </si>
  <si>
    <t>PO-00017</t>
  </si>
  <si>
    <t>PO-00018</t>
  </si>
  <si>
    <t>PO-00019</t>
  </si>
  <si>
    <t>PO-00020</t>
  </si>
  <si>
    <t>PO-00021</t>
  </si>
  <si>
    <t>PO-00022</t>
  </si>
  <si>
    <t>PO-00023</t>
  </si>
  <si>
    <t>PO-00024</t>
  </si>
  <si>
    <t>PO-00025</t>
  </si>
  <si>
    <t>PO-00026</t>
  </si>
  <si>
    <t>PO-00027</t>
  </si>
  <si>
    <t>PO-00028</t>
  </si>
  <si>
    <t>PO-00029</t>
  </si>
  <si>
    <t>PO-00030</t>
  </si>
  <si>
    <t>PO-00031</t>
  </si>
  <si>
    <t>PO-00032</t>
  </si>
  <si>
    <t>PO-00033</t>
  </si>
  <si>
    <t>PO-00034</t>
  </si>
  <si>
    <t>PO-00035</t>
  </si>
  <si>
    <t>PO-00036</t>
  </si>
  <si>
    <t>PO-00037</t>
  </si>
  <si>
    <t>PO-00038</t>
  </si>
  <si>
    <t>PO-00039</t>
  </si>
  <si>
    <t>PO-00040</t>
  </si>
  <si>
    <t>PO-00041</t>
  </si>
  <si>
    <t>PO-00042</t>
  </si>
  <si>
    <t>PO-00043</t>
  </si>
  <si>
    <t>PO-00044</t>
  </si>
  <si>
    <t>PO-00045</t>
  </si>
  <si>
    <t>PO-00046</t>
  </si>
  <si>
    <t>PO-00047</t>
  </si>
  <si>
    <t>PO-00048</t>
  </si>
  <si>
    <t>PO-00049</t>
  </si>
  <si>
    <t>PO-00050</t>
  </si>
  <si>
    <t>PO-00051</t>
  </si>
  <si>
    <t>PO-00052</t>
  </si>
  <si>
    <t>PO-00053</t>
  </si>
  <si>
    <t>PO-00054</t>
  </si>
  <si>
    <t>PO-00055</t>
  </si>
  <si>
    <t>PO-00056</t>
  </si>
  <si>
    <t>PO-00057</t>
  </si>
  <si>
    <t>PO-00058</t>
  </si>
  <si>
    <t>PO-00059</t>
  </si>
  <si>
    <t>PO-00060</t>
  </si>
  <si>
    <t>PO-00061</t>
  </si>
  <si>
    <t>PO-00062</t>
  </si>
  <si>
    <t>PO-00063</t>
  </si>
  <si>
    <t>PO-00064</t>
  </si>
  <si>
    <t>PO-00065</t>
  </si>
  <si>
    <t>PO-00066</t>
  </si>
  <si>
    <t>PO-00067</t>
  </si>
  <si>
    <t>PO-00068</t>
  </si>
  <si>
    <t>PO-00069</t>
  </si>
  <si>
    <t>PO-00070</t>
  </si>
  <si>
    <t>PO-00071</t>
  </si>
  <si>
    <t>PO-00072</t>
  </si>
  <si>
    <t>PO-00073</t>
  </si>
  <si>
    <t>PO-00074</t>
  </si>
  <si>
    <t>PO-00075</t>
  </si>
  <si>
    <t>PO-00076</t>
  </si>
  <si>
    <t>PO-00077</t>
  </si>
  <si>
    <t>PO-00078</t>
  </si>
  <si>
    <t>PO-00079</t>
  </si>
  <si>
    <t>PO-00080</t>
  </si>
  <si>
    <t>PO-00081</t>
  </si>
  <si>
    <t>PO-00082</t>
  </si>
  <si>
    <t>PO-00083</t>
  </si>
  <si>
    <t>PO-00084</t>
  </si>
  <si>
    <t>PO-00085</t>
  </si>
  <si>
    <t>PO-00086</t>
  </si>
  <si>
    <t>PO-00087</t>
  </si>
  <si>
    <t>PO-00088</t>
  </si>
  <si>
    <t>PO-00089</t>
  </si>
  <si>
    <t>PO-00090</t>
  </si>
  <si>
    <t>PO-00091</t>
  </si>
  <si>
    <t>PO-00092</t>
  </si>
  <si>
    <t>PO-00093</t>
  </si>
  <si>
    <t>PO-00094</t>
  </si>
  <si>
    <t>PO-00095</t>
  </si>
  <si>
    <t>PO-00096</t>
  </si>
  <si>
    <t>PO-00097</t>
  </si>
  <si>
    <t>PO-00098</t>
  </si>
  <si>
    <t>PO-00099</t>
  </si>
  <si>
    <t>PO-00100</t>
  </si>
  <si>
    <t>PO-00101</t>
  </si>
  <si>
    <t>PO-00102</t>
  </si>
  <si>
    <t>PO-00103</t>
  </si>
  <si>
    <t>PO-00104</t>
  </si>
  <si>
    <t>PO-00105</t>
  </si>
  <si>
    <t>PO-00106</t>
  </si>
  <si>
    <t>PO-00107</t>
  </si>
  <si>
    <t>PO-00108</t>
  </si>
  <si>
    <t>PO-00109</t>
  </si>
  <si>
    <t>PO-00110</t>
  </si>
  <si>
    <t>PO-00111</t>
  </si>
  <si>
    <t>PO-00112</t>
  </si>
  <si>
    <t>PO-00113</t>
  </si>
  <si>
    <t>PO-00114</t>
  </si>
  <si>
    <t>PO-00115</t>
  </si>
  <si>
    <t>PO-00116</t>
  </si>
  <si>
    <t>PO-00117</t>
  </si>
  <si>
    <t>PO-00118</t>
  </si>
  <si>
    <t>PO-00119</t>
  </si>
  <si>
    <t>PO-00120</t>
  </si>
  <si>
    <t>PO-00121</t>
  </si>
  <si>
    <t>PO-00122</t>
  </si>
  <si>
    <t>PO-00123</t>
  </si>
  <si>
    <t>PO-00124</t>
  </si>
  <si>
    <t>PO-00125</t>
  </si>
  <si>
    <t>PO-00126</t>
  </si>
  <si>
    <t>PO-00127</t>
  </si>
  <si>
    <t>PO-00128</t>
  </si>
  <si>
    <t>PO-00129</t>
  </si>
  <si>
    <t>PO-00130</t>
  </si>
  <si>
    <t>PO-00131</t>
  </si>
  <si>
    <t>PO-00132</t>
  </si>
  <si>
    <t>PO-00133</t>
  </si>
  <si>
    <t>PO-00134</t>
  </si>
  <si>
    <t>PO-00135</t>
  </si>
  <si>
    <t>PO-00136</t>
  </si>
  <si>
    <t>PO-00137</t>
  </si>
  <si>
    <t>PO-00138</t>
  </si>
  <si>
    <t>PO-00139</t>
  </si>
  <si>
    <t>PO-00140</t>
  </si>
  <si>
    <t>PO-00141</t>
  </si>
  <si>
    <t>PO-00142</t>
  </si>
  <si>
    <t>PO-00143</t>
  </si>
  <si>
    <t>PO-00144</t>
  </si>
  <si>
    <t>PO-00145</t>
  </si>
  <si>
    <t>PO-00146</t>
  </si>
  <si>
    <t>PO-00147</t>
  </si>
  <si>
    <t>PO-00148</t>
  </si>
  <si>
    <t>PO-00149</t>
  </si>
  <si>
    <t>PO-00150</t>
  </si>
  <si>
    <t>PO-00151</t>
  </si>
  <si>
    <t>PO-00152</t>
  </si>
  <si>
    <t>PO-00153</t>
  </si>
  <si>
    <t>PO-00154</t>
  </si>
  <si>
    <t>PO-00155</t>
  </si>
  <si>
    <t>PO-00156</t>
  </si>
  <si>
    <t>PO-00157</t>
  </si>
  <si>
    <t>PO-00158</t>
  </si>
  <si>
    <t>PO-00159</t>
  </si>
  <si>
    <t>PO-00160</t>
  </si>
  <si>
    <t>PO-00161</t>
  </si>
  <si>
    <t>PO-00162</t>
  </si>
  <si>
    <t>PO-00163</t>
  </si>
  <si>
    <t>PO-00164</t>
  </si>
  <si>
    <t>PO-00165</t>
  </si>
  <si>
    <t>PO-00166</t>
  </si>
  <si>
    <t>PO-00167</t>
  </si>
  <si>
    <t>PO-00168</t>
  </si>
  <si>
    <t>PO-00169</t>
  </si>
  <si>
    <t>PO-00170</t>
  </si>
  <si>
    <t>PO-00171</t>
  </si>
  <si>
    <t>PO-00172</t>
  </si>
  <si>
    <t>PO-00173</t>
  </si>
  <si>
    <t>PO-00174</t>
  </si>
  <si>
    <t>PO-00175</t>
  </si>
  <si>
    <t>PO-00176</t>
  </si>
  <si>
    <t>PO-00177</t>
  </si>
  <si>
    <t>PO-00178</t>
  </si>
  <si>
    <t>PO-00179</t>
  </si>
  <si>
    <t>PO-00180</t>
  </si>
  <si>
    <t>PO-00181</t>
  </si>
  <si>
    <t>PO-00182</t>
  </si>
  <si>
    <t>PO-00183</t>
  </si>
  <si>
    <t>PO-00184</t>
  </si>
  <si>
    <t>PO-00185</t>
  </si>
  <si>
    <t>PO-00186</t>
  </si>
  <si>
    <t>PO-00187</t>
  </si>
  <si>
    <t>PO-00188</t>
  </si>
  <si>
    <t>PO-00189</t>
  </si>
  <si>
    <t>PO-00190</t>
  </si>
  <si>
    <t>PO-00191</t>
  </si>
  <si>
    <t>PO-00192</t>
  </si>
  <si>
    <t>PO-00193</t>
  </si>
  <si>
    <t>PO-00194</t>
  </si>
  <si>
    <t>PO-00195</t>
  </si>
  <si>
    <t>PO-00196</t>
  </si>
  <si>
    <t>PO-00197</t>
  </si>
  <si>
    <t>PO-00198</t>
  </si>
  <si>
    <t>PO-00199</t>
  </si>
  <si>
    <t>PO-00200</t>
  </si>
  <si>
    <t>PO-00201</t>
  </si>
  <si>
    <t>PO-00202</t>
  </si>
  <si>
    <t>PO-00203</t>
  </si>
  <si>
    <t>PO-00204</t>
  </si>
  <si>
    <t>PO-00205</t>
  </si>
  <si>
    <t>PO-00206</t>
  </si>
  <si>
    <t>PO-00207</t>
  </si>
  <si>
    <t>PO-00208</t>
  </si>
  <si>
    <t>PO-00209</t>
  </si>
  <si>
    <t>PO-00210</t>
  </si>
  <si>
    <t>PO-00211</t>
  </si>
  <si>
    <t>PO-00212</t>
  </si>
  <si>
    <t>PO-00213</t>
  </si>
  <si>
    <t>PO-00214</t>
  </si>
  <si>
    <t>PO-00215</t>
  </si>
  <si>
    <t>PO-00216</t>
  </si>
  <si>
    <t>PO-00217</t>
  </si>
  <si>
    <t>PO-00218</t>
  </si>
  <si>
    <t>PO-00219</t>
  </si>
  <si>
    <t>PO-00220</t>
  </si>
  <si>
    <t>PO-00221</t>
  </si>
  <si>
    <t>PO-00222</t>
  </si>
  <si>
    <t>PO-00223</t>
  </si>
  <si>
    <t>PO-00224</t>
  </si>
  <si>
    <t>PO-00225</t>
  </si>
  <si>
    <t>PO-00226</t>
  </si>
  <si>
    <t>PO-00227</t>
  </si>
  <si>
    <t>PO-00228</t>
  </si>
  <si>
    <t>PO-00229</t>
  </si>
  <si>
    <t>PO-00230</t>
  </si>
  <si>
    <t>PO-00231</t>
  </si>
  <si>
    <t>PO-00232</t>
  </si>
  <si>
    <t>PO-00233</t>
  </si>
  <si>
    <t>PO-00234</t>
  </si>
  <si>
    <t>PO-00235</t>
  </si>
  <si>
    <t>PO-00236</t>
  </si>
  <si>
    <t>PO-00237</t>
  </si>
  <si>
    <t>PO-00238</t>
  </si>
  <si>
    <t>PO-00239</t>
  </si>
  <si>
    <t>PO-00240</t>
  </si>
  <si>
    <t>PO-00241</t>
  </si>
  <si>
    <t>PO-00242</t>
  </si>
  <si>
    <t>PO-00243</t>
  </si>
  <si>
    <t>PO-00244</t>
  </si>
  <si>
    <t>PO-00245</t>
  </si>
  <si>
    <t>PO-00246</t>
  </si>
  <si>
    <t>PO-00247</t>
  </si>
  <si>
    <t>PO-00248</t>
  </si>
  <si>
    <t>PO-00249</t>
  </si>
  <si>
    <t>PO-00250</t>
  </si>
  <si>
    <t>PO-00251</t>
  </si>
  <si>
    <t>PO-00252</t>
  </si>
  <si>
    <t>PO-00253</t>
  </si>
  <si>
    <t>PO-00254</t>
  </si>
  <si>
    <t>PO-00255</t>
  </si>
  <si>
    <t>PO-00256</t>
  </si>
  <si>
    <t>PO-00257</t>
  </si>
  <si>
    <t>PO-00258</t>
  </si>
  <si>
    <t>PO-00259</t>
  </si>
  <si>
    <t>PO-00260</t>
  </si>
  <si>
    <t>PO-00261</t>
  </si>
  <si>
    <t>PO-00262</t>
  </si>
  <si>
    <t>PO-00263</t>
  </si>
  <si>
    <t>PO-00264</t>
  </si>
  <si>
    <t>PO-00265</t>
  </si>
  <si>
    <t>PO-00266</t>
  </si>
  <si>
    <t>PO-00267</t>
  </si>
  <si>
    <t>PO-00268</t>
  </si>
  <si>
    <t>PO-00269</t>
  </si>
  <si>
    <t>PO-00270</t>
  </si>
  <si>
    <t>PO-00271</t>
  </si>
  <si>
    <t>PO-00272</t>
  </si>
  <si>
    <t>PO-00273</t>
  </si>
  <si>
    <t>PO-00274</t>
  </si>
  <si>
    <t>PO-00275</t>
  </si>
  <si>
    <t>PO-00276</t>
  </si>
  <si>
    <t>PO-00277</t>
  </si>
  <si>
    <t>PO-00278</t>
  </si>
  <si>
    <t>PO-00279</t>
  </si>
  <si>
    <t>PO-00280</t>
  </si>
  <si>
    <t>PO-00281</t>
  </si>
  <si>
    <t>PO-00282</t>
  </si>
  <si>
    <t>PO-00283</t>
  </si>
  <si>
    <t>PO-00284</t>
  </si>
  <si>
    <t>PO-00285</t>
  </si>
  <si>
    <t>PO-00286</t>
  </si>
  <si>
    <t>PO-00287</t>
  </si>
  <si>
    <t>PO-00288</t>
  </si>
  <si>
    <t>PO-00289</t>
  </si>
  <si>
    <t>PO-00290</t>
  </si>
  <si>
    <t>PO-00291</t>
  </si>
  <si>
    <t>PO-00292</t>
  </si>
  <si>
    <t>PO-00293</t>
  </si>
  <si>
    <t>PO-00294</t>
  </si>
  <si>
    <t>PO-00295</t>
  </si>
  <si>
    <t>PO-00296</t>
  </si>
  <si>
    <t>PO-00297</t>
  </si>
  <si>
    <t>PO-00298</t>
  </si>
  <si>
    <t>PO-00299</t>
  </si>
  <si>
    <t>PO-00300</t>
  </si>
  <si>
    <t>PO-00301</t>
  </si>
  <si>
    <t>PO-00302</t>
  </si>
  <si>
    <t>PO-00303</t>
  </si>
  <si>
    <t>PO-00304</t>
  </si>
  <si>
    <t>PO-00305</t>
  </si>
  <si>
    <t>PO-00306</t>
  </si>
  <si>
    <t>PO-00307</t>
  </si>
  <si>
    <t>PO-00308</t>
  </si>
  <si>
    <t>PO-00309</t>
  </si>
  <si>
    <t>PO-00310</t>
  </si>
  <si>
    <t>PO-00311</t>
  </si>
  <si>
    <t>PO-00312</t>
  </si>
  <si>
    <t>PO-00313</t>
  </si>
  <si>
    <t>PO-00314</t>
  </si>
  <si>
    <t>PO-00315</t>
  </si>
  <si>
    <t>PO-00316</t>
  </si>
  <si>
    <t>PO-00317</t>
  </si>
  <si>
    <t>PO-00318</t>
  </si>
  <si>
    <t>PO-00319</t>
  </si>
  <si>
    <t>PO-00320</t>
  </si>
  <si>
    <t>PO-00321</t>
  </si>
  <si>
    <t>PO-00322</t>
  </si>
  <si>
    <t>PO-00323</t>
  </si>
  <si>
    <t>PO-00324</t>
  </si>
  <si>
    <t>PO-00325</t>
  </si>
  <si>
    <t>PO-00326</t>
  </si>
  <si>
    <t>PO-00327</t>
  </si>
  <si>
    <t>PO-00328</t>
  </si>
  <si>
    <t>PO-00329</t>
  </si>
  <si>
    <t>PO-00330</t>
  </si>
  <si>
    <t>PO-00331</t>
  </si>
  <si>
    <t>PO-00332</t>
  </si>
  <si>
    <t>PO-00333</t>
  </si>
  <si>
    <t>PO-00334</t>
  </si>
  <si>
    <t>PO-00335</t>
  </si>
  <si>
    <t>PO-00336</t>
  </si>
  <si>
    <t>PO-00337</t>
  </si>
  <si>
    <t>PO-00338</t>
  </si>
  <si>
    <t>PO-00339</t>
  </si>
  <si>
    <t>PO-00340</t>
  </si>
  <si>
    <t>PO-00341</t>
  </si>
  <si>
    <t>PO-00342</t>
  </si>
  <si>
    <t>PO-00343</t>
  </si>
  <si>
    <t>PO-00344</t>
  </si>
  <si>
    <t>PO-00345</t>
  </si>
  <si>
    <t>PO-00346</t>
  </si>
  <si>
    <t>PO-00347</t>
  </si>
  <si>
    <t>PO-00348</t>
  </si>
  <si>
    <t>PO-00349</t>
  </si>
  <si>
    <t>PO-00350</t>
  </si>
  <si>
    <t>PO-00351</t>
  </si>
  <si>
    <t>PO-00352</t>
  </si>
  <si>
    <t>PO-00353</t>
  </si>
  <si>
    <t>PO-00354</t>
  </si>
  <si>
    <t>PO-00355</t>
  </si>
  <si>
    <t>PO-00356</t>
  </si>
  <si>
    <t>PO-00357</t>
  </si>
  <si>
    <t>PO-00358</t>
  </si>
  <si>
    <t>PO-00359</t>
  </si>
  <si>
    <t>PO-00360</t>
  </si>
  <si>
    <t>PO-00361</t>
  </si>
  <si>
    <t>PO-00362</t>
  </si>
  <si>
    <t>PO-00363</t>
  </si>
  <si>
    <t>PO-00364</t>
  </si>
  <si>
    <t>PO-00365</t>
  </si>
  <si>
    <t>PO-00366</t>
  </si>
  <si>
    <t>PO-00367</t>
  </si>
  <si>
    <t>PO-00368</t>
  </si>
  <si>
    <t>PO-00369</t>
  </si>
  <si>
    <t>PO-00370</t>
  </si>
  <si>
    <t>PO-00371</t>
  </si>
  <si>
    <t>PO-00372</t>
  </si>
  <si>
    <t>PO-00373</t>
  </si>
  <si>
    <t>PO-00374</t>
  </si>
  <si>
    <t>PO-00375</t>
  </si>
  <si>
    <t>PO-00376</t>
  </si>
  <si>
    <t>PO-00377</t>
  </si>
  <si>
    <t>PO-00378</t>
  </si>
  <si>
    <t>PO-00379</t>
  </si>
  <si>
    <t>PO-00380</t>
  </si>
  <si>
    <t>PO-00381</t>
  </si>
  <si>
    <t>PO-00382</t>
  </si>
  <si>
    <t>PO-00383</t>
  </si>
  <si>
    <t>PO-00384</t>
  </si>
  <si>
    <t>PO-00385</t>
  </si>
  <si>
    <t>PO-00386</t>
  </si>
  <si>
    <t>PO-00387</t>
  </si>
  <si>
    <t>PO-00388</t>
  </si>
  <si>
    <t>PO-00389</t>
  </si>
  <si>
    <t>PO-00390</t>
  </si>
  <si>
    <t>PO-00391</t>
  </si>
  <si>
    <t>PO-00392</t>
  </si>
  <si>
    <t>PO-00393</t>
  </si>
  <si>
    <t>PO-00394</t>
  </si>
  <si>
    <t>PO-00395</t>
  </si>
  <si>
    <t>PO-00396</t>
  </si>
  <si>
    <t>PO-00397</t>
  </si>
  <si>
    <t>PO-00398</t>
  </si>
  <si>
    <t>PO-00399</t>
  </si>
  <si>
    <t>PO-00400</t>
  </si>
  <si>
    <t>PO-00401</t>
  </si>
  <si>
    <t>PO-00402</t>
  </si>
  <si>
    <t>PO-00403</t>
  </si>
  <si>
    <t>PO-00404</t>
  </si>
  <si>
    <t>PO-00405</t>
  </si>
  <si>
    <t>PO-00406</t>
  </si>
  <si>
    <t>PO-00407</t>
  </si>
  <si>
    <t>PO-00408</t>
  </si>
  <si>
    <t>PO-00409</t>
  </si>
  <si>
    <t>PO-00410</t>
  </si>
  <si>
    <t>PO-00411</t>
  </si>
  <si>
    <t>PO-00412</t>
  </si>
  <si>
    <t>PO-00413</t>
  </si>
  <si>
    <t>PO-00414</t>
  </si>
  <si>
    <t>PO-00415</t>
  </si>
  <si>
    <t>PO-00416</t>
  </si>
  <si>
    <t>PO-00417</t>
  </si>
  <si>
    <t>PO-00418</t>
  </si>
  <si>
    <t>PO-00419</t>
  </si>
  <si>
    <t>PO-00420</t>
  </si>
  <si>
    <t>PO-00421</t>
  </si>
  <si>
    <t>PO-00422</t>
  </si>
  <si>
    <t>PO-00423</t>
  </si>
  <si>
    <t>PO-00424</t>
  </si>
  <si>
    <t>PO-00425</t>
  </si>
  <si>
    <t>PO-00426</t>
  </si>
  <si>
    <t>PO-00427</t>
  </si>
  <si>
    <t>PO-00428</t>
  </si>
  <si>
    <t>PO-00429</t>
  </si>
  <si>
    <t>PO-00430</t>
  </si>
  <si>
    <t>PO-00431</t>
  </si>
  <si>
    <t>PO-00432</t>
  </si>
  <si>
    <t>PO-00433</t>
  </si>
  <si>
    <t>PO-00434</t>
  </si>
  <si>
    <t>PO-00435</t>
  </si>
  <si>
    <t>PO-00436</t>
  </si>
  <si>
    <t>PO-00437</t>
  </si>
  <si>
    <t>PO-00438</t>
  </si>
  <si>
    <t>PO-00439</t>
  </si>
  <si>
    <t>PO-00440</t>
  </si>
  <si>
    <t>PO-00441</t>
  </si>
  <si>
    <t>PO-00442</t>
  </si>
  <si>
    <t>PO-00443</t>
  </si>
  <si>
    <t>PO-00444</t>
  </si>
  <si>
    <t>PO-00445</t>
  </si>
  <si>
    <t>PO-00446</t>
  </si>
  <si>
    <t>PO-00447</t>
  </si>
  <si>
    <t>PO-00448</t>
  </si>
  <si>
    <t>PO-00449</t>
  </si>
  <si>
    <t>PO-00450</t>
  </si>
  <si>
    <t>PO-00451</t>
  </si>
  <si>
    <t>PO-00452</t>
  </si>
  <si>
    <t>PO-00453</t>
  </si>
  <si>
    <t>PO-00454</t>
  </si>
  <si>
    <t>PO-00455</t>
  </si>
  <si>
    <t>PO-00456</t>
  </si>
  <si>
    <t>PO-00457</t>
  </si>
  <si>
    <t>PO-00458</t>
  </si>
  <si>
    <t>PO-00459</t>
  </si>
  <si>
    <t>PO-00460</t>
  </si>
  <si>
    <t>PO-00461</t>
  </si>
  <si>
    <t>PO-00462</t>
  </si>
  <si>
    <t>PO-00463</t>
  </si>
  <si>
    <t>PO-00464</t>
  </si>
  <si>
    <t>PO-00465</t>
  </si>
  <si>
    <t>PO-00466</t>
  </si>
  <si>
    <t>PO-00467</t>
  </si>
  <si>
    <t>PO-00468</t>
  </si>
  <si>
    <t>PO-00469</t>
  </si>
  <si>
    <t>PO-00470</t>
  </si>
  <si>
    <t>PO-00471</t>
  </si>
  <si>
    <t>PO-00472</t>
  </si>
  <si>
    <t>PO-00473</t>
  </si>
  <si>
    <t>PO-00474</t>
  </si>
  <si>
    <t>PO-00475</t>
  </si>
  <si>
    <t>PO-00476</t>
  </si>
  <si>
    <t>PO-00477</t>
  </si>
  <si>
    <t>PO-00478</t>
  </si>
  <si>
    <t>PO-00479</t>
  </si>
  <si>
    <t>PO-00480</t>
  </si>
  <si>
    <t>PO-00481</t>
  </si>
  <si>
    <t>PO-00482</t>
  </si>
  <si>
    <t>PO-00483</t>
  </si>
  <si>
    <t>PO-00484</t>
  </si>
  <si>
    <t>PO-00485</t>
  </si>
  <si>
    <t>PO-00486</t>
  </si>
  <si>
    <t>PO-00487</t>
  </si>
  <si>
    <t>PO-00488</t>
  </si>
  <si>
    <t>PO-00489</t>
  </si>
  <si>
    <t>PO-00490</t>
  </si>
  <si>
    <t>PO-00491</t>
  </si>
  <si>
    <t>PO-00492</t>
  </si>
  <si>
    <t>PO-00493</t>
  </si>
  <si>
    <t>PO-00494</t>
  </si>
  <si>
    <t>PO-00495</t>
  </si>
  <si>
    <t>PO-00496</t>
  </si>
  <si>
    <t>PO-00497</t>
  </si>
  <si>
    <t>PO-00498</t>
  </si>
  <si>
    <t>PO-00499</t>
  </si>
  <si>
    <t>PO-00500</t>
  </si>
  <si>
    <t>PO-00501</t>
  </si>
  <si>
    <t>PO-00502</t>
  </si>
  <si>
    <t>PO-00503</t>
  </si>
  <si>
    <t>PO-00504</t>
  </si>
  <si>
    <t>PO-00505</t>
  </si>
  <si>
    <t>PO-00506</t>
  </si>
  <si>
    <t>PO-00507</t>
  </si>
  <si>
    <t>PO-00508</t>
  </si>
  <si>
    <t>PO-00509</t>
  </si>
  <si>
    <t>PO-00510</t>
  </si>
  <si>
    <t>PO-00511</t>
  </si>
  <si>
    <t>PO-00512</t>
  </si>
  <si>
    <t>PO-00513</t>
  </si>
  <si>
    <t>PO-00514</t>
  </si>
  <si>
    <t>PO-00515</t>
  </si>
  <si>
    <t>PO-00516</t>
  </si>
  <si>
    <t>PO-00517</t>
  </si>
  <si>
    <t>PO-00518</t>
  </si>
  <si>
    <t>PO-00519</t>
  </si>
  <si>
    <t>PO-00520</t>
  </si>
  <si>
    <t>PO-00521</t>
  </si>
  <si>
    <t>PO-00522</t>
  </si>
  <si>
    <t>PO-00523</t>
  </si>
  <si>
    <t>PO-00524</t>
  </si>
  <si>
    <t>PO-00525</t>
  </si>
  <si>
    <t>PO-00526</t>
  </si>
  <si>
    <t>PO-00527</t>
  </si>
  <si>
    <t>PO-00528</t>
  </si>
  <si>
    <t>PO-00529</t>
  </si>
  <si>
    <t>PO-00530</t>
  </si>
  <si>
    <t>PO-00531</t>
  </si>
  <si>
    <t>PO-00532</t>
  </si>
  <si>
    <t>PO-00533</t>
  </si>
  <si>
    <t>PO-00534</t>
  </si>
  <si>
    <t>PO-00535</t>
  </si>
  <si>
    <t>PO-00536</t>
  </si>
  <si>
    <t>PO-00537</t>
  </si>
  <si>
    <t>PO-00538</t>
  </si>
  <si>
    <t>PO-00539</t>
  </si>
  <si>
    <t>PO-00540</t>
  </si>
  <si>
    <t>PO-00541</t>
  </si>
  <si>
    <t>PO-00542</t>
  </si>
  <si>
    <t>PO-00543</t>
  </si>
  <si>
    <t>PO-00544</t>
  </si>
  <si>
    <t>PO-00545</t>
  </si>
  <si>
    <t>PO-00546</t>
  </si>
  <si>
    <t>PO-00547</t>
  </si>
  <si>
    <t>PO-00548</t>
  </si>
  <si>
    <t>PO-00549</t>
  </si>
  <si>
    <t>PO-00550</t>
  </si>
  <si>
    <t>PO-00551</t>
  </si>
  <si>
    <t>PO-00552</t>
  </si>
  <si>
    <t>PO-00553</t>
  </si>
  <si>
    <t>PO-00554</t>
  </si>
  <si>
    <t>PO-00555</t>
  </si>
  <si>
    <t>PO-00556</t>
  </si>
  <si>
    <t>PO-00557</t>
  </si>
  <si>
    <t>PO-00558</t>
  </si>
  <si>
    <t>PO-00559</t>
  </si>
  <si>
    <t>PO-00560</t>
  </si>
  <si>
    <t>PO-00561</t>
  </si>
  <si>
    <t>PO-00562</t>
  </si>
  <si>
    <t>PO-00563</t>
  </si>
  <si>
    <t>PO-00564</t>
  </si>
  <si>
    <t>PO-00565</t>
  </si>
  <si>
    <t>PO-00566</t>
  </si>
  <si>
    <t>PO-00567</t>
  </si>
  <si>
    <t>PO-00568</t>
  </si>
  <si>
    <t>PO-00569</t>
  </si>
  <si>
    <t>PO-00570</t>
  </si>
  <si>
    <t>PO-00571</t>
  </si>
  <si>
    <t>PO-00572</t>
  </si>
  <si>
    <t>PO-00573</t>
  </si>
  <si>
    <t>PO-00574</t>
  </si>
  <si>
    <t>PO-00575</t>
  </si>
  <si>
    <t>PO-00576</t>
  </si>
  <si>
    <t>PO-00577</t>
  </si>
  <si>
    <t>PO-00578</t>
  </si>
  <si>
    <t>PO-00579</t>
  </si>
  <si>
    <t>PO-00580</t>
  </si>
  <si>
    <t>PO-00581</t>
  </si>
  <si>
    <t>PO-00582</t>
  </si>
  <si>
    <t>PO-00583</t>
  </si>
  <si>
    <t>PO-00584</t>
  </si>
  <si>
    <t>PO-00585</t>
  </si>
  <si>
    <t>PO-00586</t>
  </si>
  <si>
    <t>PO-00587</t>
  </si>
  <si>
    <t>PO-00588</t>
  </si>
  <si>
    <t>PO-00589</t>
  </si>
  <si>
    <t>PO-00590</t>
  </si>
  <si>
    <t>PO-00591</t>
  </si>
  <si>
    <t>PO-00592</t>
  </si>
  <si>
    <t>PO-00593</t>
  </si>
  <si>
    <t>PO-00594</t>
  </si>
  <si>
    <t>PO-00595</t>
  </si>
  <si>
    <t>PO-00596</t>
  </si>
  <si>
    <t>PO-00597</t>
  </si>
  <si>
    <t>PO-00598</t>
  </si>
  <si>
    <t>PO-00599</t>
  </si>
  <si>
    <t>PO-00600</t>
  </si>
  <si>
    <t>PO-00601</t>
  </si>
  <si>
    <t>PO-00602</t>
  </si>
  <si>
    <t>PO-00603</t>
  </si>
  <si>
    <t>PO-00604</t>
  </si>
  <si>
    <t>PO-00605</t>
  </si>
  <si>
    <t>PO-00606</t>
  </si>
  <si>
    <t>PO-00607</t>
  </si>
  <si>
    <t>PO-00608</t>
  </si>
  <si>
    <t>PO-00609</t>
  </si>
  <si>
    <t>PO-00610</t>
  </si>
  <si>
    <t>PO-00611</t>
  </si>
  <si>
    <t>PO-00612</t>
  </si>
  <si>
    <t>PO-00613</t>
  </si>
  <si>
    <t>PO-00614</t>
  </si>
  <si>
    <t>PO-00615</t>
  </si>
  <si>
    <t>PO-00616</t>
  </si>
  <si>
    <t>PO-00617</t>
  </si>
  <si>
    <t>PO-00618</t>
  </si>
  <si>
    <t>PO-00619</t>
  </si>
  <si>
    <t>PO-00620</t>
  </si>
  <si>
    <t>PO-00621</t>
  </si>
  <si>
    <t>PO-00622</t>
  </si>
  <si>
    <t>PO-00623</t>
  </si>
  <si>
    <t>PO-00624</t>
  </si>
  <si>
    <t>PO-00625</t>
  </si>
  <si>
    <t>PO-00626</t>
  </si>
  <si>
    <t>PO-00627</t>
  </si>
  <si>
    <t>PO-00628</t>
  </si>
  <si>
    <t>PO-00629</t>
  </si>
  <si>
    <t>PO-00630</t>
  </si>
  <si>
    <t>PO-00631</t>
  </si>
  <si>
    <t>PO-00632</t>
  </si>
  <si>
    <t>PO-00633</t>
  </si>
  <si>
    <t>PO-00634</t>
  </si>
  <si>
    <t>PO-00635</t>
  </si>
  <si>
    <t>PO-00636</t>
  </si>
  <si>
    <t>PO-00637</t>
  </si>
  <si>
    <t>PO-00638</t>
  </si>
  <si>
    <t>PO-00639</t>
  </si>
  <si>
    <t>PO-00640</t>
  </si>
  <si>
    <t>PO-00641</t>
  </si>
  <si>
    <t>PO-00642</t>
  </si>
  <si>
    <t>PO-00643</t>
  </si>
  <si>
    <t>PO-00644</t>
  </si>
  <si>
    <t>PO-00645</t>
  </si>
  <si>
    <t>PO-00646</t>
  </si>
  <si>
    <t>PO-00647</t>
  </si>
  <si>
    <t>PO-00648</t>
  </si>
  <si>
    <t>PO-00649</t>
  </si>
  <si>
    <t>PO-00650</t>
  </si>
  <si>
    <t>PO-00651</t>
  </si>
  <si>
    <t>PO-00652</t>
  </si>
  <si>
    <t>PO-00653</t>
  </si>
  <si>
    <t>PO-00654</t>
  </si>
  <si>
    <t>PO-00655</t>
  </si>
  <si>
    <t>PO-00656</t>
  </si>
  <si>
    <t>PO-00657</t>
  </si>
  <si>
    <t>PO-00658</t>
  </si>
  <si>
    <t>PO-00659</t>
  </si>
  <si>
    <t>PO-00660</t>
  </si>
  <si>
    <t>PO-00661</t>
  </si>
  <si>
    <t>PO-00662</t>
  </si>
  <si>
    <t>PO-00663</t>
  </si>
  <si>
    <t>PO-00664</t>
  </si>
  <si>
    <t>PO-00665</t>
  </si>
  <si>
    <t>PO-00666</t>
  </si>
  <si>
    <t>PO-00667</t>
  </si>
  <si>
    <t>PO-00668</t>
  </si>
  <si>
    <t>PO-00669</t>
  </si>
  <si>
    <t>PO-00670</t>
  </si>
  <si>
    <t>PO-00671</t>
  </si>
  <si>
    <t>PO-00672</t>
  </si>
  <si>
    <t>PO-00673</t>
  </si>
  <si>
    <t>PO-00674</t>
  </si>
  <si>
    <t>PO-00675</t>
  </si>
  <si>
    <t>PO-00676</t>
  </si>
  <si>
    <t>PO-00677</t>
  </si>
  <si>
    <t>PO-00678</t>
  </si>
  <si>
    <t>PO-00679</t>
  </si>
  <si>
    <t>PO-00680</t>
  </si>
  <si>
    <t>PO-00681</t>
  </si>
  <si>
    <t>PO-00682</t>
  </si>
  <si>
    <t>PO-00683</t>
  </si>
  <si>
    <t>PO-00684</t>
  </si>
  <si>
    <t>PO-00685</t>
  </si>
  <si>
    <t>PO-00686</t>
  </si>
  <si>
    <t>PO-00687</t>
  </si>
  <si>
    <t>PO-00688</t>
  </si>
  <si>
    <t>PO-00689</t>
  </si>
  <si>
    <t>PO-00690</t>
  </si>
  <si>
    <t>PO-00691</t>
  </si>
  <si>
    <t>PO-00692</t>
  </si>
  <si>
    <t>PO-00693</t>
  </si>
  <si>
    <t>PO-00694</t>
  </si>
  <si>
    <t>PO-00695</t>
  </si>
  <si>
    <t>PO-00696</t>
  </si>
  <si>
    <t>PO-00697</t>
  </si>
  <si>
    <t>PO-00698</t>
  </si>
  <si>
    <t>PO-00699</t>
  </si>
  <si>
    <t>PO-00700</t>
  </si>
  <si>
    <t>PO-00701</t>
  </si>
  <si>
    <t>PO-00702</t>
  </si>
  <si>
    <t>PO-00703</t>
  </si>
  <si>
    <t>PO-00704</t>
  </si>
  <si>
    <t>PO-00705</t>
  </si>
  <si>
    <t>PO-00706</t>
  </si>
  <si>
    <t>PO-00707</t>
  </si>
  <si>
    <t>PO-00708</t>
  </si>
  <si>
    <t>PO-00709</t>
  </si>
  <si>
    <t>PO-00710</t>
  </si>
  <si>
    <t>PO-00711</t>
  </si>
  <si>
    <t>PO-00712</t>
  </si>
  <si>
    <t>PO-00713</t>
  </si>
  <si>
    <t>PO-00714</t>
  </si>
  <si>
    <t>PO-00715</t>
  </si>
  <si>
    <t>PO-00716</t>
  </si>
  <si>
    <t>PO-00717</t>
  </si>
  <si>
    <t>PO-00718</t>
  </si>
  <si>
    <t>PO-00719</t>
  </si>
  <si>
    <t>PO-00720</t>
  </si>
  <si>
    <t>PO-00721</t>
  </si>
  <si>
    <t>PO-00722</t>
  </si>
  <si>
    <t>PO-00723</t>
  </si>
  <si>
    <t>PO-00724</t>
  </si>
  <si>
    <t>PO-00725</t>
  </si>
  <si>
    <t>PO-00726</t>
  </si>
  <si>
    <t>PO-00727</t>
  </si>
  <si>
    <t>PO-00728</t>
  </si>
  <si>
    <t>PO-00729</t>
  </si>
  <si>
    <t>PO-00730</t>
  </si>
  <si>
    <t>PO-00731</t>
  </si>
  <si>
    <t>PO-00732</t>
  </si>
  <si>
    <t>PO-00733</t>
  </si>
  <si>
    <t>PO-00734</t>
  </si>
  <si>
    <t>PO-00735</t>
  </si>
  <si>
    <t>PO-00736</t>
  </si>
  <si>
    <t>PO-00737</t>
  </si>
  <si>
    <t>PO-00738</t>
  </si>
  <si>
    <t>PO-00739</t>
  </si>
  <si>
    <t>PO-00740</t>
  </si>
  <si>
    <t>PO-00741</t>
  </si>
  <si>
    <t>PO-00742</t>
  </si>
  <si>
    <t>PO-00743</t>
  </si>
  <si>
    <t>PO-00744</t>
  </si>
  <si>
    <t>PO-00745</t>
  </si>
  <si>
    <t>PO-00746</t>
  </si>
  <si>
    <t>PO-00747</t>
  </si>
  <si>
    <t>PO-00748</t>
  </si>
  <si>
    <t>PO-00749</t>
  </si>
  <si>
    <t>PO-00750</t>
  </si>
  <si>
    <t>PO-00751</t>
  </si>
  <si>
    <t>PO-00752</t>
  </si>
  <si>
    <t>PO-00753</t>
  </si>
  <si>
    <t>PO-00754</t>
  </si>
  <si>
    <t>PO-00755</t>
  </si>
  <si>
    <t>PO-00756</t>
  </si>
  <si>
    <t>PO-00757</t>
  </si>
  <si>
    <t>PO-00758</t>
  </si>
  <si>
    <t>PO-00759</t>
  </si>
  <si>
    <t>PO-00760</t>
  </si>
  <si>
    <t>PO-00761</t>
  </si>
  <si>
    <t>PO-00762</t>
  </si>
  <si>
    <t>PO-00763</t>
  </si>
  <si>
    <t>PO-00764</t>
  </si>
  <si>
    <t>PO-00765</t>
  </si>
  <si>
    <t>PO-00766</t>
  </si>
  <si>
    <t>PO-00767</t>
  </si>
  <si>
    <t>PO-00768</t>
  </si>
  <si>
    <t>PO-00769</t>
  </si>
  <si>
    <t>PO-00770</t>
  </si>
  <si>
    <t>PO-00771</t>
  </si>
  <si>
    <t>PO-00772</t>
  </si>
  <si>
    <t>PO-00773</t>
  </si>
  <si>
    <t>PO-00774</t>
  </si>
  <si>
    <t>PO-00775</t>
  </si>
  <si>
    <t>PO-00776</t>
  </si>
  <si>
    <t>PO-00777</t>
  </si>
  <si>
    <t>Total Spend</t>
  </si>
  <si>
    <t>Lead Time</t>
  </si>
  <si>
    <t>Defect Rate</t>
  </si>
  <si>
    <t>Total Savings</t>
  </si>
  <si>
    <t>Savings %</t>
  </si>
  <si>
    <t>On-Time Delivery %</t>
  </si>
  <si>
    <t>Sum of Total Savings</t>
  </si>
  <si>
    <t>Row Labels</t>
  </si>
  <si>
    <t>Grand Total</t>
  </si>
  <si>
    <t>Count of PO_ID</t>
  </si>
  <si>
    <t>Sum of Total Spend</t>
  </si>
  <si>
    <t>Original Cost</t>
  </si>
  <si>
    <t>KPI</t>
  </si>
  <si>
    <t>Average of Savings %</t>
  </si>
  <si>
    <t>2022</t>
  </si>
  <si>
    <t>2023</t>
  </si>
  <si>
    <t>2024</t>
  </si>
  <si>
    <t>Jan</t>
  </si>
  <si>
    <t>Feb</t>
  </si>
  <si>
    <t>Mar</t>
  </si>
  <si>
    <t>Apr</t>
  </si>
  <si>
    <t>May</t>
  </si>
  <si>
    <t>Jun</t>
  </si>
  <si>
    <t>Jul</t>
  </si>
  <si>
    <t>Aug</t>
  </si>
  <si>
    <t>Sep</t>
  </si>
  <si>
    <t>Oct</t>
  </si>
  <si>
    <t>Nov</t>
  </si>
  <si>
    <t>Dec</t>
  </si>
  <si>
    <t>Count of Order_Status</t>
  </si>
  <si>
    <t>Spend by Supplier</t>
  </si>
  <si>
    <t>Spend by Category</t>
  </si>
  <si>
    <t>Orders Over Time</t>
  </si>
  <si>
    <t>Months (Order_Date)</t>
  </si>
  <si>
    <t>Late</t>
  </si>
  <si>
    <t>On Time</t>
  </si>
  <si>
    <t>Count of On-Time Delivery %</t>
  </si>
  <si>
    <t>Average of Lead Time</t>
  </si>
  <si>
    <t>Average of Defect Rate</t>
  </si>
  <si>
    <t>Count of Compliance</t>
  </si>
  <si>
    <t>Sum of Quantity</t>
  </si>
  <si>
    <t>Sum of Defective_Units</t>
  </si>
  <si>
    <t>Compliance Flag</t>
  </si>
  <si>
    <t>Non-Compliance Flag</t>
  </si>
  <si>
    <t>Sum of Compliance Flag</t>
  </si>
  <si>
    <t>Compliance%</t>
  </si>
  <si>
    <t>Sum of Non-Compliance Flag</t>
  </si>
  <si>
    <t>Non-Compliance</t>
  </si>
  <si>
    <t>On-Time Delivery Rate</t>
  </si>
  <si>
    <t>Count of Compliance Flag</t>
  </si>
  <si>
    <t>Count of Non-Compliance Flag</t>
  </si>
  <si>
    <t>Average of Defective_Units2</t>
  </si>
  <si>
    <t>Compliant Pos</t>
  </si>
  <si>
    <t>Non-Compliant 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</si>
</sst>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70" formatCode="&quot;$&quot;#,##0"/>
    <numFmt numFmtId="171" formatCode="0.0%"/>
    <numFmt numFmtId="173" formatCode="_(* #,##0_);_(* \(#,##0\);_(* &quot;-&quot;??_);_(@_)"/>
    <numFmt numFmtId="179"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D8394"/>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F616D"/>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16" fillId="0" borderId="0" xfId="0" applyFont="1" applyAlignment="1">
      <alignment horizontal="center"/>
    </xf>
    <xf numFmtId="0" fontId="0" fillId="33" borderId="0" xfId="0" applyFill="1"/>
    <xf numFmtId="9" fontId="0" fillId="0" borderId="0" xfId="43" applyFont="1"/>
    <xf numFmtId="170" fontId="0" fillId="0" borderId="0" xfId="0" applyNumberFormat="1"/>
    <xf numFmtId="171" fontId="0" fillId="0" borderId="0" xfId="43" applyNumberFormat="1" applyFont="1"/>
    <xf numFmtId="173" fontId="0" fillId="0" borderId="0" xfId="42" applyNumberFormat="1" applyFont="1"/>
    <xf numFmtId="179" fontId="0" fillId="0" borderId="0" xfId="0" applyNumberFormat="1"/>
    <xf numFmtId="1" fontId="0" fillId="0" borderId="0" xfId="0" applyNumberFormat="1"/>
    <xf numFmtId="9" fontId="0" fillId="0" borderId="0" xfId="0" applyNumberFormat="1"/>
    <xf numFmtId="171" fontId="0" fillId="0" borderId="0" xfId="0" applyNumberFormat="1"/>
    <xf numFmtId="0" fontId="18"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44">
    <dxf>
      <numFmt numFmtId="171" formatCode="0.0%"/>
    </dxf>
    <dxf>
      <numFmt numFmtId="171"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71" formatCode="0.0%"/>
    </dxf>
    <dxf>
      <numFmt numFmtId="179" formatCode="0.0"/>
    </dxf>
    <dxf>
      <numFmt numFmtId="1" formatCode="0"/>
    </dxf>
    <dxf>
      <numFmt numFmtId="179" formatCode="0.0"/>
    </dxf>
    <dxf>
      <numFmt numFmtId="13" formatCode="0%"/>
    </dxf>
    <dxf>
      <numFmt numFmtId="171" formatCode="0.0%"/>
    </dxf>
    <dxf>
      <numFmt numFmtId="171" formatCode="0.0%"/>
    </dxf>
    <dxf>
      <numFmt numFmtId="171" formatCode="0.0%"/>
    </dxf>
    <dxf>
      <numFmt numFmtId="171" formatCode="0.0%"/>
    </dxf>
    <dxf>
      <numFmt numFmtId="171" formatCode="0.0%"/>
    </dxf>
    <dxf>
      <numFmt numFmtId="171" formatCode="0.0%"/>
    </dxf>
    <dxf>
      <numFmt numFmtId="13" formatCode="0%"/>
    </dxf>
    <dxf>
      <numFmt numFmtId="171" formatCode="0.0%"/>
    </dxf>
    <dxf>
      <numFmt numFmtId="13" formatCode="0%"/>
    </dxf>
    <dxf>
      <numFmt numFmtId="171" formatCode="0.0%"/>
    </dxf>
    <dxf>
      <numFmt numFmtId="171" formatCode="0.0%"/>
    </dxf>
    <dxf>
      <numFmt numFmtId="13" formatCode="0%"/>
    </dxf>
    <dxf>
      <numFmt numFmtId="13" formatCode="0%"/>
    </dxf>
    <dxf>
      <font>
        <color theme="0"/>
      </font>
      <fill>
        <patternFill patternType="none">
          <bgColor auto="1"/>
        </patternFill>
      </fill>
      <border>
        <bottom style="thin">
          <color theme="4"/>
        </bottom>
        <vertical/>
        <horizontal/>
      </border>
    </dxf>
    <dxf>
      <font>
        <b/>
        <i val="0"/>
        <color theme="0"/>
      </font>
      <fill>
        <patternFill patternType="solid">
          <bgColor rgb="FF2F616D"/>
        </patternFill>
      </fill>
      <border diagonalUp="0" diagonalDown="0">
        <left/>
        <right/>
        <top/>
        <bottom/>
        <vertical/>
        <horizontal/>
      </border>
    </dxf>
    <dxf>
      <numFmt numFmtId="13" formatCode="0%"/>
    </dxf>
    <dxf>
      <numFmt numFmtId="179" formatCode="0.0"/>
    </dxf>
    <dxf>
      <numFmt numFmtId="1" formatCode="0"/>
    </dxf>
    <dxf>
      <numFmt numFmtId="179" formatCode="0.0"/>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 pivot="0" table="0" count="10" xr9:uid="{BB1BF67E-F7A8-40E3-BC75-24F23B91AB54}">
      <tableStyleElement type="wholeTable" dxfId="30"/>
      <tableStyleElement type="headerRow" dxfId="29"/>
    </tableStyle>
  </tableStyles>
  <colors>
    <mruColors>
      <color rgb="FF4DAED0"/>
      <color rgb="FF2F616D"/>
      <color rgb="FF3D8394"/>
      <color rgb="FFA2E3F1"/>
      <color rgb="FFD4BFDD"/>
      <color rgb="FF7ED7EA"/>
      <color rgb="FF3A9BC4"/>
      <color rgb="FFC6EFF8"/>
      <color rgb="FFDB5F6A"/>
      <color rgb="FF4BA5B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4DAED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Dataset.xlsx]Analyis!PivotTable4</c:name>
    <c:fmtId val="2"/>
  </c:pivotSource>
  <c:chart>
    <c:title>
      <c:tx>
        <c:rich>
          <a:bodyPr rot="0" spcFirstLastPara="1" vertOverflow="ellipsis" vert="horz" wrap="square" anchor="ctr" anchorCtr="1"/>
          <a:lstStyle/>
          <a:p>
            <a:pPr>
              <a:defRPr sz="1400" b="1" i="0" u="none" strike="noStrike" kern="1200" spc="0" baseline="0">
                <a:solidFill>
                  <a:srgbClr val="2F616D"/>
                </a:solidFill>
                <a:latin typeface="+mn-lt"/>
                <a:ea typeface="+mn-ea"/>
                <a:cs typeface="+mn-cs"/>
              </a:defRPr>
            </a:pPr>
            <a:r>
              <a:rPr lang="en-US" sz="1400" b="1" i="0" u="none" strike="noStrike" baseline="0">
                <a:solidFill>
                  <a:srgbClr val="2F616D"/>
                </a:solidFill>
              </a:rPr>
              <a:t>Spend by Category</a:t>
            </a:r>
            <a:endParaRPr lang="en-US" b="1">
              <a:solidFill>
                <a:srgbClr val="2F616D"/>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2F616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61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2F616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3D2E6E0-E323-4528-B95A-394073FDE81C}" type="CELLRANGE">
                  <a:rPr lang="en-US"/>
                  <a:pPr>
                    <a:defRPr/>
                  </a:pPr>
                  <a:t>[CELLRANGE]</a:t>
                </a:fld>
                <a:endParaRPr lang="LID4096"/>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2F616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A0FE9A1-628A-4196-A6F1-5966FD0C2CF0}" type="CELLRANGE">
                  <a:rPr lang="en-US"/>
                  <a:pPr>
                    <a:defRPr/>
                  </a:pPr>
                  <a:t>[CELLRANGE]</a:t>
                </a:fld>
                <a:endParaRPr lang="LID4096"/>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2F616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A026D95-9383-4196-8608-1693D2126E5D}" type="CELLRANGE">
                  <a:rPr lang="en-US"/>
                  <a:pPr>
                    <a:defRPr/>
                  </a:pPr>
                  <a:t>[CELLRANGE]</a:t>
                </a:fld>
                <a:endParaRPr lang="LID4096"/>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2F616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BDD36FA-8B23-4873-BCD0-C61E456F8F21}" type="CELLRANGE">
                  <a:rPr lang="en-US"/>
                  <a:pPr>
                    <a:defRPr/>
                  </a:pPr>
                  <a:t>[CELLRANGE]</a:t>
                </a:fld>
                <a:endParaRPr lang="LID4096"/>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2F616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85A9FD5-38AC-4A15-806D-FF1E8FB1A02A}" type="CELLRANGE">
                  <a:rPr lang="en-US"/>
                  <a:pPr>
                    <a:defRPr/>
                  </a:pPr>
                  <a:t>[CELLRANGE]</a:t>
                </a:fld>
                <a:endParaRPr lang="LID4096"/>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843747871210755"/>
          <c:y val="0.19197722567287787"/>
          <c:w val="0.79272444952014587"/>
          <c:h val="0.75108695652173918"/>
        </c:manualLayout>
      </c:layout>
      <c:barChart>
        <c:barDir val="bar"/>
        <c:grouping val="clustered"/>
        <c:varyColors val="0"/>
        <c:ser>
          <c:idx val="0"/>
          <c:order val="0"/>
          <c:tx>
            <c:strRef>
              <c:f>Analyis!$D$43:$D$47</c:f>
              <c:strCache>
                <c:ptCount val="1"/>
                <c:pt idx="0">
                  <c:v>Total</c:v>
                </c:pt>
              </c:strCache>
            </c:strRef>
          </c:tx>
          <c:spPr>
            <a:solidFill>
              <a:srgbClr val="2F616D"/>
            </a:solidFill>
            <a:ln>
              <a:noFill/>
            </a:ln>
            <a:effectLst/>
          </c:spPr>
          <c:invertIfNegative val="0"/>
          <c:dLbls>
            <c:dLbl>
              <c:idx val="0"/>
              <c:tx>
                <c:rich>
                  <a:bodyPr/>
                  <a:lstStyle/>
                  <a:p>
                    <a:fld id="{13D2E6E0-E323-4528-B95A-394073FDE81C}" type="CELLRANGE">
                      <a:rPr lang="en-US"/>
                      <a:pPr/>
                      <a:t>[CELLRANGE]</a:t>
                    </a:fld>
                    <a:endParaRPr lang="LID4096"/>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ABA-4293-9298-653552A3C518}"/>
                </c:ext>
              </c:extLst>
            </c:dLbl>
            <c:dLbl>
              <c:idx val="1"/>
              <c:tx>
                <c:rich>
                  <a:bodyPr/>
                  <a:lstStyle/>
                  <a:p>
                    <a:fld id="{6A0FE9A1-628A-4196-A6F1-5966FD0C2CF0}" type="CELLRANGE">
                      <a:rPr lang="en-US"/>
                      <a:pPr/>
                      <a:t>[CELLRANGE]</a:t>
                    </a:fld>
                    <a:endParaRPr lang="LID4096"/>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ABA-4293-9298-653552A3C518}"/>
                </c:ext>
              </c:extLst>
            </c:dLbl>
            <c:dLbl>
              <c:idx val="2"/>
              <c:tx>
                <c:rich>
                  <a:bodyPr/>
                  <a:lstStyle/>
                  <a:p>
                    <a:fld id="{4A026D95-9383-4196-8608-1693D2126E5D}" type="CELLRANGE">
                      <a:rPr lang="en-US"/>
                      <a:pPr/>
                      <a:t>[CELLRANGE]</a:t>
                    </a:fld>
                    <a:endParaRPr lang="LID4096"/>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ABA-4293-9298-653552A3C518}"/>
                </c:ext>
              </c:extLst>
            </c:dLbl>
            <c:dLbl>
              <c:idx val="3"/>
              <c:tx>
                <c:rich>
                  <a:bodyPr/>
                  <a:lstStyle/>
                  <a:p>
                    <a:fld id="{ABDD36FA-8B23-4873-BCD0-C61E456F8F21}" type="CELLRANGE">
                      <a:rPr lang="en-US"/>
                      <a:pPr/>
                      <a:t>[CELLRANGE]</a:t>
                    </a:fld>
                    <a:endParaRPr lang="LID4096"/>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ABA-4293-9298-653552A3C518}"/>
                </c:ext>
              </c:extLst>
            </c:dLbl>
            <c:dLbl>
              <c:idx val="4"/>
              <c:tx>
                <c:rich>
                  <a:bodyPr/>
                  <a:lstStyle/>
                  <a:p>
                    <a:fld id="{285A9FD5-38AC-4A15-806D-FF1E8FB1A02A}" type="CELLRANGE">
                      <a:rPr lang="en-US"/>
                      <a:pPr/>
                      <a:t>[CELLRANGE]</a:t>
                    </a:fld>
                    <a:endParaRPr lang="LID4096"/>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ABA-4293-9298-653552A3C5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Analyis!$D$43:$D$47</c:f>
              <c:strCache>
                <c:ptCount val="5"/>
                <c:pt idx="0">
                  <c:v>MRO</c:v>
                </c:pt>
                <c:pt idx="1">
                  <c:v>Office Supplies</c:v>
                </c:pt>
                <c:pt idx="2">
                  <c:v>Electronics</c:v>
                </c:pt>
                <c:pt idx="3">
                  <c:v>Raw Materials</c:v>
                </c:pt>
                <c:pt idx="4">
                  <c:v>Packaging</c:v>
                </c:pt>
              </c:strCache>
            </c:strRef>
          </c:cat>
          <c:val>
            <c:numRef>
              <c:f>Analyis!$D$43:$D$47</c:f>
              <c:numCache>
                <c:formatCode>General</c:formatCode>
                <c:ptCount val="5"/>
                <c:pt idx="0">
                  <c:v>10126608.859999996</c:v>
                </c:pt>
                <c:pt idx="1">
                  <c:v>10007583.030000001</c:v>
                </c:pt>
                <c:pt idx="2">
                  <c:v>8642550.6000000071</c:v>
                </c:pt>
                <c:pt idx="3">
                  <c:v>8471241.4199999999</c:v>
                </c:pt>
                <c:pt idx="4">
                  <c:v>8125712.4799999977</c:v>
                </c:pt>
              </c:numCache>
            </c:numRef>
          </c:val>
          <c:extLst>
            <c:ext xmlns:c15="http://schemas.microsoft.com/office/drawing/2012/chart" uri="{02D57815-91ED-43cb-92C2-25804820EDAC}">
              <c15:datalabelsRange>
                <c15:f>Analyis!$D$43:$D$47</c15:f>
                <c15:dlblRangeCache>
                  <c:ptCount val="5"/>
                  <c:pt idx="0">
                    <c:v>$10.1M</c:v>
                  </c:pt>
                  <c:pt idx="1">
                    <c:v>$10.0M</c:v>
                  </c:pt>
                  <c:pt idx="2">
                    <c:v>$8642.6K</c:v>
                  </c:pt>
                  <c:pt idx="3">
                    <c:v>$8471.2K</c:v>
                  </c:pt>
                  <c:pt idx="4">
                    <c:v>$8125.7K</c:v>
                  </c:pt>
                </c15:dlblRangeCache>
              </c15:datalabelsRange>
            </c:ext>
            <c:ext xmlns:c16="http://schemas.microsoft.com/office/drawing/2014/chart" uri="{C3380CC4-5D6E-409C-BE32-E72D297353CC}">
              <c16:uniqueId val="{00000000-EABA-4293-9298-653552A3C518}"/>
            </c:ext>
          </c:extLst>
        </c:ser>
        <c:dLbls>
          <c:showLegendKey val="0"/>
          <c:showVal val="0"/>
          <c:showCatName val="0"/>
          <c:showSerName val="0"/>
          <c:showPercent val="0"/>
          <c:showBubbleSize val="0"/>
        </c:dLbls>
        <c:gapWidth val="182"/>
        <c:axId val="1185241464"/>
        <c:axId val="1185240024"/>
      </c:barChart>
      <c:catAx>
        <c:axId val="1185241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F616D"/>
                </a:solidFill>
                <a:latin typeface="+mn-lt"/>
                <a:ea typeface="+mn-ea"/>
                <a:cs typeface="+mn-cs"/>
              </a:defRPr>
            </a:pPr>
            <a:endParaRPr lang="LID4096"/>
          </a:p>
        </c:txPr>
        <c:crossAx val="1185240024"/>
        <c:crosses val="autoZero"/>
        <c:auto val="1"/>
        <c:lblAlgn val="ctr"/>
        <c:lblOffset val="100"/>
        <c:noMultiLvlLbl val="0"/>
      </c:catAx>
      <c:valAx>
        <c:axId val="1185240024"/>
        <c:scaling>
          <c:orientation val="minMax"/>
        </c:scaling>
        <c:delete val="1"/>
        <c:axPos val="b"/>
        <c:numFmt formatCode="General" sourceLinked="1"/>
        <c:majorTickMark val="none"/>
        <c:minorTickMark val="none"/>
        <c:tickLblPos val="nextTo"/>
        <c:crossAx val="1185241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Dataset.xlsx]Analyis!PivotTable3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Spend by Suppliers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61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2F616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1BB0A2C-259E-4CEA-8EDF-6135A1077581}" type="CELLRANGE">
                  <a:rPr lang="en-US"/>
                  <a:pPr>
                    <a:defRPr/>
                  </a:pPr>
                  <a:t>[CELLRANGE]</a:t>
                </a:fld>
                <a:endParaRPr lang="LID4096"/>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2F616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2771BA7-8219-459E-A9B6-A79C5214AD34}" type="CELLRANGE">
                  <a:rPr lang="en-US"/>
                  <a:pPr>
                    <a:defRPr/>
                  </a:pPr>
                  <a:t>[CELLRANGE]</a:t>
                </a:fld>
                <a:endParaRPr lang="LID4096"/>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2F616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BCC58A0-2B10-4FA0-8641-240BF2409820}" type="CELLRANGE">
                  <a:rPr lang="en-US"/>
                  <a:pPr>
                    <a:defRPr/>
                  </a:pPr>
                  <a:t>[CELLRANGE]</a:t>
                </a:fld>
                <a:endParaRPr lang="LID4096"/>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2F616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3C1FB7B-5083-4507-8C09-64586F4464B9}" type="CELLRANGE">
                  <a:rPr lang="en-US"/>
                  <a:pPr>
                    <a:defRPr/>
                  </a:pPr>
                  <a:t>[CELLRANGE]</a:t>
                </a:fld>
                <a:endParaRPr lang="LID4096"/>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2F616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D46234F-6751-4351-9375-1FD1E56EC5AF}" type="CELLRANGE">
                  <a:rPr lang="en-US"/>
                  <a:pPr>
                    <a:defRPr/>
                  </a:pPr>
                  <a:t>[CELLRANGE]</a:t>
                </a:fld>
                <a:endParaRPr lang="LID4096"/>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Analyis!$D$33:$D$37</c:f>
              <c:strCache>
                <c:ptCount val="1"/>
                <c:pt idx="0">
                  <c:v>Total</c:v>
                </c:pt>
              </c:strCache>
            </c:strRef>
          </c:tx>
          <c:spPr>
            <a:solidFill>
              <a:srgbClr val="2F616D"/>
            </a:solidFill>
            <a:ln>
              <a:noFill/>
            </a:ln>
            <a:effectLst/>
          </c:spPr>
          <c:invertIfNegative val="0"/>
          <c:dLbls>
            <c:dLbl>
              <c:idx val="0"/>
              <c:tx>
                <c:rich>
                  <a:bodyPr/>
                  <a:lstStyle/>
                  <a:p>
                    <a:fld id="{51BB0A2C-259E-4CEA-8EDF-6135A1077581}" type="CELLRANGE">
                      <a:rPr lang="en-US"/>
                      <a:pPr/>
                      <a:t>[CELLRANGE]</a:t>
                    </a:fld>
                    <a:endParaRPr lang="LID4096"/>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71F-43D1-B688-3888A941B47C}"/>
                </c:ext>
              </c:extLst>
            </c:dLbl>
            <c:dLbl>
              <c:idx val="1"/>
              <c:tx>
                <c:rich>
                  <a:bodyPr/>
                  <a:lstStyle/>
                  <a:p>
                    <a:fld id="{C2771BA7-8219-459E-A9B6-A79C5214AD34}" type="CELLRANGE">
                      <a:rPr lang="en-US"/>
                      <a:pPr/>
                      <a:t>[CELLRANGE]</a:t>
                    </a:fld>
                    <a:endParaRPr lang="LID4096"/>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71F-43D1-B688-3888A941B47C}"/>
                </c:ext>
              </c:extLst>
            </c:dLbl>
            <c:dLbl>
              <c:idx val="2"/>
              <c:tx>
                <c:rich>
                  <a:bodyPr/>
                  <a:lstStyle/>
                  <a:p>
                    <a:fld id="{4BCC58A0-2B10-4FA0-8641-240BF2409820}" type="CELLRANGE">
                      <a:rPr lang="en-US"/>
                      <a:pPr/>
                      <a:t>[CELLRANGE]</a:t>
                    </a:fld>
                    <a:endParaRPr lang="LID4096"/>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71F-43D1-B688-3888A941B47C}"/>
                </c:ext>
              </c:extLst>
            </c:dLbl>
            <c:dLbl>
              <c:idx val="3"/>
              <c:tx>
                <c:rich>
                  <a:bodyPr/>
                  <a:lstStyle/>
                  <a:p>
                    <a:fld id="{43C1FB7B-5083-4507-8C09-64586F4464B9}" type="CELLRANGE">
                      <a:rPr lang="en-US"/>
                      <a:pPr/>
                      <a:t>[CELLRANGE]</a:t>
                    </a:fld>
                    <a:endParaRPr lang="LID4096"/>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71F-43D1-B688-3888A941B47C}"/>
                </c:ext>
              </c:extLst>
            </c:dLbl>
            <c:dLbl>
              <c:idx val="4"/>
              <c:tx>
                <c:rich>
                  <a:bodyPr/>
                  <a:lstStyle/>
                  <a:p>
                    <a:fld id="{CD46234F-6751-4351-9375-1FD1E56EC5AF}" type="CELLRANGE">
                      <a:rPr lang="en-US"/>
                      <a:pPr/>
                      <a:t>[CELLRANGE]</a:t>
                    </a:fld>
                    <a:endParaRPr lang="LID4096"/>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71F-43D1-B688-3888A941B4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Analyis!$D$33:$D$37</c:f>
              <c:strCache>
                <c:ptCount val="5"/>
                <c:pt idx="0">
                  <c:v>Beta_Supplies</c:v>
                </c:pt>
                <c:pt idx="1">
                  <c:v>Epsilon_Group</c:v>
                </c:pt>
                <c:pt idx="2">
                  <c:v>Delta_Logistics</c:v>
                </c:pt>
                <c:pt idx="3">
                  <c:v>Gamma_Co</c:v>
                </c:pt>
                <c:pt idx="4">
                  <c:v>Alpha_Inc</c:v>
                </c:pt>
              </c:strCache>
            </c:strRef>
          </c:cat>
          <c:val>
            <c:numRef>
              <c:f>Analyis!$D$33:$D$37</c:f>
              <c:numCache>
                <c:formatCode>General</c:formatCode>
                <c:ptCount val="5"/>
                <c:pt idx="0">
                  <c:v>9858665.9000000022</c:v>
                </c:pt>
                <c:pt idx="1">
                  <c:v>9851156.0600000024</c:v>
                </c:pt>
                <c:pt idx="2">
                  <c:v>9236240.4699999988</c:v>
                </c:pt>
                <c:pt idx="3">
                  <c:v>8587921.7099999972</c:v>
                </c:pt>
                <c:pt idx="4">
                  <c:v>7839712.2500000028</c:v>
                </c:pt>
              </c:numCache>
            </c:numRef>
          </c:val>
          <c:extLst>
            <c:ext xmlns:c15="http://schemas.microsoft.com/office/drawing/2012/chart" uri="{02D57815-91ED-43cb-92C2-25804820EDAC}">
              <c15:datalabelsRange>
                <c15:f>Analyis!$D$33:$D$37</c15:f>
                <c15:dlblRangeCache>
                  <c:ptCount val="5"/>
                  <c:pt idx="0">
                    <c:v>$9.9M</c:v>
                  </c:pt>
                  <c:pt idx="1">
                    <c:v>$9.9M</c:v>
                  </c:pt>
                  <c:pt idx="2">
                    <c:v>$9.2M</c:v>
                  </c:pt>
                  <c:pt idx="3">
                    <c:v>$8.6M</c:v>
                  </c:pt>
                  <c:pt idx="4">
                    <c:v>$7.8M</c:v>
                  </c:pt>
                </c15:dlblRangeCache>
              </c15:datalabelsRange>
            </c:ext>
            <c:ext xmlns:c16="http://schemas.microsoft.com/office/drawing/2014/chart" uri="{C3380CC4-5D6E-409C-BE32-E72D297353CC}">
              <c16:uniqueId val="{00000000-271F-43D1-B688-3888A941B47C}"/>
            </c:ext>
          </c:extLst>
        </c:ser>
        <c:dLbls>
          <c:dLblPos val="outEnd"/>
          <c:showLegendKey val="0"/>
          <c:showVal val="1"/>
          <c:showCatName val="0"/>
          <c:showSerName val="0"/>
          <c:showPercent val="0"/>
          <c:showBubbleSize val="0"/>
        </c:dLbls>
        <c:gapWidth val="219"/>
        <c:overlap val="-27"/>
        <c:axId val="1176495432"/>
        <c:axId val="1255498000"/>
      </c:barChart>
      <c:catAx>
        <c:axId val="1176495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F616D"/>
                </a:solidFill>
                <a:latin typeface="+mn-lt"/>
                <a:ea typeface="+mn-ea"/>
                <a:cs typeface="+mn-cs"/>
              </a:defRPr>
            </a:pPr>
            <a:endParaRPr lang="LID4096"/>
          </a:p>
        </c:txPr>
        <c:crossAx val="1255498000"/>
        <c:crosses val="autoZero"/>
        <c:auto val="1"/>
        <c:lblAlgn val="ctr"/>
        <c:lblOffset val="100"/>
        <c:noMultiLvlLbl val="0"/>
      </c:catAx>
      <c:valAx>
        <c:axId val="1255498000"/>
        <c:scaling>
          <c:orientation val="minMax"/>
        </c:scaling>
        <c:delete val="1"/>
        <c:axPos val="l"/>
        <c:numFmt formatCode="General" sourceLinked="1"/>
        <c:majorTickMark val="none"/>
        <c:minorTickMark val="none"/>
        <c:tickLblPos val="nextTo"/>
        <c:crossAx val="1176495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Dataset.xlsx]Analyis!PivotTable2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F616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F616D"/>
                  </a:solidFill>
                  <a:latin typeface="+mn-lt"/>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Analyis!$C$12</c:f>
              <c:strCache>
                <c:ptCount val="1"/>
                <c:pt idx="0">
                  <c:v>Total</c:v>
                </c:pt>
              </c:strCache>
            </c:strRef>
          </c:tx>
          <c:spPr>
            <a:ln w="28575" cap="rnd">
              <a:solidFill>
                <a:srgbClr val="2F616D"/>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F616D"/>
                    </a:solidFill>
                    <a:latin typeface="+mn-lt"/>
                    <a:ea typeface="+mn-ea"/>
                    <a:cs typeface="+mn-cs"/>
                  </a:defRPr>
                </a:pPr>
                <a:endParaRPr lang="LID4096"/>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Analyis!$B$13:$B$24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Analyis!$C$13:$C$24</c:f>
              <c:numCache>
                <c:formatCode>General</c:formatCode>
                <c:ptCount val="12"/>
                <c:pt idx="0">
                  <c:v>63</c:v>
                </c:pt>
                <c:pt idx="1">
                  <c:v>55</c:v>
                </c:pt>
                <c:pt idx="2">
                  <c:v>80</c:v>
                </c:pt>
                <c:pt idx="3">
                  <c:v>68</c:v>
                </c:pt>
                <c:pt idx="4">
                  <c:v>45</c:v>
                </c:pt>
                <c:pt idx="5">
                  <c:v>60</c:v>
                </c:pt>
                <c:pt idx="6">
                  <c:v>71</c:v>
                </c:pt>
                <c:pt idx="7">
                  <c:v>74</c:v>
                </c:pt>
                <c:pt idx="8">
                  <c:v>72</c:v>
                </c:pt>
                <c:pt idx="9">
                  <c:v>60</c:v>
                </c:pt>
                <c:pt idx="10">
                  <c:v>73</c:v>
                </c:pt>
                <c:pt idx="11">
                  <c:v>56</c:v>
                </c:pt>
              </c:numCache>
            </c:numRef>
          </c:val>
          <c:smooth val="0"/>
          <c:extLst>
            <c:ext xmlns:c16="http://schemas.microsoft.com/office/drawing/2014/chart" uri="{C3380CC4-5D6E-409C-BE32-E72D297353CC}">
              <c16:uniqueId val="{00000000-2377-44E3-B61D-04143E6180BF}"/>
            </c:ext>
          </c:extLst>
        </c:ser>
        <c:dLbls>
          <c:showLegendKey val="0"/>
          <c:showVal val="0"/>
          <c:showCatName val="0"/>
          <c:showSerName val="0"/>
          <c:showPercent val="0"/>
          <c:showBubbleSize val="0"/>
        </c:dLbls>
        <c:smooth val="0"/>
        <c:axId val="1185899224"/>
        <c:axId val="1185901024"/>
      </c:lineChart>
      <c:catAx>
        <c:axId val="1185899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F616D"/>
                </a:solidFill>
                <a:latin typeface="+mn-lt"/>
                <a:ea typeface="+mn-ea"/>
                <a:cs typeface="+mn-cs"/>
              </a:defRPr>
            </a:pPr>
            <a:endParaRPr lang="LID4096"/>
          </a:p>
        </c:txPr>
        <c:crossAx val="1185901024"/>
        <c:crosses val="autoZero"/>
        <c:auto val="1"/>
        <c:lblAlgn val="ctr"/>
        <c:lblOffset val="100"/>
        <c:noMultiLvlLbl val="0"/>
      </c:catAx>
      <c:valAx>
        <c:axId val="1185901024"/>
        <c:scaling>
          <c:orientation val="minMax"/>
        </c:scaling>
        <c:delete val="1"/>
        <c:axPos val="l"/>
        <c:numFmt formatCode="General" sourceLinked="1"/>
        <c:majorTickMark val="none"/>
        <c:minorTickMark val="none"/>
        <c:tickLblPos val="nextTo"/>
        <c:crossAx val="1185899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doughnutChart>
        <c:varyColors val="1"/>
        <c:ser>
          <c:idx val="0"/>
          <c:order val="0"/>
          <c:tx>
            <c:strRef>
              <c:f>Analyis!$C$56</c:f>
              <c:strCache>
                <c:ptCount val="1"/>
                <c:pt idx="0">
                  <c:v>Count of Order_Status</c:v>
                </c:pt>
              </c:strCache>
            </c:strRef>
          </c:tx>
          <c:dPt>
            <c:idx val="0"/>
            <c:bubble3D val="0"/>
            <c:spPr>
              <a:solidFill>
                <a:srgbClr val="2F616D"/>
              </a:solidFill>
              <a:ln w="19050">
                <a:solidFill>
                  <a:schemeClr val="lt1"/>
                </a:solidFill>
              </a:ln>
              <a:effectLst/>
            </c:spPr>
            <c:extLst>
              <c:ext xmlns:c16="http://schemas.microsoft.com/office/drawing/2014/chart" uri="{C3380CC4-5D6E-409C-BE32-E72D297353CC}">
                <c16:uniqueId val="{00000001-D778-4C2D-99BB-B89DF558F545}"/>
              </c:ext>
            </c:extLst>
          </c:dPt>
          <c:dPt>
            <c:idx val="1"/>
            <c:bubble3D val="0"/>
            <c:spPr>
              <a:solidFill>
                <a:srgbClr val="3A9BC4"/>
              </a:solidFill>
              <a:ln w="19050">
                <a:solidFill>
                  <a:schemeClr val="lt1"/>
                </a:solidFill>
              </a:ln>
              <a:effectLst/>
            </c:spPr>
            <c:extLst>
              <c:ext xmlns:c16="http://schemas.microsoft.com/office/drawing/2014/chart" uri="{C3380CC4-5D6E-409C-BE32-E72D297353CC}">
                <c16:uniqueId val="{00000003-D778-4C2D-99BB-B89DF558F545}"/>
              </c:ext>
            </c:extLst>
          </c:dPt>
          <c:dPt>
            <c:idx val="2"/>
            <c:bubble3D val="0"/>
            <c:spPr>
              <a:solidFill>
                <a:srgbClr val="C6EFF8"/>
              </a:solidFill>
              <a:ln w="19050">
                <a:solidFill>
                  <a:schemeClr val="lt1"/>
                </a:solidFill>
              </a:ln>
              <a:effectLst/>
            </c:spPr>
            <c:extLst>
              <c:ext xmlns:c16="http://schemas.microsoft.com/office/drawing/2014/chart" uri="{C3380CC4-5D6E-409C-BE32-E72D297353CC}">
                <c16:uniqueId val="{00000005-D778-4C2D-99BB-B89DF558F545}"/>
              </c:ext>
            </c:extLst>
          </c:dPt>
          <c:dPt>
            <c:idx val="3"/>
            <c:bubble3D val="0"/>
            <c:spPr>
              <a:solidFill>
                <a:srgbClr val="7ED7EA"/>
              </a:solidFill>
              <a:ln w="19050">
                <a:solidFill>
                  <a:schemeClr val="lt1"/>
                </a:solidFill>
              </a:ln>
              <a:effectLst/>
            </c:spPr>
            <c:extLst>
              <c:ext xmlns:c16="http://schemas.microsoft.com/office/drawing/2014/chart" uri="{C3380CC4-5D6E-409C-BE32-E72D297353CC}">
                <c16:uniqueId val="{00000007-D778-4C2D-99BB-B89DF558F545}"/>
              </c:ext>
            </c:extLst>
          </c:dPt>
          <c:dLbls>
            <c:delete val="1"/>
          </c:dLbls>
          <c:cat>
            <c:strRef>
              <c:f>Analyis!$B$57:$B$60</c:f>
              <c:strCache>
                <c:ptCount val="4"/>
                <c:pt idx="0">
                  <c:v>Delivered</c:v>
                </c:pt>
                <c:pt idx="1">
                  <c:v>Pending</c:v>
                </c:pt>
                <c:pt idx="2">
                  <c:v>Partially Delivered</c:v>
                </c:pt>
                <c:pt idx="3">
                  <c:v>Cancelled</c:v>
                </c:pt>
              </c:strCache>
            </c:strRef>
          </c:cat>
          <c:val>
            <c:numRef>
              <c:f>Analyis!$C$57:$C$60</c:f>
              <c:numCache>
                <c:formatCode>General</c:formatCode>
                <c:ptCount val="4"/>
                <c:pt idx="0">
                  <c:v>560</c:v>
                </c:pt>
                <c:pt idx="1">
                  <c:v>81</c:v>
                </c:pt>
                <c:pt idx="2">
                  <c:v>73</c:v>
                </c:pt>
                <c:pt idx="3">
                  <c:v>63</c:v>
                </c:pt>
              </c:numCache>
            </c:numRef>
          </c:val>
          <c:extLst>
            <c:ext xmlns:c16="http://schemas.microsoft.com/office/drawing/2014/chart" uri="{C3380CC4-5D6E-409C-BE32-E72D297353CC}">
              <c16:uniqueId val="{00000008-D778-4C2D-99BB-B89DF558F54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2F616D"/>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rgbClr val="2F616D"/>
              </a:solidFill>
              <a:latin typeface="+mn-lt"/>
              <a:ea typeface="+mn-ea"/>
              <a:cs typeface="+mn-cs"/>
            </a:defRPr>
          </a:pPr>
          <a:endParaRPr lang="LID4096"/>
        </a:p>
      </c:txPr>
    </c:title>
    <c:autoTitleDeleted val="0"/>
    <c:plotArea>
      <c:layout/>
      <c:barChart>
        <c:barDir val="col"/>
        <c:grouping val="clustered"/>
        <c:varyColors val="0"/>
        <c:ser>
          <c:idx val="0"/>
          <c:order val="0"/>
          <c:tx>
            <c:strRef>
              <c:f>Analyis!$N$27</c:f>
              <c:strCache>
                <c:ptCount val="1"/>
                <c:pt idx="0">
                  <c:v>Average of Lead Time</c:v>
                </c:pt>
              </c:strCache>
            </c:strRef>
          </c:tx>
          <c:spPr>
            <a:solidFill>
              <a:srgbClr val="2F616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F616D"/>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Analyis!$M$28:$M$32</c:f>
              <c:strCache>
                <c:ptCount val="5"/>
                <c:pt idx="0">
                  <c:v>Gamma_Co</c:v>
                </c:pt>
                <c:pt idx="1">
                  <c:v>Alpha_Inc</c:v>
                </c:pt>
                <c:pt idx="2">
                  <c:v>Delta_Logistics</c:v>
                </c:pt>
                <c:pt idx="3">
                  <c:v>Epsilon_Group</c:v>
                </c:pt>
                <c:pt idx="4">
                  <c:v>Beta_Supplies</c:v>
                </c:pt>
              </c:strCache>
            </c:strRef>
          </c:cat>
          <c:val>
            <c:numRef>
              <c:f>Analyis!$N$28:$N$32</c:f>
              <c:numCache>
                <c:formatCode>0.0</c:formatCode>
                <c:ptCount val="5"/>
                <c:pt idx="0">
                  <c:v>10.192307692307692</c:v>
                </c:pt>
                <c:pt idx="1">
                  <c:v>10.606837606837606</c:v>
                </c:pt>
                <c:pt idx="2">
                  <c:v>10.85430463576159</c:v>
                </c:pt>
                <c:pt idx="3">
                  <c:v>10.865771812080537</c:v>
                </c:pt>
                <c:pt idx="4">
                  <c:v>11.272727272727273</c:v>
                </c:pt>
              </c:numCache>
            </c:numRef>
          </c:val>
          <c:extLst>
            <c:ext xmlns:c16="http://schemas.microsoft.com/office/drawing/2014/chart" uri="{C3380CC4-5D6E-409C-BE32-E72D297353CC}">
              <c16:uniqueId val="{00000000-10D5-4641-84B5-E0B685E12AAE}"/>
            </c:ext>
          </c:extLst>
        </c:ser>
        <c:dLbls>
          <c:showLegendKey val="0"/>
          <c:showVal val="0"/>
          <c:showCatName val="0"/>
          <c:showSerName val="0"/>
          <c:showPercent val="0"/>
          <c:showBubbleSize val="0"/>
        </c:dLbls>
        <c:gapWidth val="219"/>
        <c:overlap val="-27"/>
        <c:axId val="1330757768"/>
        <c:axId val="1330760288"/>
      </c:barChart>
      <c:catAx>
        <c:axId val="1330757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F616D"/>
                </a:solidFill>
                <a:latin typeface="+mn-lt"/>
                <a:ea typeface="+mn-ea"/>
                <a:cs typeface="+mn-cs"/>
              </a:defRPr>
            </a:pPr>
            <a:endParaRPr lang="LID4096"/>
          </a:p>
        </c:txPr>
        <c:crossAx val="1330760288"/>
        <c:crosses val="autoZero"/>
        <c:auto val="1"/>
        <c:lblAlgn val="ctr"/>
        <c:lblOffset val="100"/>
        <c:noMultiLvlLbl val="0"/>
      </c:catAx>
      <c:valAx>
        <c:axId val="1330760288"/>
        <c:scaling>
          <c:orientation val="minMax"/>
        </c:scaling>
        <c:delete val="1"/>
        <c:axPos val="l"/>
        <c:numFmt formatCode="0.0" sourceLinked="1"/>
        <c:majorTickMark val="none"/>
        <c:minorTickMark val="none"/>
        <c:tickLblPos val="nextTo"/>
        <c:crossAx val="13307577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Dataset.xlsx]Analyis!PivotTable17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Defect Rate</a:t>
            </a:r>
            <a:r>
              <a:rPr lang="en-US" baseline="0"/>
              <a:t> by Suppliers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61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F616D"/>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Analyis!$K$100</c:f>
              <c:strCache>
                <c:ptCount val="1"/>
                <c:pt idx="0">
                  <c:v>Total</c:v>
                </c:pt>
              </c:strCache>
            </c:strRef>
          </c:tx>
          <c:spPr>
            <a:solidFill>
              <a:srgbClr val="2F616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F616D"/>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Analyis!$J$101:$J$105</c:f>
              <c:strCache>
                <c:ptCount val="5"/>
                <c:pt idx="0">
                  <c:v>Alpha_Inc</c:v>
                </c:pt>
                <c:pt idx="1">
                  <c:v>Epsilon_Group</c:v>
                </c:pt>
                <c:pt idx="2">
                  <c:v>Gamma_Co</c:v>
                </c:pt>
                <c:pt idx="3">
                  <c:v>Beta_Supplies</c:v>
                </c:pt>
                <c:pt idx="4">
                  <c:v>Delta_Logistics</c:v>
                </c:pt>
              </c:strCache>
            </c:strRef>
          </c:cat>
          <c:val>
            <c:numRef>
              <c:f>Analyis!$K$101:$K$105</c:f>
              <c:numCache>
                <c:formatCode>0%</c:formatCode>
                <c:ptCount val="5"/>
                <c:pt idx="0">
                  <c:v>1.8905480249045158E-2</c:v>
                </c:pt>
                <c:pt idx="1">
                  <c:v>2.6062688536434179E-2</c:v>
                </c:pt>
                <c:pt idx="2">
                  <c:v>4.4975366268364222E-2</c:v>
                </c:pt>
                <c:pt idx="3">
                  <c:v>8.2723266148986341E-2</c:v>
                </c:pt>
                <c:pt idx="4">
                  <c:v>0.10866574358013059</c:v>
                </c:pt>
              </c:numCache>
            </c:numRef>
          </c:val>
          <c:extLst>
            <c:ext xmlns:c16="http://schemas.microsoft.com/office/drawing/2014/chart" uri="{C3380CC4-5D6E-409C-BE32-E72D297353CC}">
              <c16:uniqueId val="{00000000-31C3-41D0-AB3C-CC32F9B282A7}"/>
            </c:ext>
          </c:extLst>
        </c:ser>
        <c:dLbls>
          <c:dLblPos val="outEnd"/>
          <c:showLegendKey val="0"/>
          <c:showVal val="1"/>
          <c:showCatName val="0"/>
          <c:showSerName val="0"/>
          <c:showPercent val="0"/>
          <c:showBubbleSize val="0"/>
        </c:dLbls>
        <c:gapWidth val="219"/>
        <c:overlap val="-27"/>
        <c:axId val="1175684152"/>
        <c:axId val="1175685952"/>
      </c:barChart>
      <c:catAx>
        <c:axId val="1175684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F616D"/>
                </a:solidFill>
                <a:latin typeface="+mn-lt"/>
                <a:ea typeface="+mn-ea"/>
                <a:cs typeface="+mn-cs"/>
              </a:defRPr>
            </a:pPr>
            <a:endParaRPr lang="LID4096"/>
          </a:p>
        </c:txPr>
        <c:crossAx val="1175685952"/>
        <c:crosses val="autoZero"/>
        <c:auto val="1"/>
        <c:lblAlgn val="ctr"/>
        <c:lblOffset val="100"/>
        <c:noMultiLvlLbl val="0"/>
      </c:catAx>
      <c:valAx>
        <c:axId val="1175685952"/>
        <c:scaling>
          <c:orientation val="minMax"/>
        </c:scaling>
        <c:delete val="1"/>
        <c:axPos val="l"/>
        <c:numFmt formatCode="0%" sourceLinked="1"/>
        <c:majorTickMark val="none"/>
        <c:minorTickMark val="none"/>
        <c:tickLblPos val="nextTo"/>
        <c:crossAx val="1175684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Dataset.xlsx]Analyis!PivotTable7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Compliance</a:t>
            </a:r>
            <a:r>
              <a:rPr lang="en-US" baseline="0"/>
              <a:t> By Suppliers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61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Analyis!$K$7</c:f>
              <c:strCache>
                <c:ptCount val="1"/>
                <c:pt idx="0">
                  <c:v>Total</c:v>
                </c:pt>
              </c:strCache>
            </c:strRef>
          </c:tx>
          <c:spPr>
            <a:solidFill>
              <a:srgbClr val="2F616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Analyis!$J$8:$J$12</c:f>
              <c:strCache>
                <c:ptCount val="5"/>
                <c:pt idx="0">
                  <c:v>Alpha_Inc</c:v>
                </c:pt>
                <c:pt idx="1">
                  <c:v>Gamma_Co</c:v>
                </c:pt>
                <c:pt idx="2">
                  <c:v>Beta_Supplies</c:v>
                </c:pt>
                <c:pt idx="3">
                  <c:v>Epsilon_Group</c:v>
                </c:pt>
                <c:pt idx="4">
                  <c:v>Delta_Logistics</c:v>
                </c:pt>
              </c:strCache>
            </c:strRef>
          </c:cat>
          <c:val>
            <c:numRef>
              <c:f>Analyis!$K$8:$K$12</c:f>
              <c:numCache>
                <c:formatCode>General</c:formatCode>
                <c:ptCount val="5"/>
                <c:pt idx="0">
                  <c:v>141</c:v>
                </c:pt>
                <c:pt idx="1">
                  <c:v>143</c:v>
                </c:pt>
                <c:pt idx="2">
                  <c:v>156</c:v>
                </c:pt>
                <c:pt idx="3">
                  <c:v>166</c:v>
                </c:pt>
                <c:pt idx="4">
                  <c:v>171</c:v>
                </c:pt>
              </c:numCache>
            </c:numRef>
          </c:val>
          <c:extLst>
            <c:ext xmlns:c16="http://schemas.microsoft.com/office/drawing/2014/chart" uri="{C3380CC4-5D6E-409C-BE32-E72D297353CC}">
              <c16:uniqueId val="{00000000-4FA5-4027-B5EE-F5643969A297}"/>
            </c:ext>
          </c:extLst>
        </c:ser>
        <c:dLbls>
          <c:dLblPos val="outEnd"/>
          <c:showLegendKey val="0"/>
          <c:showVal val="1"/>
          <c:showCatName val="0"/>
          <c:showSerName val="0"/>
          <c:showPercent val="0"/>
          <c:showBubbleSize val="0"/>
        </c:dLbls>
        <c:gapWidth val="182"/>
        <c:axId val="1270774680"/>
        <c:axId val="1270773600"/>
      </c:barChart>
      <c:catAx>
        <c:axId val="1270774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F616D"/>
                </a:solidFill>
                <a:latin typeface="+mn-lt"/>
                <a:ea typeface="+mn-ea"/>
                <a:cs typeface="+mn-cs"/>
              </a:defRPr>
            </a:pPr>
            <a:endParaRPr lang="LID4096"/>
          </a:p>
        </c:txPr>
        <c:crossAx val="1270773600"/>
        <c:crosses val="autoZero"/>
        <c:auto val="1"/>
        <c:lblAlgn val="ctr"/>
        <c:lblOffset val="100"/>
        <c:noMultiLvlLbl val="0"/>
      </c:catAx>
      <c:valAx>
        <c:axId val="1270773600"/>
        <c:scaling>
          <c:orientation val="minMax"/>
        </c:scaling>
        <c:delete val="1"/>
        <c:axPos val="b"/>
        <c:numFmt formatCode="General" sourceLinked="1"/>
        <c:majorTickMark val="none"/>
        <c:minorTickMark val="none"/>
        <c:tickLblPos val="nextTo"/>
        <c:crossAx val="1270774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Dataset.xlsx]Analyis!PivotTable18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On-Time</a:t>
            </a:r>
            <a:r>
              <a:rPr lang="en-US" baseline="0"/>
              <a:t> Vs Late-Delivery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DAED0"/>
          </a:solidFill>
          <a:ln w="19050">
            <a:solidFill>
              <a:schemeClr val="lt1"/>
            </a:solidFill>
          </a:ln>
          <a:effectLst/>
        </c:spPr>
      </c:pivotFmt>
      <c:pivotFmt>
        <c:idx val="6"/>
        <c:spPr>
          <a:solidFill>
            <a:srgbClr val="2F616D"/>
          </a:solidFill>
          <a:ln w="19050">
            <a:solidFill>
              <a:schemeClr val="lt1"/>
            </a:solidFill>
          </a:ln>
          <a:effectLst/>
        </c:spPr>
      </c:pivotFmt>
    </c:pivotFmts>
    <c:plotArea>
      <c:layout/>
      <c:doughnutChart>
        <c:varyColors val="1"/>
        <c:ser>
          <c:idx val="0"/>
          <c:order val="0"/>
          <c:tx>
            <c:strRef>
              <c:f>Analyis!$N$89</c:f>
              <c:strCache>
                <c:ptCount val="1"/>
                <c:pt idx="0">
                  <c:v>Total</c:v>
                </c:pt>
              </c:strCache>
            </c:strRef>
          </c:tx>
          <c:dPt>
            <c:idx val="0"/>
            <c:bubble3D val="0"/>
            <c:spPr>
              <a:solidFill>
                <a:srgbClr val="4DAED0"/>
              </a:solidFill>
              <a:ln w="19050">
                <a:solidFill>
                  <a:schemeClr val="lt1"/>
                </a:solidFill>
              </a:ln>
              <a:effectLst/>
            </c:spPr>
            <c:extLst>
              <c:ext xmlns:c16="http://schemas.microsoft.com/office/drawing/2014/chart" uri="{C3380CC4-5D6E-409C-BE32-E72D297353CC}">
                <c16:uniqueId val="{00000001-B867-4260-87D5-A2486D1970A4}"/>
              </c:ext>
            </c:extLst>
          </c:dPt>
          <c:dPt>
            <c:idx val="1"/>
            <c:bubble3D val="0"/>
            <c:spPr>
              <a:solidFill>
                <a:srgbClr val="2F616D"/>
              </a:solidFill>
              <a:ln w="19050">
                <a:solidFill>
                  <a:schemeClr val="lt1"/>
                </a:solidFill>
              </a:ln>
              <a:effectLst/>
            </c:spPr>
            <c:extLst>
              <c:ext xmlns:c16="http://schemas.microsoft.com/office/drawing/2014/chart" uri="{C3380CC4-5D6E-409C-BE32-E72D297353CC}">
                <c16:uniqueId val="{00000003-B867-4260-87D5-A2486D1970A4}"/>
              </c:ext>
            </c:extLst>
          </c:dPt>
          <c:cat>
            <c:strRef>
              <c:f>Analyis!$M$90:$M$92</c:f>
              <c:strCache>
                <c:ptCount val="2"/>
                <c:pt idx="0">
                  <c:v>Late</c:v>
                </c:pt>
                <c:pt idx="1">
                  <c:v>On Time</c:v>
                </c:pt>
              </c:strCache>
            </c:strRef>
          </c:cat>
          <c:val>
            <c:numRef>
              <c:f>Analyis!$N$90:$N$92</c:f>
              <c:numCache>
                <c:formatCode>General</c:formatCode>
                <c:ptCount val="2"/>
                <c:pt idx="0">
                  <c:v>305</c:v>
                </c:pt>
                <c:pt idx="1">
                  <c:v>472</c:v>
                </c:pt>
              </c:numCache>
            </c:numRef>
          </c:val>
          <c:extLst>
            <c:ext xmlns:c16="http://schemas.microsoft.com/office/drawing/2014/chart" uri="{C3380CC4-5D6E-409C-BE32-E72D297353CC}">
              <c16:uniqueId val="{00000004-B867-4260-87D5-A2486D1970A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hyperlink" Target="#Recommendation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Supplier Performance'!A1"/><Relationship Id="rId5" Type="http://schemas.openxmlformats.org/officeDocument/2006/relationships/hyperlink" Target="#'Procurement Overview'!A1"/><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hyperlink" Target="#Recommendations!A1"/><Relationship Id="rId5" Type="http://schemas.openxmlformats.org/officeDocument/2006/relationships/hyperlink" Target="#'Procurement Overview'!A1"/><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hyperlink" Target="#Recommendations!A1"/><Relationship Id="rId2" Type="http://schemas.openxmlformats.org/officeDocument/2006/relationships/hyperlink" Target="#'Supplier Performance'!A1"/><Relationship Id="rId1" Type="http://schemas.openxmlformats.org/officeDocument/2006/relationships/hyperlink" Target="#'Procurement Overview'!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243840</xdr:colOff>
      <xdr:row>37</xdr:row>
      <xdr:rowOff>15240</xdr:rowOff>
    </xdr:to>
    <xdr:sp macro="" textlink="">
      <xdr:nvSpPr>
        <xdr:cNvPr id="2" name="Rectangle 1">
          <a:extLst>
            <a:ext uri="{FF2B5EF4-FFF2-40B4-BE49-F238E27FC236}">
              <a16:creationId xmlns:a16="http://schemas.microsoft.com/office/drawing/2014/main" id="{9B2ED9E0-CB5C-759C-4426-0678701572D4}"/>
            </a:ext>
          </a:extLst>
        </xdr:cNvPr>
        <xdr:cNvSpPr/>
      </xdr:nvSpPr>
      <xdr:spPr>
        <a:xfrm>
          <a:off x="0" y="0"/>
          <a:ext cx="1463040" cy="6781800"/>
        </a:xfrm>
        <a:prstGeom prst="rect">
          <a:avLst/>
        </a:prstGeom>
        <a:solidFill>
          <a:srgbClr val="2F61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2</xdr:col>
      <xdr:colOff>281940</xdr:colOff>
      <xdr:row>0</xdr:row>
      <xdr:rowOff>0</xdr:rowOff>
    </xdr:from>
    <xdr:to>
      <xdr:col>19</xdr:col>
      <xdr:colOff>251460</xdr:colOff>
      <xdr:row>2</xdr:row>
      <xdr:rowOff>45720</xdr:rowOff>
    </xdr:to>
    <xdr:sp macro="" textlink="">
      <xdr:nvSpPr>
        <xdr:cNvPr id="4" name="Rectangle: Rounded Corners 3">
          <a:extLst>
            <a:ext uri="{FF2B5EF4-FFF2-40B4-BE49-F238E27FC236}">
              <a16:creationId xmlns:a16="http://schemas.microsoft.com/office/drawing/2014/main" id="{2CC0F3E0-895C-0F36-BDC0-F8CE72896238}"/>
            </a:ext>
          </a:extLst>
        </xdr:cNvPr>
        <xdr:cNvSpPr/>
      </xdr:nvSpPr>
      <xdr:spPr>
        <a:xfrm>
          <a:off x="1501140" y="0"/>
          <a:ext cx="10332720" cy="411480"/>
        </a:xfrm>
        <a:prstGeom prst="roundRect">
          <a:avLst>
            <a:gd name="adj" fmla="val 4286"/>
          </a:avLst>
        </a:prstGeom>
        <a:solidFill>
          <a:srgbClr val="2F61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2</xdr:col>
      <xdr:colOff>304800</xdr:colOff>
      <xdr:row>2</xdr:row>
      <xdr:rowOff>114300</xdr:rowOff>
    </xdr:from>
    <xdr:to>
      <xdr:col>5</xdr:col>
      <xdr:colOff>114300</xdr:colOff>
      <xdr:row>7</xdr:row>
      <xdr:rowOff>53340</xdr:rowOff>
    </xdr:to>
    <xdr:sp macro="" textlink="">
      <xdr:nvSpPr>
        <xdr:cNvPr id="5" name="Rectangle: Rounded Corners 4">
          <a:extLst>
            <a:ext uri="{FF2B5EF4-FFF2-40B4-BE49-F238E27FC236}">
              <a16:creationId xmlns:a16="http://schemas.microsoft.com/office/drawing/2014/main" id="{CB439F3D-30C2-1AD9-84E2-4BFCFD1E1E02}"/>
            </a:ext>
          </a:extLst>
        </xdr:cNvPr>
        <xdr:cNvSpPr/>
      </xdr:nvSpPr>
      <xdr:spPr>
        <a:xfrm>
          <a:off x="1524000" y="480060"/>
          <a:ext cx="1638300" cy="853440"/>
        </a:xfrm>
        <a:prstGeom prst="roundRect">
          <a:avLst>
            <a:gd name="adj" fmla="val 4286"/>
          </a:avLst>
        </a:prstGeom>
        <a:solidFill>
          <a:srgbClr val="2F61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5</xdr:col>
      <xdr:colOff>242316</xdr:colOff>
      <xdr:row>2</xdr:row>
      <xdr:rowOff>114300</xdr:rowOff>
    </xdr:from>
    <xdr:to>
      <xdr:col>8</xdr:col>
      <xdr:colOff>28956</xdr:colOff>
      <xdr:row>7</xdr:row>
      <xdr:rowOff>53340</xdr:rowOff>
    </xdr:to>
    <xdr:sp macro="" textlink="">
      <xdr:nvSpPr>
        <xdr:cNvPr id="6" name="Rectangle: Rounded Corners 5">
          <a:extLst>
            <a:ext uri="{FF2B5EF4-FFF2-40B4-BE49-F238E27FC236}">
              <a16:creationId xmlns:a16="http://schemas.microsoft.com/office/drawing/2014/main" id="{125DFFE4-9C33-C909-39E4-401C4605411B}"/>
            </a:ext>
          </a:extLst>
        </xdr:cNvPr>
        <xdr:cNvSpPr/>
      </xdr:nvSpPr>
      <xdr:spPr>
        <a:xfrm>
          <a:off x="3290316" y="480060"/>
          <a:ext cx="1615440" cy="853440"/>
        </a:xfrm>
        <a:prstGeom prst="roundRect">
          <a:avLst>
            <a:gd name="adj" fmla="val 4286"/>
          </a:avLst>
        </a:prstGeom>
        <a:solidFill>
          <a:srgbClr val="2F61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8</xdr:col>
      <xdr:colOff>156972</xdr:colOff>
      <xdr:row>2</xdr:row>
      <xdr:rowOff>114300</xdr:rowOff>
    </xdr:from>
    <xdr:to>
      <xdr:col>10</xdr:col>
      <xdr:colOff>553212</xdr:colOff>
      <xdr:row>7</xdr:row>
      <xdr:rowOff>53340</xdr:rowOff>
    </xdr:to>
    <xdr:sp macro="" textlink="">
      <xdr:nvSpPr>
        <xdr:cNvPr id="7" name="Rectangle: Rounded Corners 6">
          <a:extLst>
            <a:ext uri="{FF2B5EF4-FFF2-40B4-BE49-F238E27FC236}">
              <a16:creationId xmlns:a16="http://schemas.microsoft.com/office/drawing/2014/main" id="{20F624B6-01BC-2226-934B-DA77EC9A69AA}"/>
            </a:ext>
          </a:extLst>
        </xdr:cNvPr>
        <xdr:cNvSpPr/>
      </xdr:nvSpPr>
      <xdr:spPr>
        <a:xfrm>
          <a:off x="5033772" y="480060"/>
          <a:ext cx="1615440" cy="853440"/>
        </a:xfrm>
        <a:prstGeom prst="roundRect">
          <a:avLst>
            <a:gd name="adj" fmla="val 4286"/>
          </a:avLst>
        </a:prstGeom>
        <a:solidFill>
          <a:srgbClr val="2F61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11</xdr:col>
      <xdr:colOff>71628</xdr:colOff>
      <xdr:row>2</xdr:row>
      <xdr:rowOff>114300</xdr:rowOff>
    </xdr:from>
    <xdr:to>
      <xdr:col>13</xdr:col>
      <xdr:colOff>467868</xdr:colOff>
      <xdr:row>7</xdr:row>
      <xdr:rowOff>53340</xdr:rowOff>
    </xdr:to>
    <xdr:sp macro="" textlink="">
      <xdr:nvSpPr>
        <xdr:cNvPr id="8" name="Rectangle: Rounded Corners 7">
          <a:extLst>
            <a:ext uri="{FF2B5EF4-FFF2-40B4-BE49-F238E27FC236}">
              <a16:creationId xmlns:a16="http://schemas.microsoft.com/office/drawing/2014/main" id="{B4DC10C7-E9BF-4905-2937-8AF7377A2B05}"/>
            </a:ext>
          </a:extLst>
        </xdr:cNvPr>
        <xdr:cNvSpPr/>
      </xdr:nvSpPr>
      <xdr:spPr>
        <a:xfrm>
          <a:off x="6777228" y="480060"/>
          <a:ext cx="1615440" cy="853440"/>
        </a:xfrm>
        <a:prstGeom prst="roundRect">
          <a:avLst>
            <a:gd name="adj" fmla="val 4286"/>
          </a:avLst>
        </a:prstGeom>
        <a:solidFill>
          <a:srgbClr val="2F61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2</xdr:col>
      <xdr:colOff>335280</xdr:colOff>
      <xdr:row>8</xdr:row>
      <xdr:rowOff>30480</xdr:rowOff>
    </xdr:from>
    <xdr:to>
      <xdr:col>11</xdr:col>
      <xdr:colOff>0</xdr:colOff>
      <xdr:row>21</xdr:row>
      <xdr:rowOff>175260</xdr:rowOff>
    </xdr:to>
    <xdr:sp macro="" textlink="">
      <xdr:nvSpPr>
        <xdr:cNvPr id="11" name="Rectangle: Rounded Corners 10">
          <a:extLst>
            <a:ext uri="{FF2B5EF4-FFF2-40B4-BE49-F238E27FC236}">
              <a16:creationId xmlns:a16="http://schemas.microsoft.com/office/drawing/2014/main" id="{49BBC496-A50F-3519-AEDA-4835A5F975FA}"/>
            </a:ext>
          </a:extLst>
        </xdr:cNvPr>
        <xdr:cNvSpPr/>
      </xdr:nvSpPr>
      <xdr:spPr>
        <a:xfrm>
          <a:off x="1554480" y="1493520"/>
          <a:ext cx="5151120" cy="2522220"/>
        </a:xfrm>
        <a:prstGeom prst="roundRect">
          <a:avLst>
            <a:gd name="adj" fmla="val 4286"/>
          </a:avLst>
        </a:prstGeom>
        <a:solidFill>
          <a:schemeClr val="bg1"/>
        </a:solidFill>
        <a:ln>
          <a:solidFill>
            <a:srgbClr val="7ED7E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11</xdr:col>
      <xdr:colOff>106680</xdr:colOff>
      <xdr:row>8</xdr:row>
      <xdr:rowOff>15240</xdr:rowOff>
    </xdr:from>
    <xdr:to>
      <xdr:col>19</xdr:col>
      <xdr:colOff>373380</xdr:colOff>
      <xdr:row>21</xdr:row>
      <xdr:rowOff>160020</xdr:rowOff>
    </xdr:to>
    <xdr:sp macro="" textlink="">
      <xdr:nvSpPr>
        <xdr:cNvPr id="12" name="Rectangle: Rounded Corners 11">
          <a:extLst>
            <a:ext uri="{FF2B5EF4-FFF2-40B4-BE49-F238E27FC236}">
              <a16:creationId xmlns:a16="http://schemas.microsoft.com/office/drawing/2014/main" id="{80F841CD-138F-D081-4F8E-DDABEAD6DE71}"/>
            </a:ext>
          </a:extLst>
        </xdr:cNvPr>
        <xdr:cNvSpPr/>
      </xdr:nvSpPr>
      <xdr:spPr>
        <a:xfrm>
          <a:off x="6812280" y="1478280"/>
          <a:ext cx="5143500" cy="2522220"/>
        </a:xfrm>
        <a:prstGeom prst="roundRect">
          <a:avLst>
            <a:gd name="adj" fmla="val 4286"/>
          </a:avLst>
        </a:prstGeom>
        <a:solidFill>
          <a:schemeClr val="bg1"/>
        </a:solidFill>
        <a:ln>
          <a:solidFill>
            <a:srgbClr val="7ED7E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2</xdr:col>
      <xdr:colOff>335280</xdr:colOff>
      <xdr:row>22</xdr:row>
      <xdr:rowOff>99060</xdr:rowOff>
    </xdr:from>
    <xdr:to>
      <xdr:col>11</xdr:col>
      <xdr:colOff>53340</xdr:colOff>
      <xdr:row>36</xdr:row>
      <xdr:rowOff>60960</xdr:rowOff>
    </xdr:to>
    <xdr:sp macro="" textlink="">
      <xdr:nvSpPr>
        <xdr:cNvPr id="13" name="Rectangle: Rounded Corners 12">
          <a:extLst>
            <a:ext uri="{FF2B5EF4-FFF2-40B4-BE49-F238E27FC236}">
              <a16:creationId xmlns:a16="http://schemas.microsoft.com/office/drawing/2014/main" id="{CEA415E1-4F30-D188-0A15-B849CFB925CF}"/>
            </a:ext>
          </a:extLst>
        </xdr:cNvPr>
        <xdr:cNvSpPr/>
      </xdr:nvSpPr>
      <xdr:spPr>
        <a:xfrm>
          <a:off x="1554480" y="4122420"/>
          <a:ext cx="5204460" cy="2522220"/>
        </a:xfrm>
        <a:prstGeom prst="roundRect">
          <a:avLst>
            <a:gd name="adj" fmla="val 3078"/>
          </a:avLst>
        </a:prstGeom>
        <a:solidFill>
          <a:schemeClr val="bg1"/>
        </a:solidFill>
        <a:ln>
          <a:solidFill>
            <a:srgbClr val="7ED7E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11</xdr:col>
      <xdr:colOff>137160</xdr:colOff>
      <xdr:row>22</xdr:row>
      <xdr:rowOff>91440</xdr:rowOff>
    </xdr:from>
    <xdr:to>
      <xdr:col>19</xdr:col>
      <xdr:colOff>419100</xdr:colOff>
      <xdr:row>36</xdr:row>
      <xdr:rowOff>53340</xdr:rowOff>
    </xdr:to>
    <xdr:sp macro="" textlink="">
      <xdr:nvSpPr>
        <xdr:cNvPr id="14" name="Rectangle: Rounded Corners 13">
          <a:extLst>
            <a:ext uri="{FF2B5EF4-FFF2-40B4-BE49-F238E27FC236}">
              <a16:creationId xmlns:a16="http://schemas.microsoft.com/office/drawing/2014/main" id="{06752CDF-BF05-77A4-0ED2-18B8AEAFA3EF}"/>
            </a:ext>
          </a:extLst>
        </xdr:cNvPr>
        <xdr:cNvSpPr/>
      </xdr:nvSpPr>
      <xdr:spPr>
        <a:xfrm>
          <a:off x="6842760" y="4114800"/>
          <a:ext cx="5158740" cy="2522220"/>
        </a:xfrm>
        <a:prstGeom prst="roundRect">
          <a:avLst>
            <a:gd name="adj" fmla="val 2473"/>
          </a:avLst>
        </a:prstGeom>
        <a:solidFill>
          <a:schemeClr val="bg1"/>
        </a:solidFill>
        <a:ln>
          <a:solidFill>
            <a:srgbClr val="7ED7E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11</xdr:col>
      <xdr:colOff>198120</xdr:colOff>
      <xdr:row>8</xdr:row>
      <xdr:rowOff>45720</xdr:rowOff>
    </xdr:from>
    <xdr:to>
      <xdr:col>19</xdr:col>
      <xdr:colOff>312420</xdr:colOff>
      <xdr:row>21</xdr:row>
      <xdr:rowOff>121920</xdr:rowOff>
    </xdr:to>
    <xdr:graphicFrame macro="">
      <xdr:nvGraphicFramePr>
        <xdr:cNvPr id="15" name="Chart 14">
          <a:extLst>
            <a:ext uri="{FF2B5EF4-FFF2-40B4-BE49-F238E27FC236}">
              <a16:creationId xmlns:a16="http://schemas.microsoft.com/office/drawing/2014/main" id="{734425F5-DD31-4C21-8ED6-BF7ED8638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213360</xdr:colOff>
      <xdr:row>22</xdr:row>
      <xdr:rowOff>137160</xdr:rowOff>
    </xdr:from>
    <xdr:to>
      <xdr:col>19</xdr:col>
      <xdr:colOff>304800</xdr:colOff>
      <xdr:row>35</xdr:row>
      <xdr:rowOff>144780</xdr:rowOff>
    </xdr:to>
    <xdr:graphicFrame macro="">
      <xdr:nvGraphicFramePr>
        <xdr:cNvPr id="16" name="Chart 15">
          <a:extLst>
            <a:ext uri="{FF2B5EF4-FFF2-40B4-BE49-F238E27FC236}">
              <a16:creationId xmlns:a16="http://schemas.microsoft.com/office/drawing/2014/main" id="{29F523E9-6A1B-4E3D-BABF-02FAE20CD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381000</xdr:colOff>
      <xdr:row>8</xdr:row>
      <xdr:rowOff>76200</xdr:rowOff>
    </xdr:from>
    <xdr:to>
      <xdr:col>10</xdr:col>
      <xdr:colOff>563880</xdr:colOff>
      <xdr:row>21</xdr:row>
      <xdr:rowOff>99060</xdr:rowOff>
    </xdr:to>
    <xdr:graphicFrame macro="">
      <xdr:nvGraphicFramePr>
        <xdr:cNvPr id="18" name="Chart 17">
          <a:extLst>
            <a:ext uri="{FF2B5EF4-FFF2-40B4-BE49-F238E27FC236}">
              <a16:creationId xmlns:a16="http://schemas.microsoft.com/office/drawing/2014/main" id="{5BB2CFD5-ACAB-42C9-ADBC-CD33558A0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350520</xdr:colOff>
      <xdr:row>2</xdr:row>
      <xdr:rowOff>160020</xdr:rowOff>
    </xdr:from>
    <xdr:to>
      <xdr:col>5</xdr:col>
      <xdr:colOff>76200</xdr:colOff>
      <xdr:row>4</xdr:row>
      <xdr:rowOff>60960</xdr:rowOff>
    </xdr:to>
    <xdr:sp macro="" textlink="">
      <xdr:nvSpPr>
        <xdr:cNvPr id="19" name="TextBox 18">
          <a:extLst>
            <a:ext uri="{FF2B5EF4-FFF2-40B4-BE49-F238E27FC236}">
              <a16:creationId xmlns:a16="http://schemas.microsoft.com/office/drawing/2014/main" id="{4B587B8D-EE31-A223-013C-B54A945570CB}"/>
            </a:ext>
          </a:extLst>
        </xdr:cNvPr>
        <xdr:cNvSpPr txBox="1"/>
      </xdr:nvSpPr>
      <xdr:spPr>
        <a:xfrm>
          <a:off x="1569720" y="52578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Total Purchase Orders</a:t>
          </a:r>
          <a:endParaRPr lang="LID4096" sz="1100" b="1">
            <a:solidFill>
              <a:schemeClr val="bg1"/>
            </a:solidFill>
          </a:endParaRPr>
        </a:p>
      </xdr:txBody>
    </xdr:sp>
    <xdr:clientData/>
  </xdr:twoCellAnchor>
  <xdr:twoCellAnchor>
    <xdr:from>
      <xdr:col>2</xdr:col>
      <xdr:colOff>342900</xdr:colOff>
      <xdr:row>4</xdr:row>
      <xdr:rowOff>7620</xdr:rowOff>
    </xdr:from>
    <xdr:to>
      <xdr:col>4</xdr:col>
      <xdr:colOff>594360</xdr:colOff>
      <xdr:row>5</xdr:row>
      <xdr:rowOff>91440</xdr:rowOff>
    </xdr:to>
    <xdr:sp macro="" textlink="Analyis!E5">
      <xdr:nvSpPr>
        <xdr:cNvPr id="20" name="TextBox 19">
          <a:extLst>
            <a:ext uri="{FF2B5EF4-FFF2-40B4-BE49-F238E27FC236}">
              <a16:creationId xmlns:a16="http://schemas.microsoft.com/office/drawing/2014/main" id="{C99BB44B-968A-A7AE-2DC8-62EE9D90C33E}"/>
            </a:ext>
          </a:extLst>
        </xdr:cNvPr>
        <xdr:cNvSpPr txBox="1"/>
      </xdr:nvSpPr>
      <xdr:spPr>
        <a:xfrm>
          <a:off x="1562100" y="739140"/>
          <a:ext cx="1470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C6A3F1-1CAA-4F1A-893F-9ED6CEA40280}" type="TxLink">
            <a:rPr lang="en-US" sz="1600" b="1" i="0" u="none" strike="noStrike">
              <a:solidFill>
                <a:schemeClr val="bg1"/>
              </a:solidFill>
              <a:latin typeface="Calibri"/>
              <a:cs typeface="Calibri"/>
            </a:rPr>
            <a:pPr algn="ctr"/>
            <a:t>777</a:t>
          </a:fld>
          <a:endParaRPr lang="LID4096" sz="1600" b="1">
            <a:solidFill>
              <a:schemeClr val="bg1"/>
            </a:solidFill>
          </a:endParaRPr>
        </a:p>
      </xdr:txBody>
    </xdr:sp>
    <xdr:clientData/>
  </xdr:twoCellAnchor>
  <xdr:twoCellAnchor>
    <xdr:from>
      <xdr:col>2</xdr:col>
      <xdr:colOff>335280</xdr:colOff>
      <xdr:row>5</xdr:row>
      <xdr:rowOff>167640</xdr:rowOff>
    </xdr:from>
    <xdr:to>
      <xdr:col>5</xdr:col>
      <xdr:colOff>60960</xdr:colOff>
      <xdr:row>7</xdr:row>
      <xdr:rowOff>22860</xdr:rowOff>
    </xdr:to>
    <xdr:sp macro="" textlink="">
      <xdr:nvSpPr>
        <xdr:cNvPr id="21" name="TextBox 20">
          <a:extLst>
            <a:ext uri="{FF2B5EF4-FFF2-40B4-BE49-F238E27FC236}">
              <a16:creationId xmlns:a16="http://schemas.microsoft.com/office/drawing/2014/main" id="{C51A4441-2DF3-4E29-DD63-C388BF5CF7BE}"/>
            </a:ext>
          </a:extLst>
        </xdr:cNvPr>
        <xdr:cNvSpPr txBox="1"/>
      </xdr:nvSpPr>
      <xdr:spPr>
        <a:xfrm>
          <a:off x="1554480" y="1082040"/>
          <a:ext cx="15544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0" i="0">
              <a:solidFill>
                <a:schemeClr val="bg1"/>
              </a:solidFill>
            </a:rPr>
            <a:t>5 Suppliers</a:t>
          </a:r>
          <a:endParaRPr lang="LID4096" sz="900" b="0" i="0">
            <a:solidFill>
              <a:schemeClr val="bg1"/>
            </a:solidFill>
          </a:endParaRPr>
        </a:p>
      </xdr:txBody>
    </xdr:sp>
    <xdr:clientData/>
  </xdr:twoCellAnchor>
  <xdr:twoCellAnchor>
    <xdr:from>
      <xdr:col>5</xdr:col>
      <xdr:colOff>281940</xdr:colOff>
      <xdr:row>2</xdr:row>
      <xdr:rowOff>144780</xdr:rowOff>
    </xdr:from>
    <xdr:to>
      <xdr:col>8</xdr:col>
      <xdr:colOff>7620</xdr:colOff>
      <xdr:row>4</xdr:row>
      <xdr:rowOff>45720</xdr:rowOff>
    </xdr:to>
    <xdr:sp macro="" textlink="">
      <xdr:nvSpPr>
        <xdr:cNvPr id="22" name="TextBox 21">
          <a:extLst>
            <a:ext uri="{FF2B5EF4-FFF2-40B4-BE49-F238E27FC236}">
              <a16:creationId xmlns:a16="http://schemas.microsoft.com/office/drawing/2014/main" id="{47CD3C01-AF92-1533-0EFD-F72C2F9B110F}"/>
            </a:ext>
          </a:extLst>
        </xdr:cNvPr>
        <xdr:cNvSpPr txBox="1"/>
      </xdr:nvSpPr>
      <xdr:spPr>
        <a:xfrm>
          <a:off x="3329940" y="51054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Total Spend</a:t>
          </a:r>
          <a:endParaRPr lang="LID4096" sz="1100" b="1">
            <a:solidFill>
              <a:schemeClr val="bg1"/>
            </a:solidFill>
          </a:endParaRPr>
        </a:p>
      </xdr:txBody>
    </xdr:sp>
    <xdr:clientData/>
  </xdr:twoCellAnchor>
  <xdr:twoCellAnchor>
    <xdr:from>
      <xdr:col>5</xdr:col>
      <xdr:colOff>289560</xdr:colOff>
      <xdr:row>4</xdr:row>
      <xdr:rowOff>45720</xdr:rowOff>
    </xdr:from>
    <xdr:to>
      <xdr:col>8</xdr:col>
      <xdr:colOff>15240</xdr:colOff>
      <xdr:row>5</xdr:row>
      <xdr:rowOff>129540</xdr:rowOff>
    </xdr:to>
    <xdr:sp macro="" textlink="Analyis!B5">
      <xdr:nvSpPr>
        <xdr:cNvPr id="23" name="TextBox 22">
          <a:extLst>
            <a:ext uri="{FF2B5EF4-FFF2-40B4-BE49-F238E27FC236}">
              <a16:creationId xmlns:a16="http://schemas.microsoft.com/office/drawing/2014/main" id="{7DD0F6FF-2179-ED88-F169-480E62677A7D}"/>
            </a:ext>
          </a:extLst>
        </xdr:cNvPr>
        <xdr:cNvSpPr txBox="1"/>
      </xdr:nvSpPr>
      <xdr:spPr>
        <a:xfrm>
          <a:off x="3337560" y="77724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9F27396-4EE3-47E6-B3C3-E978D91EE059}" type="TxLink">
            <a:rPr lang="en-US" sz="1400" b="1" i="0" u="none" strike="noStrike">
              <a:solidFill>
                <a:schemeClr val="bg1"/>
              </a:solidFill>
              <a:latin typeface="Calibri"/>
              <a:cs typeface="Calibri"/>
            </a:rPr>
            <a:t>$45,373,696</a:t>
          </a:fld>
          <a:endParaRPr lang="LID4096" sz="1400" b="1">
            <a:solidFill>
              <a:schemeClr val="bg1"/>
            </a:solidFill>
          </a:endParaRPr>
        </a:p>
      </xdr:txBody>
    </xdr:sp>
    <xdr:clientData/>
  </xdr:twoCellAnchor>
  <xdr:twoCellAnchor>
    <xdr:from>
      <xdr:col>5</xdr:col>
      <xdr:colOff>342900</xdr:colOff>
      <xdr:row>5</xdr:row>
      <xdr:rowOff>175260</xdr:rowOff>
    </xdr:from>
    <xdr:to>
      <xdr:col>8</xdr:col>
      <xdr:colOff>68580</xdr:colOff>
      <xdr:row>7</xdr:row>
      <xdr:rowOff>45720</xdr:rowOff>
    </xdr:to>
    <xdr:sp macro="" textlink="">
      <xdr:nvSpPr>
        <xdr:cNvPr id="24" name="TextBox 23">
          <a:extLst>
            <a:ext uri="{FF2B5EF4-FFF2-40B4-BE49-F238E27FC236}">
              <a16:creationId xmlns:a16="http://schemas.microsoft.com/office/drawing/2014/main" id="{3C934AA2-B7A7-16F6-6391-497327723B08}"/>
            </a:ext>
          </a:extLst>
        </xdr:cNvPr>
        <xdr:cNvSpPr txBox="1"/>
      </xdr:nvSpPr>
      <xdr:spPr>
        <a:xfrm>
          <a:off x="3390900" y="1089660"/>
          <a:ext cx="15544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0">
              <a:solidFill>
                <a:schemeClr val="bg1"/>
              </a:solidFill>
            </a:rPr>
            <a:t>Negotiated Value</a:t>
          </a:r>
          <a:endParaRPr lang="LID4096" sz="900" b="0">
            <a:solidFill>
              <a:schemeClr val="bg1"/>
            </a:solidFill>
          </a:endParaRPr>
        </a:p>
      </xdr:txBody>
    </xdr:sp>
    <xdr:clientData/>
  </xdr:twoCellAnchor>
  <xdr:twoCellAnchor>
    <xdr:from>
      <xdr:col>8</xdr:col>
      <xdr:colOff>198120</xdr:colOff>
      <xdr:row>2</xdr:row>
      <xdr:rowOff>160020</xdr:rowOff>
    </xdr:from>
    <xdr:to>
      <xdr:col>10</xdr:col>
      <xdr:colOff>533400</xdr:colOff>
      <xdr:row>4</xdr:row>
      <xdr:rowOff>60960</xdr:rowOff>
    </xdr:to>
    <xdr:sp macro="" textlink="">
      <xdr:nvSpPr>
        <xdr:cNvPr id="25" name="TextBox 24">
          <a:extLst>
            <a:ext uri="{FF2B5EF4-FFF2-40B4-BE49-F238E27FC236}">
              <a16:creationId xmlns:a16="http://schemas.microsoft.com/office/drawing/2014/main" id="{7C03A035-CBA3-521C-96E8-AFBD7A01DD93}"/>
            </a:ext>
          </a:extLst>
        </xdr:cNvPr>
        <xdr:cNvSpPr txBox="1"/>
      </xdr:nvSpPr>
      <xdr:spPr>
        <a:xfrm>
          <a:off x="5074920" y="52578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Cost Savings</a:t>
          </a:r>
          <a:endParaRPr lang="LID4096" sz="1100" b="1">
            <a:solidFill>
              <a:schemeClr val="bg1"/>
            </a:solidFill>
          </a:endParaRPr>
        </a:p>
      </xdr:txBody>
    </xdr:sp>
    <xdr:clientData/>
  </xdr:twoCellAnchor>
  <xdr:twoCellAnchor>
    <xdr:from>
      <xdr:col>8</xdr:col>
      <xdr:colOff>205740</xdr:colOff>
      <xdr:row>4</xdr:row>
      <xdr:rowOff>45720</xdr:rowOff>
    </xdr:from>
    <xdr:to>
      <xdr:col>10</xdr:col>
      <xdr:colOff>541020</xdr:colOff>
      <xdr:row>5</xdr:row>
      <xdr:rowOff>129540</xdr:rowOff>
    </xdr:to>
    <xdr:sp macro="" textlink="Analyis!C5">
      <xdr:nvSpPr>
        <xdr:cNvPr id="27" name="TextBox 26">
          <a:extLst>
            <a:ext uri="{FF2B5EF4-FFF2-40B4-BE49-F238E27FC236}">
              <a16:creationId xmlns:a16="http://schemas.microsoft.com/office/drawing/2014/main" id="{71A4F990-3908-38D1-DFF7-565E696B7427}"/>
            </a:ext>
          </a:extLst>
        </xdr:cNvPr>
        <xdr:cNvSpPr txBox="1"/>
      </xdr:nvSpPr>
      <xdr:spPr>
        <a:xfrm>
          <a:off x="5082540" y="77724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49AD09-24C4-4940-98D3-7C1829AECE91}" type="TxLink">
            <a:rPr lang="en-US" sz="1400" b="1" i="0" u="none" strike="noStrike">
              <a:solidFill>
                <a:schemeClr val="bg1"/>
              </a:solidFill>
              <a:latin typeface="Calibri"/>
              <a:cs typeface="Calibri"/>
            </a:rPr>
            <a:t>$3,931,126</a:t>
          </a:fld>
          <a:endParaRPr lang="LID4096" sz="1400" b="1">
            <a:solidFill>
              <a:schemeClr val="bg1"/>
            </a:solidFill>
          </a:endParaRPr>
        </a:p>
      </xdr:txBody>
    </xdr:sp>
    <xdr:clientData/>
  </xdr:twoCellAnchor>
  <xdr:twoCellAnchor>
    <xdr:from>
      <xdr:col>8</xdr:col>
      <xdr:colOff>213360</xdr:colOff>
      <xdr:row>6</xdr:row>
      <xdr:rowOff>15240</xdr:rowOff>
    </xdr:from>
    <xdr:to>
      <xdr:col>10</xdr:col>
      <xdr:colOff>548640</xdr:colOff>
      <xdr:row>7</xdr:row>
      <xdr:rowOff>30480</xdr:rowOff>
    </xdr:to>
    <xdr:sp macro="" textlink="">
      <xdr:nvSpPr>
        <xdr:cNvPr id="28" name="TextBox 27">
          <a:extLst>
            <a:ext uri="{FF2B5EF4-FFF2-40B4-BE49-F238E27FC236}">
              <a16:creationId xmlns:a16="http://schemas.microsoft.com/office/drawing/2014/main" id="{28887AFD-F15F-C63C-CE4F-6B8E3B503896}"/>
            </a:ext>
          </a:extLst>
        </xdr:cNvPr>
        <xdr:cNvSpPr txBox="1"/>
      </xdr:nvSpPr>
      <xdr:spPr>
        <a:xfrm>
          <a:off x="5090160" y="1112520"/>
          <a:ext cx="15544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0">
              <a:solidFill>
                <a:schemeClr val="bg1"/>
              </a:solidFill>
            </a:rPr>
            <a:t>Vs Unit Price</a:t>
          </a:r>
          <a:endParaRPr lang="LID4096" sz="900" b="0">
            <a:solidFill>
              <a:schemeClr val="bg1"/>
            </a:solidFill>
          </a:endParaRPr>
        </a:p>
      </xdr:txBody>
    </xdr:sp>
    <xdr:clientData/>
  </xdr:twoCellAnchor>
  <xdr:twoCellAnchor>
    <xdr:from>
      <xdr:col>11</xdr:col>
      <xdr:colOff>114300</xdr:colOff>
      <xdr:row>2</xdr:row>
      <xdr:rowOff>144780</xdr:rowOff>
    </xdr:from>
    <xdr:to>
      <xdr:col>13</xdr:col>
      <xdr:colOff>449580</xdr:colOff>
      <xdr:row>4</xdr:row>
      <xdr:rowOff>45720</xdr:rowOff>
    </xdr:to>
    <xdr:sp macro="" textlink="">
      <xdr:nvSpPr>
        <xdr:cNvPr id="29" name="TextBox 28">
          <a:extLst>
            <a:ext uri="{FF2B5EF4-FFF2-40B4-BE49-F238E27FC236}">
              <a16:creationId xmlns:a16="http://schemas.microsoft.com/office/drawing/2014/main" id="{F461A96C-4C5D-6C68-271A-675E7E9BAF50}"/>
            </a:ext>
          </a:extLst>
        </xdr:cNvPr>
        <xdr:cNvSpPr txBox="1"/>
      </xdr:nvSpPr>
      <xdr:spPr>
        <a:xfrm>
          <a:off x="6819900" y="51054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On-Time</a:t>
          </a:r>
          <a:r>
            <a:rPr lang="en-US" sz="1100" b="1" baseline="0">
              <a:solidFill>
                <a:schemeClr val="bg1"/>
              </a:solidFill>
            </a:rPr>
            <a:t> Delivery Rate</a:t>
          </a:r>
          <a:endParaRPr lang="LID4096" sz="1100" b="1">
            <a:solidFill>
              <a:schemeClr val="bg1"/>
            </a:solidFill>
          </a:endParaRPr>
        </a:p>
      </xdr:txBody>
    </xdr:sp>
    <xdr:clientData/>
  </xdr:twoCellAnchor>
  <xdr:twoCellAnchor>
    <xdr:from>
      <xdr:col>11</xdr:col>
      <xdr:colOff>137160</xdr:colOff>
      <xdr:row>4</xdr:row>
      <xdr:rowOff>22860</xdr:rowOff>
    </xdr:from>
    <xdr:to>
      <xdr:col>13</xdr:col>
      <xdr:colOff>472440</xdr:colOff>
      <xdr:row>5</xdr:row>
      <xdr:rowOff>106680</xdr:rowOff>
    </xdr:to>
    <xdr:sp macro="" textlink="Analyis!K82">
      <xdr:nvSpPr>
        <xdr:cNvPr id="30" name="TextBox 29">
          <a:extLst>
            <a:ext uri="{FF2B5EF4-FFF2-40B4-BE49-F238E27FC236}">
              <a16:creationId xmlns:a16="http://schemas.microsoft.com/office/drawing/2014/main" id="{2AED1B84-0E07-5061-1DEB-1A514AEA4A7E}"/>
            </a:ext>
          </a:extLst>
        </xdr:cNvPr>
        <xdr:cNvSpPr txBox="1"/>
      </xdr:nvSpPr>
      <xdr:spPr>
        <a:xfrm>
          <a:off x="6842760" y="75438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E61D413-51C1-4B5B-B4C9-C6DA9BB6A230}" type="TxLink">
            <a:rPr lang="en-US" sz="1400" b="1" i="0" u="none" strike="noStrike">
              <a:solidFill>
                <a:schemeClr val="bg1"/>
              </a:solidFill>
              <a:latin typeface="Calibri"/>
              <a:cs typeface="Calibri"/>
            </a:rPr>
            <a:t>61%</a:t>
          </a:fld>
          <a:endParaRPr lang="LID4096" sz="1800" b="1">
            <a:solidFill>
              <a:schemeClr val="bg1"/>
            </a:solidFill>
          </a:endParaRPr>
        </a:p>
      </xdr:txBody>
    </xdr:sp>
    <xdr:clientData/>
  </xdr:twoCellAnchor>
  <xdr:twoCellAnchor>
    <xdr:from>
      <xdr:col>11</xdr:col>
      <xdr:colOff>114300</xdr:colOff>
      <xdr:row>6</xdr:row>
      <xdr:rowOff>22860</xdr:rowOff>
    </xdr:from>
    <xdr:to>
      <xdr:col>13</xdr:col>
      <xdr:colOff>449580</xdr:colOff>
      <xdr:row>7</xdr:row>
      <xdr:rowOff>38100</xdr:rowOff>
    </xdr:to>
    <xdr:sp macro="" textlink="Analyis!K83">
      <xdr:nvSpPr>
        <xdr:cNvPr id="31" name="TextBox 30">
          <a:extLst>
            <a:ext uri="{FF2B5EF4-FFF2-40B4-BE49-F238E27FC236}">
              <a16:creationId xmlns:a16="http://schemas.microsoft.com/office/drawing/2014/main" id="{E9B87B6F-986A-AD8A-E540-BC2BFD158722}"/>
            </a:ext>
          </a:extLst>
        </xdr:cNvPr>
        <xdr:cNvSpPr txBox="1"/>
      </xdr:nvSpPr>
      <xdr:spPr>
        <a:xfrm>
          <a:off x="6819900" y="1120140"/>
          <a:ext cx="15544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5FFA808-18B6-4FE0-B95A-D2F8B84FF92A}" type="TxLink">
            <a:rPr lang="en-US" sz="900" b="0" i="0" u="none" strike="noStrike">
              <a:solidFill>
                <a:schemeClr val="bg1"/>
              </a:solidFill>
              <a:latin typeface="Calibri"/>
              <a:cs typeface="Calibri"/>
            </a:rPr>
            <a:t>472 of  777 of POs</a:t>
          </a:fld>
          <a:endParaRPr lang="LID4096" sz="600" b="0">
            <a:solidFill>
              <a:schemeClr val="bg1"/>
            </a:solidFill>
          </a:endParaRPr>
        </a:p>
      </xdr:txBody>
    </xdr:sp>
    <xdr:clientData/>
  </xdr:twoCellAnchor>
  <xdr:twoCellAnchor>
    <xdr:from>
      <xdr:col>13</xdr:col>
      <xdr:colOff>595884</xdr:colOff>
      <xdr:row>2</xdr:row>
      <xdr:rowOff>114300</xdr:rowOff>
    </xdr:from>
    <xdr:to>
      <xdr:col>16</xdr:col>
      <xdr:colOff>382524</xdr:colOff>
      <xdr:row>7</xdr:row>
      <xdr:rowOff>53340</xdr:rowOff>
    </xdr:to>
    <xdr:sp macro="" textlink="">
      <xdr:nvSpPr>
        <xdr:cNvPr id="32" name="Rectangle: Rounded Corners 31">
          <a:extLst>
            <a:ext uri="{FF2B5EF4-FFF2-40B4-BE49-F238E27FC236}">
              <a16:creationId xmlns:a16="http://schemas.microsoft.com/office/drawing/2014/main" id="{2BAB54A4-56FF-1E3C-E9ED-878C434A7FCD}"/>
            </a:ext>
          </a:extLst>
        </xdr:cNvPr>
        <xdr:cNvSpPr/>
      </xdr:nvSpPr>
      <xdr:spPr>
        <a:xfrm>
          <a:off x="8520684" y="480060"/>
          <a:ext cx="1615440" cy="853440"/>
        </a:xfrm>
        <a:prstGeom prst="roundRect">
          <a:avLst>
            <a:gd name="adj" fmla="val 4286"/>
          </a:avLst>
        </a:prstGeom>
        <a:solidFill>
          <a:srgbClr val="2F61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14</xdr:col>
      <xdr:colOff>30480</xdr:colOff>
      <xdr:row>2</xdr:row>
      <xdr:rowOff>129540</xdr:rowOff>
    </xdr:from>
    <xdr:to>
      <xdr:col>16</xdr:col>
      <xdr:colOff>365760</xdr:colOff>
      <xdr:row>4</xdr:row>
      <xdr:rowOff>30480</xdr:rowOff>
    </xdr:to>
    <xdr:sp macro="" textlink="">
      <xdr:nvSpPr>
        <xdr:cNvPr id="33" name="TextBox 32">
          <a:extLst>
            <a:ext uri="{FF2B5EF4-FFF2-40B4-BE49-F238E27FC236}">
              <a16:creationId xmlns:a16="http://schemas.microsoft.com/office/drawing/2014/main" id="{F23EEB73-4D94-8D12-904D-D72F5B363522}"/>
            </a:ext>
          </a:extLst>
        </xdr:cNvPr>
        <xdr:cNvSpPr txBox="1"/>
      </xdr:nvSpPr>
      <xdr:spPr>
        <a:xfrm>
          <a:off x="8564880" y="49530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Avg Lead Time</a:t>
          </a:r>
          <a:endParaRPr lang="LID4096" sz="1100" b="1">
            <a:solidFill>
              <a:schemeClr val="bg1"/>
            </a:solidFill>
          </a:endParaRPr>
        </a:p>
      </xdr:txBody>
    </xdr:sp>
    <xdr:clientData/>
  </xdr:twoCellAnchor>
  <xdr:twoCellAnchor>
    <xdr:from>
      <xdr:col>14</xdr:col>
      <xdr:colOff>30480</xdr:colOff>
      <xdr:row>4</xdr:row>
      <xdr:rowOff>22860</xdr:rowOff>
    </xdr:from>
    <xdr:to>
      <xdr:col>16</xdr:col>
      <xdr:colOff>365760</xdr:colOff>
      <xdr:row>5</xdr:row>
      <xdr:rowOff>106680</xdr:rowOff>
    </xdr:to>
    <xdr:sp macro="" textlink="Analyis!K5">
      <xdr:nvSpPr>
        <xdr:cNvPr id="34" name="TextBox 33">
          <a:extLst>
            <a:ext uri="{FF2B5EF4-FFF2-40B4-BE49-F238E27FC236}">
              <a16:creationId xmlns:a16="http://schemas.microsoft.com/office/drawing/2014/main" id="{F599008F-5322-F52D-96AD-A73C55DEE792}"/>
            </a:ext>
          </a:extLst>
        </xdr:cNvPr>
        <xdr:cNvSpPr txBox="1"/>
      </xdr:nvSpPr>
      <xdr:spPr>
        <a:xfrm>
          <a:off x="8564880" y="75438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074C53-6454-4096-9BD7-EC00510EF735}" type="TxLink">
            <a:rPr lang="en-US" sz="1400" b="1" i="0" u="none" strike="noStrike">
              <a:solidFill>
                <a:schemeClr val="bg1"/>
              </a:solidFill>
              <a:latin typeface="Calibri"/>
              <a:cs typeface="Calibri"/>
            </a:rPr>
            <a:t>11</a:t>
          </a:fld>
          <a:r>
            <a:rPr lang="en-US" sz="1400" b="1" i="0" u="none" strike="noStrike">
              <a:solidFill>
                <a:schemeClr val="bg1"/>
              </a:solidFill>
              <a:latin typeface="Calibri"/>
              <a:cs typeface="Calibri"/>
            </a:rPr>
            <a:t> days</a:t>
          </a:r>
          <a:endParaRPr lang="LID4096" sz="2400" b="1">
            <a:solidFill>
              <a:schemeClr val="bg1"/>
            </a:solidFill>
          </a:endParaRPr>
        </a:p>
      </xdr:txBody>
    </xdr:sp>
    <xdr:clientData/>
  </xdr:twoCellAnchor>
  <xdr:twoCellAnchor>
    <xdr:from>
      <xdr:col>14</xdr:col>
      <xdr:colOff>38100</xdr:colOff>
      <xdr:row>6</xdr:row>
      <xdr:rowOff>15240</xdr:rowOff>
    </xdr:from>
    <xdr:to>
      <xdr:col>16</xdr:col>
      <xdr:colOff>373380</xdr:colOff>
      <xdr:row>7</xdr:row>
      <xdr:rowOff>30480</xdr:rowOff>
    </xdr:to>
    <xdr:sp macro="" textlink="">
      <xdr:nvSpPr>
        <xdr:cNvPr id="35" name="TextBox 34">
          <a:extLst>
            <a:ext uri="{FF2B5EF4-FFF2-40B4-BE49-F238E27FC236}">
              <a16:creationId xmlns:a16="http://schemas.microsoft.com/office/drawing/2014/main" id="{48888375-23A9-4498-3A08-434E12CB69A4}"/>
            </a:ext>
          </a:extLst>
        </xdr:cNvPr>
        <xdr:cNvSpPr txBox="1"/>
      </xdr:nvSpPr>
      <xdr:spPr>
        <a:xfrm>
          <a:off x="8572500" y="1112520"/>
          <a:ext cx="15544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0" i="0" u="none" strike="noStrike">
              <a:solidFill>
                <a:schemeClr val="bg1"/>
              </a:solidFill>
              <a:latin typeface="+mn-lt"/>
              <a:cs typeface="Calibri"/>
            </a:rPr>
            <a:t>Order → Delivery</a:t>
          </a:r>
        </a:p>
      </xdr:txBody>
    </xdr:sp>
    <xdr:clientData/>
  </xdr:twoCellAnchor>
  <xdr:twoCellAnchor>
    <xdr:from>
      <xdr:col>16</xdr:col>
      <xdr:colOff>510540</xdr:colOff>
      <xdr:row>2</xdr:row>
      <xdr:rowOff>114300</xdr:rowOff>
    </xdr:from>
    <xdr:to>
      <xdr:col>19</xdr:col>
      <xdr:colOff>297180</xdr:colOff>
      <xdr:row>7</xdr:row>
      <xdr:rowOff>53340</xdr:rowOff>
    </xdr:to>
    <xdr:sp macro="" textlink="">
      <xdr:nvSpPr>
        <xdr:cNvPr id="36" name="Rectangle: Rounded Corners 35">
          <a:extLst>
            <a:ext uri="{FF2B5EF4-FFF2-40B4-BE49-F238E27FC236}">
              <a16:creationId xmlns:a16="http://schemas.microsoft.com/office/drawing/2014/main" id="{DF7C95B4-B2D3-4F6E-3AF8-D25AE08E4B48}"/>
            </a:ext>
          </a:extLst>
        </xdr:cNvPr>
        <xdr:cNvSpPr/>
      </xdr:nvSpPr>
      <xdr:spPr>
        <a:xfrm>
          <a:off x="10264140" y="480060"/>
          <a:ext cx="1615440" cy="853440"/>
        </a:xfrm>
        <a:prstGeom prst="roundRect">
          <a:avLst>
            <a:gd name="adj" fmla="val 4286"/>
          </a:avLst>
        </a:prstGeom>
        <a:solidFill>
          <a:srgbClr val="2F61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16</xdr:col>
      <xdr:colOff>541020</xdr:colOff>
      <xdr:row>2</xdr:row>
      <xdr:rowOff>152400</xdr:rowOff>
    </xdr:from>
    <xdr:to>
      <xdr:col>19</xdr:col>
      <xdr:colOff>266700</xdr:colOff>
      <xdr:row>4</xdr:row>
      <xdr:rowOff>53340</xdr:rowOff>
    </xdr:to>
    <xdr:sp macro="" textlink="">
      <xdr:nvSpPr>
        <xdr:cNvPr id="37" name="TextBox 36">
          <a:extLst>
            <a:ext uri="{FF2B5EF4-FFF2-40B4-BE49-F238E27FC236}">
              <a16:creationId xmlns:a16="http://schemas.microsoft.com/office/drawing/2014/main" id="{C7EA2DB8-997F-B2DF-F1D4-96B061111AE1}"/>
            </a:ext>
          </a:extLst>
        </xdr:cNvPr>
        <xdr:cNvSpPr txBox="1"/>
      </xdr:nvSpPr>
      <xdr:spPr>
        <a:xfrm>
          <a:off x="10294620" y="51816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YoY</a:t>
          </a:r>
          <a:r>
            <a:rPr lang="en-US" sz="1100" b="1" baseline="0">
              <a:solidFill>
                <a:schemeClr val="bg1"/>
              </a:solidFill>
            </a:rPr>
            <a:t> Savings %</a:t>
          </a:r>
          <a:endParaRPr lang="LID4096" sz="1100" b="1">
            <a:solidFill>
              <a:schemeClr val="bg1"/>
            </a:solidFill>
          </a:endParaRPr>
        </a:p>
      </xdr:txBody>
    </xdr:sp>
    <xdr:clientData/>
  </xdr:twoCellAnchor>
  <xdr:twoCellAnchor>
    <xdr:from>
      <xdr:col>16</xdr:col>
      <xdr:colOff>556260</xdr:colOff>
      <xdr:row>4</xdr:row>
      <xdr:rowOff>38100</xdr:rowOff>
    </xdr:from>
    <xdr:to>
      <xdr:col>19</xdr:col>
      <xdr:colOff>281940</xdr:colOff>
      <xdr:row>5</xdr:row>
      <xdr:rowOff>121920</xdr:rowOff>
    </xdr:to>
    <xdr:sp macro="" textlink="Analyis!D5">
      <xdr:nvSpPr>
        <xdr:cNvPr id="38" name="TextBox 37">
          <a:extLst>
            <a:ext uri="{FF2B5EF4-FFF2-40B4-BE49-F238E27FC236}">
              <a16:creationId xmlns:a16="http://schemas.microsoft.com/office/drawing/2014/main" id="{C146919A-3165-08F3-CD55-B263AD5D8AA6}"/>
            </a:ext>
          </a:extLst>
        </xdr:cNvPr>
        <xdr:cNvSpPr txBox="1"/>
      </xdr:nvSpPr>
      <xdr:spPr>
        <a:xfrm>
          <a:off x="10309860" y="76962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82C212-76E5-4BC7-8D01-38951AE3B870}" type="TxLink">
            <a:rPr lang="en-US" sz="1400" b="1" i="0" u="none" strike="noStrike">
              <a:solidFill>
                <a:schemeClr val="bg1"/>
              </a:solidFill>
              <a:latin typeface="Calibri"/>
              <a:cs typeface="Calibri"/>
            </a:rPr>
            <a:t>8.9%</a:t>
          </a:fld>
          <a:endParaRPr lang="LID4096" sz="3200" b="1">
            <a:solidFill>
              <a:schemeClr val="bg1"/>
            </a:solidFill>
          </a:endParaRPr>
        </a:p>
      </xdr:txBody>
    </xdr:sp>
    <xdr:clientData/>
  </xdr:twoCellAnchor>
  <xdr:twoCellAnchor>
    <xdr:from>
      <xdr:col>16</xdr:col>
      <xdr:colOff>556260</xdr:colOff>
      <xdr:row>6</xdr:row>
      <xdr:rowOff>15240</xdr:rowOff>
    </xdr:from>
    <xdr:to>
      <xdr:col>19</xdr:col>
      <xdr:colOff>281940</xdr:colOff>
      <xdr:row>7</xdr:row>
      <xdr:rowOff>30480</xdr:rowOff>
    </xdr:to>
    <xdr:sp macro="" textlink="">
      <xdr:nvSpPr>
        <xdr:cNvPr id="39" name="TextBox 38">
          <a:extLst>
            <a:ext uri="{FF2B5EF4-FFF2-40B4-BE49-F238E27FC236}">
              <a16:creationId xmlns:a16="http://schemas.microsoft.com/office/drawing/2014/main" id="{B8C6B341-8623-211A-315C-E037EDB79D95}"/>
            </a:ext>
          </a:extLst>
        </xdr:cNvPr>
        <xdr:cNvSpPr txBox="1"/>
      </xdr:nvSpPr>
      <xdr:spPr>
        <a:xfrm>
          <a:off x="10309860" y="1112520"/>
          <a:ext cx="15544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0" i="0" u="none" strike="noStrike">
              <a:solidFill>
                <a:schemeClr val="bg1"/>
              </a:solidFill>
              <a:latin typeface="+mn-lt"/>
              <a:cs typeface="Calibri"/>
            </a:rPr>
            <a:t>Year</a:t>
          </a:r>
          <a:r>
            <a:rPr lang="en-US" sz="900" b="0" i="0" u="none" strike="noStrike" baseline="0">
              <a:solidFill>
                <a:schemeClr val="bg1"/>
              </a:solidFill>
              <a:latin typeface="+mn-lt"/>
              <a:cs typeface="Calibri"/>
            </a:rPr>
            <a:t> on year % savings</a:t>
          </a:r>
          <a:endParaRPr lang="en-US" sz="900" b="0" i="0" u="none" strike="noStrike">
            <a:solidFill>
              <a:schemeClr val="bg1"/>
            </a:solidFill>
            <a:latin typeface="+mn-lt"/>
            <a:cs typeface="Calibri"/>
          </a:endParaRPr>
        </a:p>
      </xdr:txBody>
    </xdr:sp>
    <xdr:clientData/>
  </xdr:twoCellAnchor>
  <xdr:twoCellAnchor>
    <xdr:from>
      <xdr:col>2</xdr:col>
      <xdr:colOff>373380</xdr:colOff>
      <xdr:row>22</xdr:row>
      <xdr:rowOff>144780</xdr:rowOff>
    </xdr:from>
    <xdr:to>
      <xdr:col>10</xdr:col>
      <xdr:colOff>533400</xdr:colOff>
      <xdr:row>35</xdr:row>
      <xdr:rowOff>152400</xdr:rowOff>
    </xdr:to>
    <xdr:graphicFrame macro="">
      <xdr:nvGraphicFramePr>
        <xdr:cNvPr id="40" name="Chart 39">
          <a:extLst>
            <a:ext uri="{FF2B5EF4-FFF2-40B4-BE49-F238E27FC236}">
              <a16:creationId xmlns:a16="http://schemas.microsoft.com/office/drawing/2014/main" id="{73A86F14-693C-4EE3-90F7-2FBBCD76D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24</xdr:row>
      <xdr:rowOff>15241</xdr:rowOff>
    </xdr:from>
    <xdr:to>
      <xdr:col>2</xdr:col>
      <xdr:colOff>228600</xdr:colOff>
      <xdr:row>33</xdr:row>
      <xdr:rowOff>114301</xdr:rowOff>
    </xdr:to>
    <mc:AlternateContent xmlns:mc="http://schemas.openxmlformats.org/markup-compatibility/2006">
      <mc:Choice xmlns:a14="http://schemas.microsoft.com/office/drawing/2010/main" Requires="a14">
        <xdr:graphicFrame macro="">
          <xdr:nvGraphicFramePr>
            <xdr:cNvPr id="41" name="Item_Category">
              <a:extLst>
                <a:ext uri="{FF2B5EF4-FFF2-40B4-BE49-F238E27FC236}">
                  <a16:creationId xmlns:a16="http://schemas.microsoft.com/office/drawing/2014/main" id="{2D3EFDED-B281-4A94-B515-7076BF0B5D9D}"/>
                </a:ext>
              </a:extLst>
            </xdr:cNvPr>
            <xdr:cNvGraphicFramePr/>
          </xdr:nvGraphicFramePr>
          <xdr:xfrm>
            <a:off x="0" y="0"/>
            <a:ext cx="0" cy="0"/>
          </xdr:xfrm>
          <a:graphic>
            <a:graphicData uri="http://schemas.microsoft.com/office/drawing/2010/slicer">
              <sle:slicer xmlns:sle="http://schemas.microsoft.com/office/drawing/2010/slicer" name="Item_Category"/>
            </a:graphicData>
          </a:graphic>
        </xdr:graphicFrame>
      </mc:Choice>
      <mc:Fallback>
        <xdr:sp macro="" textlink="">
          <xdr:nvSpPr>
            <xdr:cNvPr id="0" name=""/>
            <xdr:cNvSpPr>
              <a:spLocks noTextEdit="1"/>
            </xdr:cNvSpPr>
          </xdr:nvSpPr>
          <xdr:spPr>
            <a:xfrm>
              <a:off x="0" y="4404361"/>
              <a:ext cx="1447800" cy="174498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167641</xdr:rowOff>
    </xdr:from>
    <xdr:to>
      <xdr:col>2</xdr:col>
      <xdr:colOff>220980</xdr:colOff>
      <xdr:row>23</xdr:row>
      <xdr:rowOff>7621</xdr:rowOff>
    </xdr:to>
    <mc:AlternateContent xmlns:mc="http://schemas.openxmlformats.org/markup-compatibility/2006">
      <mc:Choice xmlns:a14="http://schemas.microsoft.com/office/drawing/2010/main" Requires="a14">
        <xdr:graphicFrame macro="">
          <xdr:nvGraphicFramePr>
            <xdr:cNvPr id="42" name="Supplier 1">
              <a:extLst>
                <a:ext uri="{FF2B5EF4-FFF2-40B4-BE49-F238E27FC236}">
                  <a16:creationId xmlns:a16="http://schemas.microsoft.com/office/drawing/2014/main" id="{0FAB259F-56FB-4027-A919-E19769123E82}"/>
                </a:ext>
              </a:extLst>
            </xdr:cNvPr>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dr:sp macro="" textlink="">
          <xdr:nvSpPr>
            <xdr:cNvPr id="0" name=""/>
            <xdr:cNvSpPr>
              <a:spLocks noTextEdit="1"/>
            </xdr:cNvSpPr>
          </xdr:nvSpPr>
          <xdr:spPr>
            <a:xfrm>
              <a:off x="0" y="2545081"/>
              <a:ext cx="1440180" cy="166878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45720</xdr:rowOff>
    </xdr:from>
    <xdr:to>
      <xdr:col>2</xdr:col>
      <xdr:colOff>243840</xdr:colOff>
      <xdr:row>4</xdr:row>
      <xdr:rowOff>38100</xdr:rowOff>
    </xdr:to>
    <xdr:sp macro="" textlink="">
      <xdr:nvSpPr>
        <xdr:cNvPr id="44" name="TextBox 43">
          <a:extLst>
            <a:ext uri="{FF2B5EF4-FFF2-40B4-BE49-F238E27FC236}">
              <a16:creationId xmlns:a16="http://schemas.microsoft.com/office/drawing/2014/main" id="{0F341341-3A87-A3C5-A4A9-38A58BD86DB3}"/>
            </a:ext>
          </a:extLst>
        </xdr:cNvPr>
        <xdr:cNvSpPr txBox="1"/>
      </xdr:nvSpPr>
      <xdr:spPr>
        <a:xfrm>
          <a:off x="0" y="45720"/>
          <a:ext cx="1463040" cy="723900"/>
        </a:xfrm>
        <a:prstGeom prst="rect">
          <a:avLst/>
        </a:prstGeom>
        <a:solidFill>
          <a:srgbClr val="4DAED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Supply Chain Analysis</a:t>
          </a:r>
          <a:endParaRPr lang="LID4096" sz="1600" b="1">
            <a:solidFill>
              <a:schemeClr val="bg1"/>
            </a:solidFill>
          </a:endParaRPr>
        </a:p>
      </xdr:txBody>
    </xdr:sp>
    <xdr:clientData/>
  </xdr:twoCellAnchor>
  <xdr:twoCellAnchor>
    <xdr:from>
      <xdr:col>2</xdr:col>
      <xdr:colOff>327660</xdr:colOff>
      <xdr:row>0</xdr:row>
      <xdr:rowOff>137160</xdr:rowOff>
    </xdr:from>
    <xdr:to>
      <xdr:col>4</xdr:col>
      <xdr:colOff>259080</xdr:colOff>
      <xdr:row>2</xdr:row>
      <xdr:rowOff>0</xdr:rowOff>
    </xdr:to>
    <xdr:sp macro="" textlink="">
      <xdr:nvSpPr>
        <xdr:cNvPr id="51" name="Rectangle 50">
          <a:hlinkClick xmlns:r="http://schemas.openxmlformats.org/officeDocument/2006/relationships" r:id="rId5"/>
          <a:extLst>
            <a:ext uri="{FF2B5EF4-FFF2-40B4-BE49-F238E27FC236}">
              <a16:creationId xmlns:a16="http://schemas.microsoft.com/office/drawing/2014/main" id="{463F3A85-3FF8-452F-8BC5-8EF6696B592A}"/>
            </a:ext>
          </a:extLst>
        </xdr:cNvPr>
        <xdr:cNvSpPr/>
      </xdr:nvSpPr>
      <xdr:spPr>
        <a:xfrm>
          <a:off x="1546860" y="137160"/>
          <a:ext cx="1150620" cy="228600"/>
        </a:xfrm>
        <a:prstGeom prst="rect">
          <a:avLst/>
        </a:prstGeom>
        <a:solidFill>
          <a:srgbClr val="4DAED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Exec Overview</a:t>
          </a:r>
          <a:endParaRPr lang="LID4096" sz="1100" b="1">
            <a:solidFill>
              <a:schemeClr val="bg1"/>
            </a:solidFill>
          </a:endParaRPr>
        </a:p>
      </xdr:txBody>
    </xdr:sp>
    <xdr:clientData/>
  </xdr:twoCellAnchor>
  <xdr:twoCellAnchor>
    <xdr:from>
      <xdr:col>4</xdr:col>
      <xdr:colOff>327660</xdr:colOff>
      <xdr:row>0</xdr:row>
      <xdr:rowOff>137160</xdr:rowOff>
    </xdr:from>
    <xdr:to>
      <xdr:col>6</xdr:col>
      <xdr:colOff>594360</xdr:colOff>
      <xdr:row>2</xdr:row>
      <xdr:rowOff>0</xdr:rowOff>
    </xdr:to>
    <xdr:sp macro="" textlink="">
      <xdr:nvSpPr>
        <xdr:cNvPr id="52" name="Rectangle 51">
          <a:hlinkClick xmlns:r="http://schemas.openxmlformats.org/officeDocument/2006/relationships" r:id="rId6"/>
          <a:extLst>
            <a:ext uri="{FF2B5EF4-FFF2-40B4-BE49-F238E27FC236}">
              <a16:creationId xmlns:a16="http://schemas.microsoft.com/office/drawing/2014/main" id="{1A880CBD-4016-48E8-BC5D-8499F315E838}"/>
            </a:ext>
          </a:extLst>
        </xdr:cNvPr>
        <xdr:cNvSpPr/>
      </xdr:nvSpPr>
      <xdr:spPr>
        <a:xfrm>
          <a:off x="2766060" y="137160"/>
          <a:ext cx="1485900" cy="228600"/>
        </a:xfrm>
        <a:prstGeom prst="rect">
          <a:avLst/>
        </a:prstGeom>
        <a:solidFill>
          <a:srgbClr val="4DAED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Supplier</a:t>
          </a:r>
          <a:r>
            <a:rPr lang="en-US" sz="1100" b="1" baseline="0">
              <a:solidFill>
                <a:schemeClr val="bg1"/>
              </a:solidFill>
            </a:rPr>
            <a:t> Performance</a:t>
          </a:r>
          <a:endParaRPr lang="LID4096" sz="1100" b="1">
            <a:solidFill>
              <a:schemeClr val="bg1"/>
            </a:solidFill>
          </a:endParaRPr>
        </a:p>
      </xdr:txBody>
    </xdr:sp>
    <xdr:clientData/>
  </xdr:twoCellAnchor>
  <xdr:twoCellAnchor>
    <xdr:from>
      <xdr:col>7</xdr:col>
      <xdr:colOff>53340</xdr:colOff>
      <xdr:row>0</xdr:row>
      <xdr:rowOff>129540</xdr:rowOff>
    </xdr:from>
    <xdr:to>
      <xdr:col>10</xdr:col>
      <xdr:colOff>243840</xdr:colOff>
      <xdr:row>2</xdr:row>
      <xdr:rowOff>22860</xdr:rowOff>
    </xdr:to>
    <xdr:sp macro="" textlink="">
      <xdr:nvSpPr>
        <xdr:cNvPr id="53" name="Rectangle 52">
          <a:hlinkClick xmlns:r="http://schemas.openxmlformats.org/officeDocument/2006/relationships" r:id="rId7"/>
          <a:extLst>
            <a:ext uri="{FF2B5EF4-FFF2-40B4-BE49-F238E27FC236}">
              <a16:creationId xmlns:a16="http://schemas.microsoft.com/office/drawing/2014/main" id="{964A52D1-BFE8-4D30-8EFB-68D7BAD9135F}"/>
            </a:ext>
          </a:extLst>
        </xdr:cNvPr>
        <xdr:cNvSpPr/>
      </xdr:nvSpPr>
      <xdr:spPr>
        <a:xfrm>
          <a:off x="4320540" y="129540"/>
          <a:ext cx="2019300" cy="259080"/>
        </a:xfrm>
        <a:prstGeom prst="rect">
          <a:avLst/>
        </a:prstGeom>
        <a:solidFill>
          <a:srgbClr val="4DAED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Insights</a:t>
          </a:r>
          <a:r>
            <a:rPr lang="en-US" sz="1100" b="1" baseline="0">
              <a:solidFill>
                <a:schemeClr val="bg1"/>
              </a:solidFill>
            </a:rPr>
            <a:t> And Recommendations</a:t>
          </a:r>
          <a:endParaRPr lang="LID4096" sz="1100" b="1">
            <a:solidFill>
              <a:schemeClr val="bg1"/>
            </a:solidFill>
          </a:endParaRPr>
        </a:p>
      </xdr:txBody>
    </xdr:sp>
    <xdr:clientData/>
  </xdr:twoCellAnchor>
  <xdr:twoCellAnchor editAs="oneCell">
    <xdr:from>
      <xdr:col>0</xdr:col>
      <xdr:colOff>0</xdr:colOff>
      <xdr:row>7</xdr:row>
      <xdr:rowOff>0</xdr:rowOff>
    </xdr:from>
    <xdr:to>
      <xdr:col>2</xdr:col>
      <xdr:colOff>190500</xdr:colOff>
      <xdr:row>13</xdr:row>
      <xdr:rowOff>121920</xdr:rowOff>
    </xdr:to>
    <mc:AlternateContent xmlns:mc="http://schemas.openxmlformats.org/markup-compatibility/2006">
      <mc:Choice xmlns:a14="http://schemas.microsoft.com/office/drawing/2010/main" Requires="a14">
        <xdr:graphicFrame macro="">
          <xdr:nvGraphicFramePr>
            <xdr:cNvPr id="54" name="Years (Order_Date) 2">
              <a:extLst>
                <a:ext uri="{FF2B5EF4-FFF2-40B4-BE49-F238E27FC236}">
                  <a16:creationId xmlns:a16="http://schemas.microsoft.com/office/drawing/2014/main" id="{AFBB92EB-4796-46B6-B42A-ACFEFE258019}"/>
                </a:ext>
              </a:extLst>
            </xdr:cNvPr>
            <xdr:cNvGraphicFramePr/>
          </xdr:nvGraphicFramePr>
          <xdr:xfrm>
            <a:off x="0" y="0"/>
            <a:ext cx="0" cy="0"/>
          </xdr:xfrm>
          <a:graphic>
            <a:graphicData uri="http://schemas.microsoft.com/office/drawing/2010/slicer">
              <sle:slicer xmlns:sle="http://schemas.microsoft.com/office/drawing/2010/slicer" name="Years (Order_Date) 2"/>
            </a:graphicData>
          </a:graphic>
        </xdr:graphicFrame>
      </mc:Choice>
      <mc:Fallback>
        <xdr:sp macro="" textlink="">
          <xdr:nvSpPr>
            <xdr:cNvPr id="0" name=""/>
            <xdr:cNvSpPr>
              <a:spLocks noTextEdit="1"/>
            </xdr:cNvSpPr>
          </xdr:nvSpPr>
          <xdr:spPr>
            <a:xfrm>
              <a:off x="0" y="1280160"/>
              <a:ext cx="1409700" cy="121920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342900</xdr:colOff>
      <xdr:row>37</xdr:row>
      <xdr:rowOff>15240</xdr:rowOff>
    </xdr:to>
    <xdr:sp macro="" textlink="">
      <xdr:nvSpPr>
        <xdr:cNvPr id="2" name="Rectangle 1">
          <a:extLst>
            <a:ext uri="{FF2B5EF4-FFF2-40B4-BE49-F238E27FC236}">
              <a16:creationId xmlns:a16="http://schemas.microsoft.com/office/drawing/2014/main" id="{10EE3CD0-86C7-4622-A06A-5C59ECF7C4E7}"/>
            </a:ext>
          </a:extLst>
        </xdr:cNvPr>
        <xdr:cNvSpPr/>
      </xdr:nvSpPr>
      <xdr:spPr>
        <a:xfrm>
          <a:off x="0" y="0"/>
          <a:ext cx="1562100" cy="6781800"/>
        </a:xfrm>
        <a:prstGeom prst="rect">
          <a:avLst/>
        </a:prstGeom>
        <a:solidFill>
          <a:srgbClr val="2F61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2</xdr:col>
      <xdr:colOff>373380</xdr:colOff>
      <xdr:row>0</xdr:row>
      <xdr:rowOff>0</xdr:rowOff>
    </xdr:from>
    <xdr:to>
      <xdr:col>19</xdr:col>
      <xdr:colOff>373380</xdr:colOff>
      <xdr:row>2</xdr:row>
      <xdr:rowOff>45720</xdr:rowOff>
    </xdr:to>
    <xdr:sp macro="" textlink="">
      <xdr:nvSpPr>
        <xdr:cNvPr id="3" name="Rectangle: Rounded Corners 2">
          <a:extLst>
            <a:ext uri="{FF2B5EF4-FFF2-40B4-BE49-F238E27FC236}">
              <a16:creationId xmlns:a16="http://schemas.microsoft.com/office/drawing/2014/main" id="{3F95A58C-7586-4DA5-B295-422E6215A5ED}"/>
            </a:ext>
          </a:extLst>
        </xdr:cNvPr>
        <xdr:cNvSpPr/>
      </xdr:nvSpPr>
      <xdr:spPr>
        <a:xfrm>
          <a:off x="1592580" y="0"/>
          <a:ext cx="10363200" cy="411480"/>
        </a:xfrm>
        <a:prstGeom prst="roundRect">
          <a:avLst>
            <a:gd name="adj" fmla="val 4286"/>
          </a:avLst>
        </a:prstGeom>
        <a:solidFill>
          <a:srgbClr val="2F61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2</xdr:col>
      <xdr:colOff>396240</xdr:colOff>
      <xdr:row>2</xdr:row>
      <xdr:rowOff>114300</xdr:rowOff>
    </xdr:from>
    <xdr:to>
      <xdr:col>5</xdr:col>
      <xdr:colOff>205740</xdr:colOff>
      <xdr:row>7</xdr:row>
      <xdr:rowOff>53340</xdr:rowOff>
    </xdr:to>
    <xdr:sp macro="" textlink="">
      <xdr:nvSpPr>
        <xdr:cNvPr id="4" name="Rectangle: Rounded Corners 3">
          <a:extLst>
            <a:ext uri="{FF2B5EF4-FFF2-40B4-BE49-F238E27FC236}">
              <a16:creationId xmlns:a16="http://schemas.microsoft.com/office/drawing/2014/main" id="{9E9CCB11-9669-4FB9-89DC-83438737D8DB}"/>
            </a:ext>
          </a:extLst>
        </xdr:cNvPr>
        <xdr:cNvSpPr/>
      </xdr:nvSpPr>
      <xdr:spPr>
        <a:xfrm>
          <a:off x="1615440" y="480060"/>
          <a:ext cx="1638300" cy="853440"/>
        </a:xfrm>
        <a:prstGeom prst="roundRect">
          <a:avLst>
            <a:gd name="adj" fmla="val 4286"/>
          </a:avLst>
        </a:prstGeom>
        <a:solidFill>
          <a:srgbClr val="2F61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5</xdr:col>
      <xdr:colOff>333756</xdr:colOff>
      <xdr:row>2</xdr:row>
      <xdr:rowOff>114300</xdr:rowOff>
    </xdr:from>
    <xdr:to>
      <xdr:col>8</xdr:col>
      <xdr:colOff>120396</xdr:colOff>
      <xdr:row>7</xdr:row>
      <xdr:rowOff>53340</xdr:rowOff>
    </xdr:to>
    <xdr:sp macro="" textlink="">
      <xdr:nvSpPr>
        <xdr:cNvPr id="5" name="Rectangle: Rounded Corners 4">
          <a:extLst>
            <a:ext uri="{FF2B5EF4-FFF2-40B4-BE49-F238E27FC236}">
              <a16:creationId xmlns:a16="http://schemas.microsoft.com/office/drawing/2014/main" id="{6023C749-755E-4B54-8FF8-9BB78B479554}"/>
            </a:ext>
          </a:extLst>
        </xdr:cNvPr>
        <xdr:cNvSpPr/>
      </xdr:nvSpPr>
      <xdr:spPr>
        <a:xfrm>
          <a:off x="3381756" y="480060"/>
          <a:ext cx="1615440" cy="853440"/>
        </a:xfrm>
        <a:prstGeom prst="roundRect">
          <a:avLst>
            <a:gd name="adj" fmla="val 4286"/>
          </a:avLst>
        </a:prstGeom>
        <a:solidFill>
          <a:srgbClr val="2F61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8</xdr:col>
      <xdr:colOff>248412</xdr:colOff>
      <xdr:row>2</xdr:row>
      <xdr:rowOff>114300</xdr:rowOff>
    </xdr:from>
    <xdr:to>
      <xdr:col>11</xdr:col>
      <xdr:colOff>35052</xdr:colOff>
      <xdr:row>7</xdr:row>
      <xdr:rowOff>53340</xdr:rowOff>
    </xdr:to>
    <xdr:sp macro="" textlink="">
      <xdr:nvSpPr>
        <xdr:cNvPr id="6" name="Rectangle: Rounded Corners 5">
          <a:extLst>
            <a:ext uri="{FF2B5EF4-FFF2-40B4-BE49-F238E27FC236}">
              <a16:creationId xmlns:a16="http://schemas.microsoft.com/office/drawing/2014/main" id="{58403711-1A62-46E6-B895-A16D8A442369}"/>
            </a:ext>
          </a:extLst>
        </xdr:cNvPr>
        <xdr:cNvSpPr/>
      </xdr:nvSpPr>
      <xdr:spPr>
        <a:xfrm>
          <a:off x="5125212" y="480060"/>
          <a:ext cx="1615440" cy="853440"/>
        </a:xfrm>
        <a:prstGeom prst="roundRect">
          <a:avLst>
            <a:gd name="adj" fmla="val 4286"/>
          </a:avLst>
        </a:prstGeom>
        <a:solidFill>
          <a:srgbClr val="2F61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11</xdr:col>
      <xdr:colOff>163068</xdr:colOff>
      <xdr:row>2</xdr:row>
      <xdr:rowOff>114300</xdr:rowOff>
    </xdr:from>
    <xdr:to>
      <xdr:col>13</xdr:col>
      <xdr:colOff>559308</xdr:colOff>
      <xdr:row>7</xdr:row>
      <xdr:rowOff>53340</xdr:rowOff>
    </xdr:to>
    <xdr:sp macro="" textlink="">
      <xdr:nvSpPr>
        <xdr:cNvPr id="7" name="Rectangle: Rounded Corners 6">
          <a:extLst>
            <a:ext uri="{FF2B5EF4-FFF2-40B4-BE49-F238E27FC236}">
              <a16:creationId xmlns:a16="http://schemas.microsoft.com/office/drawing/2014/main" id="{C9CA449A-9416-4321-BA18-ED0712D6AC39}"/>
            </a:ext>
          </a:extLst>
        </xdr:cNvPr>
        <xdr:cNvSpPr/>
      </xdr:nvSpPr>
      <xdr:spPr>
        <a:xfrm>
          <a:off x="6868668" y="480060"/>
          <a:ext cx="1615440" cy="853440"/>
        </a:xfrm>
        <a:prstGeom prst="roundRect">
          <a:avLst>
            <a:gd name="adj" fmla="val 4286"/>
          </a:avLst>
        </a:prstGeom>
        <a:solidFill>
          <a:srgbClr val="2F61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2</xdr:col>
      <xdr:colOff>411480</xdr:colOff>
      <xdr:row>8</xdr:row>
      <xdr:rowOff>30480</xdr:rowOff>
    </xdr:from>
    <xdr:to>
      <xdr:col>11</xdr:col>
      <xdr:colOff>76200</xdr:colOff>
      <xdr:row>21</xdr:row>
      <xdr:rowOff>175260</xdr:rowOff>
    </xdr:to>
    <xdr:sp macro="" textlink="">
      <xdr:nvSpPr>
        <xdr:cNvPr id="8" name="Rectangle: Rounded Corners 7">
          <a:extLst>
            <a:ext uri="{FF2B5EF4-FFF2-40B4-BE49-F238E27FC236}">
              <a16:creationId xmlns:a16="http://schemas.microsoft.com/office/drawing/2014/main" id="{684D1204-E12B-4342-B708-5653013D58C3}"/>
            </a:ext>
          </a:extLst>
        </xdr:cNvPr>
        <xdr:cNvSpPr/>
      </xdr:nvSpPr>
      <xdr:spPr>
        <a:xfrm>
          <a:off x="1630680" y="1493520"/>
          <a:ext cx="5151120" cy="2522220"/>
        </a:xfrm>
        <a:prstGeom prst="roundRect">
          <a:avLst>
            <a:gd name="adj" fmla="val 4286"/>
          </a:avLst>
        </a:prstGeom>
        <a:solidFill>
          <a:schemeClr val="bg1"/>
        </a:solidFill>
        <a:ln>
          <a:solidFill>
            <a:srgbClr val="7ED7E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11</xdr:col>
      <xdr:colOff>198120</xdr:colOff>
      <xdr:row>8</xdr:row>
      <xdr:rowOff>15240</xdr:rowOff>
    </xdr:from>
    <xdr:to>
      <xdr:col>19</xdr:col>
      <xdr:colOff>556260</xdr:colOff>
      <xdr:row>21</xdr:row>
      <xdr:rowOff>160020</xdr:rowOff>
    </xdr:to>
    <xdr:sp macro="" textlink="">
      <xdr:nvSpPr>
        <xdr:cNvPr id="9" name="Rectangle: Rounded Corners 8">
          <a:extLst>
            <a:ext uri="{FF2B5EF4-FFF2-40B4-BE49-F238E27FC236}">
              <a16:creationId xmlns:a16="http://schemas.microsoft.com/office/drawing/2014/main" id="{9EAAF503-AF3E-4665-9AAA-D53A8D6FA223}"/>
            </a:ext>
          </a:extLst>
        </xdr:cNvPr>
        <xdr:cNvSpPr/>
      </xdr:nvSpPr>
      <xdr:spPr>
        <a:xfrm>
          <a:off x="6903720" y="1478280"/>
          <a:ext cx="5234940" cy="2522220"/>
        </a:xfrm>
        <a:prstGeom prst="roundRect">
          <a:avLst>
            <a:gd name="adj" fmla="val 4286"/>
          </a:avLst>
        </a:prstGeom>
        <a:solidFill>
          <a:schemeClr val="bg1"/>
        </a:solidFill>
        <a:ln>
          <a:solidFill>
            <a:srgbClr val="7ED7E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2</xdr:col>
      <xdr:colOff>403860</xdr:colOff>
      <xdr:row>22</xdr:row>
      <xdr:rowOff>99060</xdr:rowOff>
    </xdr:from>
    <xdr:to>
      <xdr:col>11</xdr:col>
      <xdr:colOff>121920</xdr:colOff>
      <xdr:row>36</xdr:row>
      <xdr:rowOff>60960</xdr:rowOff>
    </xdr:to>
    <xdr:sp macro="" textlink="">
      <xdr:nvSpPr>
        <xdr:cNvPr id="10" name="Rectangle: Rounded Corners 9">
          <a:extLst>
            <a:ext uri="{FF2B5EF4-FFF2-40B4-BE49-F238E27FC236}">
              <a16:creationId xmlns:a16="http://schemas.microsoft.com/office/drawing/2014/main" id="{37F2C2EF-85DD-4AE3-8138-12FFCA9706B3}"/>
            </a:ext>
          </a:extLst>
        </xdr:cNvPr>
        <xdr:cNvSpPr/>
      </xdr:nvSpPr>
      <xdr:spPr>
        <a:xfrm>
          <a:off x="1623060" y="4122420"/>
          <a:ext cx="5204460" cy="2522220"/>
        </a:xfrm>
        <a:prstGeom prst="roundRect">
          <a:avLst>
            <a:gd name="adj" fmla="val 3078"/>
          </a:avLst>
        </a:prstGeom>
        <a:solidFill>
          <a:schemeClr val="bg1"/>
        </a:solidFill>
        <a:ln>
          <a:solidFill>
            <a:srgbClr val="7ED7E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11</xdr:col>
      <xdr:colOff>266700</xdr:colOff>
      <xdr:row>22</xdr:row>
      <xdr:rowOff>91440</xdr:rowOff>
    </xdr:from>
    <xdr:to>
      <xdr:col>19</xdr:col>
      <xdr:colOff>548640</xdr:colOff>
      <xdr:row>36</xdr:row>
      <xdr:rowOff>53340</xdr:rowOff>
    </xdr:to>
    <xdr:sp macro="" textlink="">
      <xdr:nvSpPr>
        <xdr:cNvPr id="11" name="Rectangle: Rounded Corners 10">
          <a:extLst>
            <a:ext uri="{FF2B5EF4-FFF2-40B4-BE49-F238E27FC236}">
              <a16:creationId xmlns:a16="http://schemas.microsoft.com/office/drawing/2014/main" id="{B06CC444-761A-4C6F-B1EE-4AC497A52CCA}"/>
            </a:ext>
          </a:extLst>
        </xdr:cNvPr>
        <xdr:cNvSpPr/>
      </xdr:nvSpPr>
      <xdr:spPr>
        <a:xfrm>
          <a:off x="6972300" y="4114800"/>
          <a:ext cx="5158740" cy="2522220"/>
        </a:xfrm>
        <a:prstGeom prst="roundRect">
          <a:avLst>
            <a:gd name="adj" fmla="val 2473"/>
          </a:avLst>
        </a:prstGeom>
        <a:solidFill>
          <a:schemeClr val="bg1"/>
        </a:solidFill>
        <a:ln>
          <a:solidFill>
            <a:srgbClr val="7ED7E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2</xdr:col>
      <xdr:colOff>441960</xdr:colOff>
      <xdr:row>2</xdr:row>
      <xdr:rowOff>160020</xdr:rowOff>
    </xdr:from>
    <xdr:to>
      <xdr:col>5</xdr:col>
      <xdr:colOff>167640</xdr:colOff>
      <xdr:row>4</xdr:row>
      <xdr:rowOff>60960</xdr:rowOff>
    </xdr:to>
    <xdr:sp macro="" textlink="">
      <xdr:nvSpPr>
        <xdr:cNvPr id="15" name="TextBox 14">
          <a:extLst>
            <a:ext uri="{FF2B5EF4-FFF2-40B4-BE49-F238E27FC236}">
              <a16:creationId xmlns:a16="http://schemas.microsoft.com/office/drawing/2014/main" id="{EC275C0F-0387-438D-A1D5-204602D562BB}"/>
            </a:ext>
          </a:extLst>
        </xdr:cNvPr>
        <xdr:cNvSpPr txBox="1"/>
      </xdr:nvSpPr>
      <xdr:spPr>
        <a:xfrm>
          <a:off x="1661160" y="52578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Total Defective Units</a:t>
          </a:r>
          <a:endParaRPr lang="LID4096" sz="1100" b="1">
            <a:solidFill>
              <a:schemeClr val="bg1"/>
            </a:solidFill>
          </a:endParaRPr>
        </a:p>
      </xdr:txBody>
    </xdr:sp>
    <xdr:clientData/>
  </xdr:twoCellAnchor>
  <xdr:twoCellAnchor>
    <xdr:from>
      <xdr:col>2</xdr:col>
      <xdr:colOff>434340</xdr:colOff>
      <xdr:row>4</xdr:row>
      <xdr:rowOff>7620</xdr:rowOff>
    </xdr:from>
    <xdr:to>
      <xdr:col>5</xdr:col>
      <xdr:colOff>76200</xdr:colOff>
      <xdr:row>5</xdr:row>
      <xdr:rowOff>91440</xdr:rowOff>
    </xdr:to>
    <xdr:sp macro="" textlink="Analyis!N5">
      <xdr:nvSpPr>
        <xdr:cNvPr id="16" name="TextBox 15">
          <a:extLst>
            <a:ext uri="{FF2B5EF4-FFF2-40B4-BE49-F238E27FC236}">
              <a16:creationId xmlns:a16="http://schemas.microsoft.com/office/drawing/2014/main" id="{C20625E3-FADB-4AFD-A710-10AB964B6C1A}"/>
            </a:ext>
          </a:extLst>
        </xdr:cNvPr>
        <xdr:cNvSpPr txBox="1"/>
      </xdr:nvSpPr>
      <xdr:spPr>
        <a:xfrm>
          <a:off x="1653540" y="739140"/>
          <a:ext cx="1470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80B82B-9F7E-4148-A1EE-7D40FE6BC0FD}" type="TxLink">
            <a:rPr lang="en-US" sz="1400" b="1" i="0" u="none" strike="noStrike">
              <a:solidFill>
                <a:schemeClr val="bg1"/>
              </a:solidFill>
              <a:latin typeface="Calibri"/>
              <a:cs typeface="Calibri"/>
            </a:rPr>
            <a:t> 47,949 </a:t>
          </a:fld>
          <a:endParaRPr lang="LID4096" sz="2000" b="1">
            <a:solidFill>
              <a:schemeClr val="bg1"/>
            </a:solidFill>
          </a:endParaRPr>
        </a:p>
      </xdr:txBody>
    </xdr:sp>
    <xdr:clientData/>
  </xdr:twoCellAnchor>
  <xdr:twoCellAnchor>
    <xdr:from>
      <xdr:col>2</xdr:col>
      <xdr:colOff>426720</xdr:colOff>
      <xdr:row>5</xdr:row>
      <xdr:rowOff>167640</xdr:rowOff>
    </xdr:from>
    <xdr:to>
      <xdr:col>5</xdr:col>
      <xdr:colOff>152400</xdr:colOff>
      <xdr:row>7</xdr:row>
      <xdr:rowOff>22860</xdr:rowOff>
    </xdr:to>
    <xdr:sp macro="" textlink="">
      <xdr:nvSpPr>
        <xdr:cNvPr id="17" name="TextBox 16">
          <a:extLst>
            <a:ext uri="{FF2B5EF4-FFF2-40B4-BE49-F238E27FC236}">
              <a16:creationId xmlns:a16="http://schemas.microsoft.com/office/drawing/2014/main" id="{62AE3465-BA99-4FBC-9629-25D765AEF83B}"/>
            </a:ext>
          </a:extLst>
        </xdr:cNvPr>
        <xdr:cNvSpPr txBox="1"/>
      </xdr:nvSpPr>
      <xdr:spPr>
        <a:xfrm>
          <a:off x="1645920" y="1082040"/>
          <a:ext cx="15544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0">
              <a:solidFill>
                <a:schemeClr val="bg1"/>
              </a:solidFill>
            </a:rPr>
            <a:t>Across</a:t>
          </a:r>
          <a:r>
            <a:rPr lang="en-US" sz="900" b="0" baseline="0">
              <a:solidFill>
                <a:schemeClr val="bg1"/>
              </a:solidFill>
            </a:rPr>
            <a:t> All Delivered POs</a:t>
          </a:r>
          <a:endParaRPr lang="LID4096" sz="900" b="0">
            <a:solidFill>
              <a:schemeClr val="bg1"/>
            </a:solidFill>
          </a:endParaRPr>
        </a:p>
      </xdr:txBody>
    </xdr:sp>
    <xdr:clientData/>
  </xdr:twoCellAnchor>
  <xdr:twoCellAnchor>
    <xdr:from>
      <xdr:col>5</xdr:col>
      <xdr:colOff>373380</xdr:colOff>
      <xdr:row>2</xdr:row>
      <xdr:rowOff>144780</xdr:rowOff>
    </xdr:from>
    <xdr:to>
      <xdr:col>8</xdr:col>
      <xdr:colOff>99060</xdr:colOff>
      <xdr:row>4</xdr:row>
      <xdr:rowOff>45720</xdr:rowOff>
    </xdr:to>
    <xdr:sp macro="" textlink="">
      <xdr:nvSpPr>
        <xdr:cNvPr id="18" name="TextBox 17">
          <a:extLst>
            <a:ext uri="{FF2B5EF4-FFF2-40B4-BE49-F238E27FC236}">
              <a16:creationId xmlns:a16="http://schemas.microsoft.com/office/drawing/2014/main" id="{A3F5401B-C7B6-4E55-8A6A-E06985A1D247}"/>
            </a:ext>
          </a:extLst>
        </xdr:cNvPr>
        <xdr:cNvSpPr txBox="1"/>
      </xdr:nvSpPr>
      <xdr:spPr>
        <a:xfrm>
          <a:off x="3421380" y="51054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Avg</a:t>
          </a:r>
          <a:r>
            <a:rPr lang="en-US" sz="1100" b="1" baseline="0">
              <a:solidFill>
                <a:schemeClr val="bg1"/>
              </a:solidFill>
            </a:rPr>
            <a:t> Defect Rate</a:t>
          </a:r>
          <a:endParaRPr lang="LID4096" sz="1100" b="1">
            <a:solidFill>
              <a:schemeClr val="bg1"/>
            </a:solidFill>
          </a:endParaRPr>
        </a:p>
      </xdr:txBody>
    </xdr:sp>
    <xdr:clientData/>
  </xdr:twoCellAnchor>
  <xdr:twoCellAnchor>
    <xdr:from>
      <xdr:col>5</xdr:col>
      <xdr:colOff>381000</xdr:colOff>
      <xdr:row>4</xdr:row>
      <xdr:rowOff>45720</xdr:rowOff>
    </xdr:from>
    <xdr:to>
      <xdr:col>8</xdr:col>
      <xdr:colOff>106680</xdr:colOff>
      <xdr:row>5</xdr:row>
      <xdr:rowOff>129540</xdr:rowOff>
    </xdr:to>
    <xdr:sp macro="" textlink="Analyis!O5">
      <xdr:nvSpPr>
        <xdr:cNvPr id="19" name="TextBox 18">
          <a:extLst>
            <a:ext uri="{FF2B5EF4-FFF2-40B4-BE49-F238E27FC236}">
              <a16:creationId xmlns:a16="http://schemas.microsoft.com/office/drawing/2014/main" id="{2D5154E9-B4F8-4CAE-96F5-9A384023CAA8}"/>
            </a:ext>
          </a:extLst>
        </xdr:cNvPr>
        <xdr:cNvSpPr txBox="1"/>
      </xdr:nvSpPr>
      <xdr:spPr>
        <a:xfrm>
          <a:off x="3429000" y="77724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F5AF7EF-604E-40D5-8E5E-562B035BACC8}" type="TxLink">
            <a:rPr lang="en-US" sz="1400" b="1" i="0" u="none" strike="noStrike">
              <a:solidFill>
                <a:schemeClr val="bg1"/>
              </a:solidFill>
              <a:latin typeface="Calibri"/>
              <a:cs typeface="Calibri"/>
            </a:rPr>
            <a:t>61.7</a:t>
          </a:fld>
          <a:endParaRPr lang="LID4096" sz="1800" b="1">
            <a:solidFill>
              <a:schemeClr val="bg1"/>
            </a:solidFill>
          </a:endParaRPr>
        </a:p>
      </xdr:txBody>
    </xdr:sp>
    <xdr:clientData/>
  </xdr:twoCellAnchor>
  <xdr:twoCellAnchor>
    <xdr:from>
      <xdr:col>5</xdr:col>
      <xdr:colOff>434340</xdr:colOff>
      <xdr:row>5</xdr:row>
      <xdr:rowOff>175260</xdr:rowOff>
    </xdr:from>
    <xdr:to>
      <xdr:col>8</xdr:col>
      <xdr:colOff>160020</xdr:colOff>
      <xdr:row>7</xdr:row>
      <xdr:rowOff>45720</xdr:rowOff>
    </xdr:to>
    <xdr:sp macro="" textlink="">
      <xdr:nvSpPr>
        <xdr:cNvPr id="20" name="TextBox 19">
          <a:extLst>
            <a:ext uri="{FF2B5EF4-FFF2-40B4-BE49-F238E27FC236}">
              <a16:creationId xmlns:a16="http://schemas.microsoft.com/office/drawing/2014/main" id="{4AEEEF0B-F348-434E-9EF6-85E0F312D05C}"/>
            </a:ext>
          </a:extLst>
        </xdr:cNvPr>
        <xdr:cNvSpPr txBox="1"/>
      </xdr:nvSpPr>
      <xdr:spPr>
        <a:xfrm>
          <a:off x="3482340" y="1089660"/>
          <a:ext cx="15544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0">
              <a:solidFill>
                <a:schemeClr val="bg1"/>
              </a:solidFill>
            </a:rPr>
            <a:t>Per PO Average</a:t>
          </a:r>
          <a:endParaRPr lang="LID4096" sz="900" b="0">
            <a:solidFill>
              <a:schemeClr val="bg1"/>
            </a:solidFill>
          </a:endParaRPr>
        </a:p>
      </xdr:txBody>
    </xdr:sp>
    <xdr:clientData/>
  </xdr:twoCellAnchor>
  <xdr:twoCellAnchor>
    <xdr:from>
      <xdr:col>8</xdr:col>
      <xdr:colOff>289560</xdr:colOff>
      <xdr:row>2</xdr:row>
      <xdr:rowOff>160020</xdr:rowOff>
    </xdr:from>
    <xdr:to>
      <xdr:col>11</xdr:col>
      <xdr:colOff>15240</xdr:colOff>
      <xdr:row>4</xdr:row>
      <xdr:rowOff>60960</xdr:rowOff>
    </xdr:to>
    <xdr:sp macro="" textlink="">
      <xdr:nvSpPr>
        <xdr:cNvPr id="21" name="TextBox 20">
          <a:extLst>
            <a:ext uri="{FF2B5EF4-FFF2-40B4-BE49-F238E27FC236}">
              <a16:creationId xmlns:a16="http://schemas.microsoft.com/office/drawing/2014/main" id="{38CE09DE-9A1C-4E1F-BE1A-3ACA4CAEAB0F}"/>
            </a:ext>
          </a:extLst>
        </xdr:cNvPr>
        <xdr:cNvSpPr txBox="1"/>
      </xdr:nvSpPr>
      <xdr:spPr>
        <a:xfrm>
          <a:off x="5166360" y="52578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Non-Compliant</a:t>
          </a:r>
          <a:r>
            <a:rPr lang="en-US" sz="1100" b="1" baseline="0">
              <a:solidFill>
                <a:schemeClr val="bg1"/>
              </a:solidFill>
            </a:rPr>
            <a:t> POs</a:t>
          </a:r>
          <a:endParaRPr lang="LID4096" sz="1100" b="1">
            <a:solidFill>
              <a:schemeClr val="bg1"/>
            </a:solidFill>
          </a:endParaRPr>
        </a:p>
      </xdr:txBody>
    </xdr:sp>
    <xdr:clientData/>
  </xdr:twoCellAnchor>
  <xdr:twoCellAnchor>
    <xdr:from>
      <xdr:col>8</xdr:col>
      <xdr:colOff>297180</xdr:colOff>
      <xdr:row>4</xdr:row>
      <xdr:rowOff>45720</xdr:rowOff>
    </xdr:from>
    <xdr:to>
      <xdr:col>11</xdr:col>
      <xdr:colOff>22860</xdr:colOff>
      <xdr:row>5</xdr:row>
      <xdr:rowOff>129540</xdr:rowOff>
    </xdr:to>
    <xdr:sp macro="" textlink="Analyis!K96">
      <xdr:nvSpPr>
        <xdr:cNvPr id="22" name="TextBox 21">
          <a:extLst>
            <a:ext uri="{FF2B5EF4-FFF2-40B4-BE49-F238E27FC236}">
              <a16:creationId xmlns:a16="http://schemas.microsoft.com/office/drawing/2014/main" id="{7250D1DC-C71C-4E98-BAAB-1FF56747CA22}"/>
            </a:ext>
          </a:extLst>
        </xdr:cNvPr>
        <xdr:cNvSpPr txBox="1"/>
      </xdr:nvSpPr>
      <xdr:spPr>
        <a:xfrm>
          <a:off x="5173980" y="77724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8CDAB7-836C-46CA-B05D-F610752D6375}" type="TxLink">
            <a:rPr lang="en-US" sz="1400" b="1" i="0" u="none" strike="noStrike">
              <a:solidFill>
                <a:schemeClr val="bg1"/>
              </a:solidFill>
              <a:latin typeface="Calibri"/>
              <a:cs typeface="Calibri"/>
            </a:rPr>
            <a:t>137</a:t>
          </a:fld>
          <a:endParaRPr lang="LID4096" sz="1800" b="1">
            <a:solidFill>
              <a:schemeClr val="bg1"/>
            </a:solidFill>
          </a:endParaRPr>
        </a:p>
      </xdr:txBody>
    </xdr:sp>
    <xdr:clientData/>
  </xdr:twoCellAnchor>
  <xdr:twoCellAnchor>
    <xdr:from>
      <xdr:col>8</xdr:col>
      <xdr:colOff>304800</xdr:colOff>
      <xdr:row>6</xdr:row>
      <xdr:rowOff>0</xdr:rowOff>
    </xdr:from>
    <xdr:to>
      <xdr:col>11</xdr:col>
      <xdr:colOff>30480</xdr:colOff>
      <xdr:row>7</xdr:row>
      <xdr:rowOff>15240</xdr:rowOff>
    </xdr:to>
    <xdr:sp macro="" textlink="Analyis!L96">
      <xdr:nvSpPr>
        <xdr:cNvPr id="23" name="TextBox 22">
          <a:extLst>
            <a:ext uri="{FF2B5EF4-FFF2-40B4-BE49-F238E27FC236}">
              <a16:creationId xmlns:a16="http://schemas.microsoft.com/office/drawing/2014/main" id="{9F00CAF6-E5C7-47EB-B63D-5243E760AEAF}"/>
            </a:ext>
          </a:extLst>
        </xdr:cNvPr>
        <xdr:cNvSpPr txBox="1"/>
      </xdr:nvSpPr>
      <xdr:spPr>
        <a:xfrm>
          <a:off x="5181600" y="1097280"/>
          <a:ext cx="15544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8CED22-4F10-4A26-9121-F4C10B910522}" type="TxLink">
            <a:rPr lang="en-US" sz="1000" b="0" i="0" u="none" strike="noStrike">
              <a:solidFill>
                <a:schemeClr val="bg1"/>
              </a:solidFill>
              <a:latin typeface="Calibri"/>
              <a:cs typeface="Calibri"/>
            </a:rPr>
            <a:t>17.6%</a:t>
          </a:fld>
          <a:r>
            <a:rPr lang="en-US" sz="1000" b="0" i="0" u="none" strike="noStrike">
              <a:solidFill>
                <a:schemeClr val="bg1"/>
              </a:solidFill>
              <a:latin typeface="Calibri"/>
              <a:cs typeface="Calibri"/>
            </a:rPr>
            <a:t> of Total</a:t>
          </a:r>
          <a:endParaRPr lang="LID4096" sz="700" b="0">
            <a:solidFill>
              <a:schemeClr val="bg1"/>
            </a:solidFill>
          </a:endParaRPr>
        </a:p>
      </xdr:txBody>
    </xdr:sp>
    <xdr:clientData/>
  </xdr:twoCellAnchor>
  <xdr:twoCellAnchor>
    <xdr:from>
      <xdr:col>11</xdr:col>
      <xdr:colOff>205740</xdr:colOff>
      <xdr:row>2</xdr:row>
      <xdr:rowOff>144780</xdr:rowOff>
    </xdr:from>
    <xdr:to>
      <xdr:col>13</xdr:col>
      <xdr:colOff>541020</xdr:colOff>
      <xdr:row>4</xdr:row>
      <xdr:rowOff>45720</xdr:rowOff>
    </xdr:to>
    <xdr:sp macro="" textlink="">
      <xdr:nvSpPr>
        <xdr:cNvPr id="24" name="TextBox 23">
          <a:extLst>
            <a:ext uri="{FF2B5EF4-FFF2-40B4-BE49-F238E27FC236}">
              <a16:creationId xmlns:a16="http://schemas.microsoft.com/office/drawing/2014/main" id="{963E4B5F-D779-4996-ADC1-9CA91C56FA19}"/>
            </a:ext>
          </a:extLst>
        </xdr:cNvPr>
        <xdr:cNvSpPr txBox="1"/>
      </xdr:nvSpPr>
      <xdr:spPr>
        <a:xfrm>
          <a:off x="6911340" y="51054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Cancelled</a:t>
          </a:r>
          <a:r>
            <a:rPr lang="en-US" sz="1100" b="1" baseline="0">
              <a:solidFill>
                <a:schemeClr val="bg1"/>
              </a:solidFill>
            </a:rPr>
            <a:t> Orders</a:t>
          </a:r>
          <a:endParaRPr lang="LID4096" sz="1100" b="1">
            <a:solidFill>
              <a:schemeClr val="bg1"/>
            </a:solidFill>
          </a:endParaRPr>
        </a:p>
      </xdr:txBody>
    </xdr:sp>
    <xdr:clientData/>
  </xdr:twoCellAnchor>
  <xdr:twoCellAnchor>
    <xdr:from>
      <xdr:col>11</xdr:col>
      <xdr:colOff>228600</xdr:colOff>
      <xdr:row>4</xdr:row>
      <xdr:rowOff>22860</xdr:rowOff>
    </xdr:from>
    <xdr:to>
      <xdr:col>13</xdr:col>
      <xdr:colOff>563880</xdr:colOff>
      <xdr:row>5</xdr:row>
      <xdr:rowOff>106680</xdr:rowOff>
    </xdr:to>
    <xdr:sp macro="" textlink="Analyis!C60">
      <xdr:nvSpPr>
        <xdr:cNvPr id="25" name="TextBox 24">
          <a:extLst>
            <a:ext uri="{FF2B5EF4-FFF2-40B4-BE49-F238E27FC236}">
              <a16:creationId xmlns:a16="http://schemas.microsoft.com/office/drawing/2014/main" id="{75875C01-7EA1-4CA9-892F-708966EF9DC4}"/>
            </a:ext>
          </a:extLst>
        </xdr:cNvPr>
        <xdr:cNvSpPr txBox="1"/>
      </xdr:nvSpPr>
      <xdr:spPr>
        <a:xfrm>
          <a:off x="6934200" y="75438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EBE8F2E-B376-43A7-A54F-68BCA6D351B8}" type="TxLink">
            <a:rPr lang="en-US" sz="1400" b="1" i="0" u="none" strike="noStrike">
              <a:solidFill>
                <a:schemeClr val="bg1"/>
              </a:solidFill>
              <a:latin typeface="Calibri"/>
              <a:cs typeface="Calibri"/>
            </a:rPr>
            <a:t>63</a:t>
          </a:fld>
          <a:endParaRPr lang="LID4096" sz="2400" b="1">
            <a:solidFill>
              <a:schemeClr val="bg1"/>
            </a:solidFill>
          </a:endParaRPr>
        </a:p>
      </xdr:txBody>
    </xdr:sp>
    <xdr:clientData/>
  </xdr:twoCellAnchor>
  <xdr:twoCellAnchor>
    <xdr:from>
      <xdr:col>11</xdr:col>
      <xdr:colOff>205740</xdr:colOff>
      <xdr:row>6</xdr:row>
      <xdr:rowOff>22860</xdr:rowOff>
    </xdr:from>
    <xdr:to>
      <xdr:col>13</xdr:col>
      <xdr:colOff>541020</xdr:colOff>
      <xdr:row>7</xdr:row>
      <xdr:rowOff>38100</xdr:rowOff>
    </xdr:to>
    <xdr:sp macro="" textlink="Analyis!C61">
      <xdr:nvSpPr>
        <xdr:cNvPr id="26" name="TextBox 25">
          <a:extLst>
            <a:ext uri="{FF2B5EF4-FFF2-40B4-BE49-F238E27FC236}">
              <a16:creationId xmlns:a16="http://schemas.microsoft.com/office/drawing/2014/main" id="{4F69EDB2-C54A-4081-9DEA-E1AE65574C61}"/>
            </a:ext>
          </a:extLst>
        </xdr:cNvPr>
        <xdr:cNvSpPr txBox="1"/>
      </xdr:nvSpPr>
      <xdr:spPr>
        <a:xfrm>
          <a:off x="6911340" y="1120140"/>
          <a:ext cx="15544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D062811-2280-4A08-8CBF-4EC0EEC28981}" type="TxLink">
            <a:rPr lang="en-US" sz="1100" b="0" i="0" u="none" strike="noStrike">
              <a:solidFill>
                <a:schemeClr val="bg1"/>
              </a:solidFill>
              <a:latin typeface="Calibri"/>
              <a:cs typeface="Calibri"/>
            </a:rPr>
            <a:t>8.1%</a:t>
          </a:fld>
          <a:r>
            <a:rPr lang="en-US" sz="1100" b="0" i="0" u="none" strike="noStrike">
              <a:solidFill>
                <a:schemeClr val="bg1"/>
              </a:solidFill>
              <a:latin typeface="Calibri"/>
              <a:cs typeface="Calibri"/>
            </a:rPr>
            <a:t> of Total</a:t>
          </a:r>
          <a:endParaRPr lang="LID4096" sz="600" b="0">
            <a:solidFill>
              <a:schemeClr val="bg1"/>
            </a:solidFill>
          </a:endParaRPr>
        </a:p>
      </xdr:txBody>
    </xdr:sp>
    <xdr:clientData/>
  </xdr:twoCellAnchor>
  <xdr:twoCellAnchor>
    <xdr:from>
      <xdr:col>14</xdr:col>
      <xdr:colOff>77724</xdr:colOff>
      <xdr:row>2</xdr:row>
      <xdr:rowOff>114300</xdr:rowOff>
    </xdr:from>
    <xdr:to>
      <xdr:col>16</xdr:col>
      <xdr:colOff>473964</xdr:colOff>
      <xdr:row>7</xdr:row>
      <xdr:rowOff>53340</xdr:rowOff>
    </xdr:to>
    <xdr:sp macro="" textlink="">
      <xdr:nvSpPr>
        <xdr:cNvPr id="27" name="Rectangle: Rounded Corners 26">
          <a:extLst>
            <a:ext uri="{FF2B5EF4-FFF2-40B4-BE49-F238E27FC236}">
              <a16:creationId xmlns:a16="http://schemas.microsoft.com/office/drawing/2014/main" id="{DC3DFEBD-C0C8-4525-80FE-ADD17C6CB310}"/>
            </a:ext>
          </a:extLst>
        </xdr:cNvPr>
        <xdr:cNvSpPr/>
      </xdr:nvSpPr>
      <xdr:spPr>
        <a:xfrm>
          <a:off x="8612124" y="480060"/>
          <a:ext cx="1615440" cy="853440"/>
        </a:xfrm>
        <a:prstGeom prst="roundRect">
          <a:avLst>
            <a:gd name="adj" fmla="val 4286"/>
          </a:avLst>
        </a:prstGeom>
        <a:solidFill>
          <a:srgbClr val="2F61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14</xdr:col>
      <xdr:colOff>121920</xdr:colOff>
      <xdr:row>2</xdr:row>
      <xdr:rowOff>129540</xdr:rowOff>
    </xdr:from>
    <xdr:to>
      <xdr:col>16</xdr:col>
      <xdr:colOff>457200</xdr:colOff>
      <xdr:row>4</xdr:row>
      <xdr:rowOff>30480</xdr:rowOff>
    </xdr:to>
    <xdr:sp macro="" textlink="">
      <xdr:nvSpPr>
        <xdr:cNvPr id="28" name="TextBox 27">
          <a:extLst>
            <a:ext uri="{FF2B5EF4-FFF2-40B4-BE49-F238E27FC236}">
              <a16:creationId xmlns:a16="http://schemas.microsoft.com/office/drawing/2014/main" id="{81F65573-864E-48ED-BB54-6BC16F28B0D4}"/>
            </a:ext>
          </a:extLst>
        </xdr:cNvPr>
        <xdr:cNvSpPr txBox="1"/>
      </xdr:nvSpPr>
      <xdr:spPr>
        <a:xfrm>
          <a:off x="8656320" y="49530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Pertially Delivered</a:t>
          </a:r>
          <a:endParaRPr lang="LID4096" sz="1100" b="1">
            <a:solidFill>
              <a:schemeClr val="bg1"/>
            </a:solidFill>
          </a:endParaRPr>
        </a:p>
      </xdr:txBody>
    </xdr:sp>
    <xdr:clientData/>
  </xdr:twoCellAnchor>
  <xdr:twoCellAnchor>
    <xdr:from>
      <xdr:col>14</xdr:col>
      <xdr:colOff>121920</xdr:colOff>
      <xdr:row>4</xdr:row>
      <xdr:rowOff>22860</xdr:rowOff>
    </xdr:from>
    <xdr:to>
      <xdr:col>16</xdr:col>
      <xdr:colOff>457200</xdr:colOff>
      <xdr:row>5</xdr:row>
      <xdr:rowOff>106680</xdr:rowOff>
    </xdr:to>
    <xdr:sp macro="" textlink="Analyis!C59">
      <xdr:nvSpPr>
        <xdr:cNvPr id="29" name="TextBox 28">
          <a:extLst>
            <a:ext uri="{FF2B5EF4-FFF2-40B4-BE49-F238E27FC236}">
              <a16:creationId xmlns:a16="http://schemas.microsoft.com/office/drawing/2014/main" id="{F7133486-B218-4206-89D1-C8931B32BC3A}"/>
            </a:ext>
          </a:extLst>
        </xdr:cNvPr>
        <xdr:cNvSpPr txBox="1"/>
      </xdr:nvSpPr>
      <xdr:spPr>
        <a:xfrm>
          <a:off x="8656320" y="75438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77611A-9C2C-48C1-8209-52B32FF4A5E6}" type="TxLink">
            <a:rPr lang="en-US" sz="1400" b="1" i="0" u="none" strike="noStrike">
              <a:solidFill>
                <a:schemeClr val="bg1"/>
              </a:solidFill>
              <a:latin typeface="Calibri"/>
              <a:cs typeface="Calibri"/>
            </a:rPr>
            <a:t>73</a:t>
          </a:fld>
          <a:endParaRPr lang="LID4096" sz="2400" b="1">
            <a:solidFill>
              <a:schemeClr val="bg1"/>
            </a:solidFill>
          </a:endParaRPr>
        </a:p>
      </xdr:txBody>
    </xdr:sp>
    <xdr:clientData/>
  </xdr:twoCellAnchor>
  <xdr:twoCellAnchor>
    <xdr:from>
      <xdr:col>14</xdr:col>
      <xdr:colOff>129540</xdr:colOff>
      <xdr:row>6</xdr:row>
      <xdr:rowOff>15240</xdr:rowOff>
    </xdr:from>
    <xdr:to>
      <xdr:col>16</xdr:col>
      <xdr:colOff>464820</xdr:colOff>
      <xdr:row>7</xdr:row>
      <xdr:rowOff>30480</xdr:rowOff>
    </xdr:to>
    <xdr:sp macro="" textlink="">
      <xdr:nvSpPr>
        <xdr:cNvPr id="30" name="TextBox 29">
          <a:extLst>
            <a:ext uri="{FF2B5EF4-FFF2-40B4-BE49-F238E27FC236}">
              <a16:creationId xmlns:a16="http://schemas.microsoft.com/office/drawing/2014/main" id="{28B9E2E2-C543-46D0-BAD8-02A5D7BAC3FC}"/>
            </a:ext>
          </a:extLst>
        </xdr:cNvPr>
        <xdr:cNvSpPr txBox="1"/>
      </xdr:nvSpPr>
      <xdr:spPr>
        <a:xfrm>
          <a:off x="8663940" y="1112520"/>
          <a:ext cx="15544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0" i="0" u="none" strike="noStrike">
              <a:solidFill>
                <a:schemeClr val="bg1"/>
              </a:solidFill>
              <a:latin typeface="+mn-lt"/>
              <a:cs typeface="Calibri"/>
            </a:rPr>
            <a:t>Order → Delivery</a:t>
          </a:r>
        </a:p>
      </xdr:txBody>
    </xdr:sp>
    <xdr:clientData/>
  </xdr:twoCellAnchor>
  <xdr:twoCellAnchor>
    <xdr:from>
      <xdr:col>16</xdr:col>
      <xdr:colOff>601980</xdr:colOff>
      <xdr:row>2</xdr:row>
      <xdr:rowOff>114300</xdr:rowOff>
    </xdr:from>
    <xdr:to>
      <xdr:col>19</xdr:col>
      <xdr:colOff>388620</xdr:colOff>
      <xdr:row>7</xdr:row>
      <xdr:rowOff>53340</xdr:rowOff>
    </xdr:to>
    <xdr:sp macro="" textlink="">
      <xdr:nvSpPr>
        <xdr:cNvPr id="31" name="Rectangle: Rounded Corners 30">
          <a:extLst>
            <a:ext uri="{FF2B5EF4-FFF2-40B4-BE49-F238E27FC236}">
              <a16:creationId xmlns:a16="http://schemas.microsoft.com/office/drawing/2014/main" id="{800C2402-079E-48B0-BD40-2CC5EEDAD95E}"/>
            </a:ext>
          </a:extLst>
        </xdr:cNvPr>
        <xdr:cNvSpPr/>
      </xdr:nvSpPr>
      <xdr:spPr>
        <a:xfrm>
          <a:off x="10355580" y="480060"/>
          <a:ext cx="1615440" cy="853440"/>
        </a:xfrm>
        <a:prstGeom prst="roundRect">
          <a:avLst>
            <a:gd name="adj" fmla="val 4286"/>
          </a:avLst>
        </a:prstGeom>
        <a:solidFill>
          <a:srgbClr val="2F61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17</xdr:col>
      <xdr:colOff>22860</xdr:colOff>
      <xdr:row>2</xdr:row>
      <xdr:rowOff>152400</xdr:rowOff>
    </xdr:from>
    <xdr:to>
      <xdr:col>19</xdr:col>
      <xdr:colOff>358140</xdr:colOff>
      <xdr:row>4</xdr:row>
      <xdr:rowOff>53340</xdr:rowOff>
    </xdr:to>
    <xdr:sp macro="" textlink="">
      <xdr:nvSpPr>
        <xdr:cNvPr id="32" name="TextBox 31">
          <a:extLst>
            <a:ext uri="{FF2B5EF4-FFF2-40B4-BE49-F238E27FC236}">
              <a16:creationId xmlns:a16="http://schemas.microsoft.com/office/drawing/2014/main" id="{3CB553C2-46A1-43A6-8F3B-066736073A16}"/>
            </a:ext>
          </a:extLst>
        </xdr:cNvPr>
        <xdr:cNvSpPr txBox="1"/>
      </xdr:nvSpPr>
      <xdr:spPr>
        <a:xfrm>
          <a:off x="10386060" y="51816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Compliance Rate</a:t>
          </a:r>
          <a:endParaRPr lang="LID4096" sz="1100" b="1">
            <a:solidFill>
              <a:schemeClr val="bg1"/>
            </a:solidFill>
          </a:endParaRPr>
        </a:p>
      </xdr:txBody>
    </xdr:sp>
    <xdr:clientData/>
  </xdr:twoCellAnchor>
  <xdr:twoCellAnchor>
    <xdr:from>
      <xdr:col>17</xdr:col>
      <xdr:colOff>38100</xdr:colOff>
      <xdr:row>4</xdr:row>
      <xdr:rowOff>38100</xdr:rowOff>
    </xdr:from>
    <xdr:to>
      <xdr:col>19</xdr:col>
      <xdr:colOff>373380</xdr:colOff>
      <xdr:row>5</xdr:row>
      <xdr:rowOff>121920</xdr:rowOff>
    </xdr:to>
    <xdr:sp macro="" textlink="Analyis!P45">
      <xdr:nvSpPr>
        <xdr:cNvPr id="33" name="TextBox 32">
          <a:extLst>
            <a:ext uri="{FF2B5EF4-FFF2-40B4-BE49-F238E27FC236}">
              <a16:creationId xmlns:a16="http://schemas.microsoft.com/office/drawing/2014/main" id="{0BAF313C-9F4D-43AC-9A2F-BBB7FDED5C61}"/>
            </a:ext>
          </a:extLst>
        </xdr:cNvPr>
        <xdr:cNvSpPr txBox="1"/>
      </xdr:nvSpPr>
      <xdr:spPr>
        <a:xfrm>
          <a:off x="10401300" y="76962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A5A5AF-4097-4EA2-A6B8-8FF6576247B8}" type="TxLink">
            <a:rPr lang="en-US" sz="1400" b="1" i="0" u="none" strike="noStrike">
              <a:solidFill>
                <a:schemeClr val="bg1"/>
              </a:solidFill>
              <a:latin typeface="Calibri"/>
              <a:cs typeface="Calibri"/>
            </a:rPr>
            <a:t>82.4%</a:t>
          </a:fld>
          <a:endParaRPr lang="LID4096" sz="2400" b="1">
            <a:solidFill>
              <a:schemeClr val="bg1"/>
            </a:solidFill>
          </a:endParaRPr>
        </a:p>
      </xdr:txBody>
    </xdr:sp>
    <xdr:clientData/>
  </xdr:twoCellAnchor>
  <xdr:twoCellAnchor>
    <xdr:from>
      <xdr:col>17</xdr:col>
      <xdr:colOff>38100</xdr:colOff>
      <xdr:row>6</xdr:row>
      <xdr:rowOff>15240</xdr:rowOff>
    </xdr:from>
    <xdr:to>
      <xdr:col>19</xdr:col>
      <xdr:colOff>373380</xdr:colOff>
      <xdr:row>7</xdr:row>
      <xdr:rowOff>30480</xdr:rowOff>
    </xdr:to>
    <xdr:sp macro="" textlink="">
      <xdr:nvSpPr>
        <xdr:cNvPr id="34" name="TextBox 33">
          <a:extLst>
            <a:ext uri="{FF2B5EF4-FFF2-40B4-BE49-F238E27FC236}">
              <a16:creationId xmlns:a16="http://schemas.microsoft.com/office/drawing/2014/main" id="{10CDF9D6-11E0-4D41-B6E4-A6E6BE96B0EB}"/>
            </a:ext>
          </a:extLst>
        </xdr:cNvPr>
        <xdr:cNvSpPr txBox="1"/>
      </xdr:nvSpPr>
      <xdr:spPr>
        <a:xfrm>
          <a:off x="10401300" y="1112520"/>
          <a:ext cx="15544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0" i="0" u="none" strike="noStrike">
              <a:solidFill>
                <a:schemeClr val="bg1"/>
              </a:solidFill>
              <a:latin typeface="+mn-lt"/>
              <a:cs typeface="Calibri"/>
            </a:rPr>
            <a:t>Supplier Compliance</a:t>
          </a:r>
        </a:p>
      </xdr:txBody>
    </xdr:sp>
    <xdr:clientData/>
  </xdr:twoCellAnchor>
  <xdr:twoCellAnchor>
    <xdr:from>
      <xdr:col>2</xdr:col>
      <xdr:colOff>426720</xdr:colOff>
      <xdr:row>8</xdr:row>
      <xdr:rowOff>30480</xdr:rowOff>
    </xdr:from>
    <xdr:to>
      <xdr:col>10</xdr:col>
      <xdr:colOff>586740</xdr:colOff>
      <xdr:row>21</xdr:row>
      <xdr:rowOff>121920</xdr:rowOff>
    </xdr:to>
    <xdr:graphicFrame macro="">
      <xdr:nvGraphicFramePr>
        <xdr:cNvPr id="37" name="Chart 36">
          <a:extLst>
            <a:ext uri="{FF2B5EF4-FFF2-40B4-BE49-F238E27FC236}">
              <a16:creationId xmlns:a16="http://schemas.microsoft.com/office/drawing/2014/main" id="{831DF48F-CBCA-4D0A-8D02-1D416570B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266700</xdr:colOff>
      <xdr:row>8</xdr:row>
      <xdr:rowOff>60960</xdr:rowOff>
    </xdr:from>
    <xdr:to>
      <xdr:col>19</xdr:col>
      <xdr:colOff>396240</xdr:colOff>
      <xdr:row>21</xdr:row>
      <xdr:rowOff>30480</xdr:rowOff>
    </xdr:to>
    <xdr:graphicFrame macro="">
      <xdr:nvGraphicFramePr>
        <xdr:cNvPr id="38" name="Chart 37">
          <a:extLst>
            <a:ext uri="{FF2B5EF4-FFF2-40B4-BE49-F238E27FC236}">
              <a16:creationId xmlns:a16="http://schemas.microsoft.com/office/drawing/2014/main" id="{1CE80D8D-37F9-41D8-9E7A-339D13406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266700</xdr:colOff>
      <xdr:row>22</xdr:row>
      <xdr:rowOff>91440</xdr:rowOff>
    </xdr:from>
    <xdr:to>
      <xdr:col>19</xdr:col>
      <xdr:colOff>480060</xdr:colOff>
      <xdr:row>35</xdr:row>
      <xdr:rowOff>167640</xdr:rowOff>
    </xdr:to>
    <xdr:graphicFrame macro="">
      <xdr:nvGraphicFramePr>
        <xdr:cNvPr id="39" name="Chart 38">
          <a:extLst>
            <a:ext uri="{FF2B5EF4-FFF2-40B4-BE49-F238E27FC236}">
              <a16:creationId xmlns:a16="http://schemas.microsoft.com/office/drawing/2014/main" id="{77B05F71-08CE-4983-A6BF-75F0ABE1F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510540</xdr:colOff>
      <xdr:row>22</xdr:row>
      <xdr:rowOff>160020</xdr:rowOff>
    </xdr:from>
    <xdr:to>
      <xdr:col>11</xdr:col>
      <xdr:colOff>68580</xdr:colOff>
      <xdr:row>35</xdr:row>
      <xdr:rowOff>152400</xdr:rowOff>
    </xdr:to>
    <xdr:graphicFrame macro="">
      <xdr:nvGraphicFramePr>
        <xdr:cNvPr id="40" name="Chart 39">
          <a:extLst>
            <a:ext uri="{FF2B5EF4-FFF2-40B4-BE49-F238E27FC236}">
              <a16:creationId xmlns:a16="http://schemas.microsoft.com/office/drawing/2014/main" id="{DAF1A890-0919-4DB5-AB4B-ED658179D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23</xdr:row>
      <xdr:rowOff>152401</xdr:rowOff>
    </xdr:from>
    <xdr:to>
      <xdr:col>2</xdr:col>
      <xdr:colOff>228600</xdr:colOff>
      <xdr:row>33</xdr:row>
      <xdr:rowOff>68581</xdr:rowOff>
    </xdr:to>
    <mc:AlternateContent xmlns:mc="http://schemas.openxmlformats.org/markup-compatibility/2006">
      <mc:Choice xmlns:a14="http://schemas.microsoft.com/office/drawing/2010/main" Requires="a14">
        <xdr:graphicFrame macro="">
          <xdr:nvGraphicFramePr>
            <xdr:cNvPr id="47" name="Item_Category 1">
              <a:extLst>
                <a:ext uri="{FF2B5EF4-FFF2-40B4-BE49-F238E27FC236}">
                  <a16:creationId xmlns:a16="http://schemas.microsoft.com/office/drawing/2014/main" id="{ECA72D25-9FAB-4CE3-9C97-2A9565F07DD2}"/>
                </a:ext>
              </a:extLst>
            </xdr:cNvPr>
            <xdr:cNvGraphicFramePr/>
          </xdr:nvGraphicFramePr>
          <xdr:xfrm>
            <a:off x="0" y="0"/>
            <a:ext cx="0" cy="0"/>
          </xdr:xfrm>
          <a:graphic>
            <a:graphicData uri="http://schemas.microsoft.com/office/drawing/2010/slicer">
              <sle:slicer xmlns:sle="http://schemas.microsoft.com/office/drawing/2010/slicer" name="Item_Category 1"/>
            </a:graphicData>
          </a:graphic>
        </xdr:graphicFrame>
      </mc:Choice>
      <mc:Fallback>
        <xdr:sp macro="" textlink="">
          <xdr:nvSpPr>
            <xdr:cNvPr id="0" name=""/>
            <xdr:cNvSpPr>
              <a:spLocks noTextEdit="1"/>
            </xdr:cNvSpPr>
          </xdr:nvSpPr>
          <xdr:spPr>
            <a:xfrm>
              <a:off x="0" y="4358641"/>
              <a:ext cx="1447800" cy="174498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121921</xdr:rowOff>
    </xdr:from>
    <xdr:to>
      <xdr:col>2</xdr:col>
      <xdr:colOff>220980</xdr:colOff>
      <xdr:row>22</xdr:row>
      <xdr:rowOff>144781</xdr:rowOff>
    </xdr:to>
    <mc:AlternateContent xmlns:mc="http://schemas.openxmlformats.org/markup-compatibility/2006">
      <mc:Choice xmlns:a14="http://schemas.microsoft.com/office/drawing/2010/main" Requires="a14">
        <xdr:graphicFrame macro="">
          <xdr:nvGraphicFramePr>
            <xdr:cNvPr id="48" name="Supplier 2">
              <a:extLst>
                <a:ext uri="{FF2B5EF4-FFF2-40B4-BE49-F238E27FC236}">
                  <a16:creationId xmlns:a16="http://schemas.microsoft.com/office/drawing/2014/main" id="{13F1596F-9634-4FF0-BF9D-3082C1AC06F9}"/>
                </a:ext>
              </a:extLst>
            </xdr:cNvPr>
            <xdr:cNvGraphicFramePr/>
          </xdr:nvGraphicFramePr>
          <xdr:xfrm>
            <a:off x="0" y="0"/>
            <a:ext cx="0" cy="0"/>
          </xdr:xfrm>
          <a:graphic>
            <a:graphicData uri="http://schemas.microsoft.com/office/drawing/2010/slicer">
              <sle:slicer xmlns:sle="http://schemas.microsoft.com/office/drawing/2010/slicer" name="Supplier 2"/>
            </a:graphicData>
          </a:graphic>
        </xdr:graphicFrame>
      </mc:Choice>
      <mc:Fallback>
        <xdr:sp macro="" textlink="">
          <xdr:nvSpPr>
            <xdr:cNvPr id="0" name=""/>
            <xdr:cNvSpPr>
              <a:spLocks noTextEdit="1"/>
            </xdr:cNvSpPr>
          </xdr:nvSpPr>
          <xdr:spPr>
            <a:xfrm>
              <a:off x="0" y="2499361"/>
              <a:ext cx="1440180" cy="166878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30480</xdr:rowOff>
    </xdr:from>
    <xdr:to>
      <xdr:col>2</xdr:col>
      <xdr:colOff>190500</xdr:colOff>
      <xdr:row>12</xdr:row>
      <xdr:rowOff>152400</xdr:rowOff>
    </xdr:to>
    <mc:AlternateContent xmlns:mc="http://schemas.openxmlformats.org/markup-compatibility/2006">
      <mc:Choice xmlns:a14="http://schemas.microsoft.com/office/drawing/2010/main" Requires="a14">
        <xdr:graphicFrame macro="">
          <xdr:nvGraphicFramePr>
            <xdr:cNvPr id="49" name="Years (Order_Date) 1">
              <a:extLst>
                <a:ext uri="{FF2B5EF4-FFF2-40B4-BE49-F238E27FC236}">
                  <a16:creationId xmlns:a16="http://schemas.microsoft.com/office/drawing/2014/main" id="{B9EB75C3-3F34-474E-8682-92A45936D165}"/>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dr:sp macro="" textlink="">
          <xdr:nvSpPr>
            <xdr:cNvPr id="0" name=""/>
            <xdr:cNvSpPr>
              <a:spLocks noTextEdit="1"/>
            </xdr:cNvSpPr>
          </xdr:nvSpPr>
          <xdr:spPr>
            <a:xfrm>
              <a:off x="0" y="1127760"/>
              <a:ext cx="1409700" cy="121920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xdr:col>
      <xdr:colOff>335280</xdr:colOff>
      <xdr:row>4</xdr:row>
      <xdr:rowOff>22860</xdr:rowOff>
    </xdr:to>
    <xdr:sp macro="" textlink="">
      <xdr:nvSpPr>
        <xdr:cNvPr id="50" name="TextBox 49">
          <a:extLst>
            <a:ext uri="{FF2B5EF4-FFF2-40B4-BE49-F238E27FC236}">
              <a16:creationId xmlns:a16="http://schemas.microsoft.com/office/drawing/2014/main" id="{92D1AEA6-58A0-4C1F-9432-8979DF17D08A}"/>
            </a:ext>
          </a:extLst>
        </xdr:cNvPr>
        <xdr:cNvSpPr txBox="1"/>
      </xdr:nvSpPr>
      <xdr:spPr>
        <a:xfrm>
          <a:off x="0" y="0"/>
          <a:ext cx="1554480" cy="754380"/>
        </a:xfrm>
        <a:prstGeom prst="rect">
          <a:avLst/>
        </a:prstGeom>
        <a:solidFill>
          <a:srgbClr val="4DAED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Supply Chain Analysis</a:t>
          </a:r>
          <a:endParaRPr lang="LID4096" sz="1600" b="1">
            <a:solidFill>
              <a:schemeClr val="bg1"/>
            </a:solidFill>
          </a:endParaRPr>
        </a:p>
      </xdr:txBody>
    </xdr:sp>
    <xdr:clientData/>
  </xdr:twoCellAnchor>
  <xdr:twoCellAnchor>
    <xdr:from>
      <xdr:col>2</xdr:col>
      <xdr:colOff>411480</xdr:colOff>
      <xdr:row>0</xdr:row>
      <xdr:rowOff>137160</xdr:rowOff>
    </xdr:from>
    <xdr:to>
      <xdr:col>4</xdr:col>
      <xdr:colOff>342900</xdr:colOff>
      <xdr:row>2</xdr:row>
      <xdr:rowOff>0</xdr:rowOff>
    </xdr:to>
    <xdr:sp macro="" textlink="">
      <xdr:nvSpPr>
        <xdr:cNvPr id="52" name="Rectangle 51">
          <a:hlinkClick xmlns:r="http://schemas.openxmlformats.org/officeDocument/2006/relationships" r:id="rId5"/>
          <a:extLst>
            <a:ext uri="{FF2B5EF4-FFF2-40B4-BE49-F238E27FC236}">
              <a16:creationId xmlns:a16="http://schemas.microsoft.com/office/drawing/2014/main" id="{C167F15A-5FAF-38E5-59D1-1F059D32DBCF}"/>
            </a:ext>
          </a:extLst>
        </xdr:cNvPr>
        <xdr:cNvSpPr/>
      </xdr:nvSpPr>
      <xdr:spPr>
        <a:xfrm>
          <a:off x="1630680" y="137160"/>
          <a:ext cx="1150620" cy="228600"/>
        </a:xfrm>
        <a:prstGeom prst="rect">
          <a:avLst/>
        </a:prstGeom>
        <a:solidFill>
          <a:srgbClr val="4DAED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Exec Overview</a:t>
          </a:r>
          <a:endParaRPr lang="LID4096" sz="1100" b="1">
            <a:solidFill>
              <a:schemeClr val="bg1"/>
            </a:solidFill>
          </a:endParaRPr>
        </a:p>
      </xdr:txBody>
    </xdr:sp>
    <xdr:clientData/>
  </xdr:twoCellAnchor>
  <xdr:twoCellAnchor>
    <xdr:from>
      <xdr:col>4</xdr:col>
      <xdr:colOff>411480</xdr:colOff>
      <xdr:row>0</xdr:row>
      <xdr:rowOff>137160</xdr:rowOff>
    </xdr:from>
    <xdr:to>
      <xdr:col>7</xdr:col>
      <xdr:colOff>68580</xdr:colOff>
      <xdr:row>2</xdr:row>
      <xdr:rowOff>0</xdr:rowOff>
    </xdr:to>
    <xdr:sp macro="" textlink="">
      <xdr:nvSpPr>
        <xdr:cNvPr id="53" name="Rectangle 52">
          <a:extLst>
            <a:ext uri="{FF2B5EF4-FFF2-40B4-BE49-F238E27FC236}">
              <a16:creationId xmlns:a16="http://schemas.microsoft.com/office/drawing/2014/main" id="{3DA8579C-0FC6-B691-BBCB-9EBBF9AB13D2}"/>
            </a:ext>
          </a:extLst>
        </xdr:cNvPr>
        <xdr:cNvSpPr/>
      </xdr:nvSpPr>
      <xdr:spPr>
        <a:xfrm>
          <a:off x="2849880" y="137160"/>
          <a:ext cx="1485900" cy="228600"/>
        </a:xfrm>
        <a:prstGeom prst="rect">
          <a:avLst/>
        </a:prstGeom>
        <a:solidFill>
          <a:srgbClr val="4DAED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Supplier</a:t>
          </a:r>
          <a:r>
            <a:rPr lang="en-US" sz="1100" b="1" baseline="0">
              <a:solidFill>
                <a:schemeClr val="bg1"/>
              </a:solidFill>
            </a:rPr>
            <a:t> Performance</a:t>
          </a:r>
          <a:endParaRPr lang="LID4096" sz="1100" b="1">
            <a:solidFill>
              <a:schemeClr val="bg1"/>
            </a:solidFill>
          </a:endParaRPr>
        </a:p>
      </xdr:txBody>
    </xdr:sp>
    <xdr:clientData/>
  </xdr:twoCellAnchor>
  <xdr:twoCellAnchor>
    <xdr:from>
      <xdr:col>7</xdr:col>
      <xdr:colOff>152400</xdr:colOff>
      <xdr:row>0</xdr:row>
      <xdr:rowOff>129540</xdr:rowOff>
    </xdr:from>
    <xdr:to>
      <xdr:col>10</xdr:col>
      <xdr:colOff>342900</xdr:colOff>
      <xdr:row>2</xdr:row>
      <xdr:rowOff>22860</xdr:rowOff>
    </xdr:to>
    <xdr:sp macro="" textlink="">
      <xdr:nvSpPr>
        <xdr:cNvPr id="55" name="Rectangle 54">
          <a:hlinkClick xmlns:r="http://schemas.openxmlformats.org/officeDocument/2006/relationships" r:id="rId6"/>
          <a:extLst>
            <a:ext uri="{FF2B5EF4-FFF2-40B4-BE49-F238E27FC236}">
              <a16:creationId xmlns:a16="http://schemas.microsoft.com/office/drawing/2014/main" id="{D1F5B0B3-7962-42AF-BCA5-6E0950024309}"/>
            </a:ext>
          </a:extLst>
        </xdr:cNvPr>
        <xdr:cNvSpPr/>
      </xdr:nvSpPr>
      <xdr:spPr>
        <a:xfrm>
          <a:off x="4419600" y="129540"/>
          <a:ext cx="2019300" cy="259080"/>
        </a:xfrm>
        <a:prstGeom prst="rect">
          <a:avLst/>
        </a:prstGeom>
        <a:solidFill>
          <a:srgbClr val="4DAED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Insights</a:t>
          </a:r>
          <a:r>
            <a:rPr lang="en-US" sz="1100" b="1" baseline="0">
              <a:solidFill>
                <a:schemeClr val="bg1"/>
              </a:solidFill>
            </a:rPr>
            <a:t> And Recommendations</a:t>
          </a:r>
          <a:endParaRPr lang="LID4096" sz="11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243840</xdr:colOff>
      <xdr:row>48</xdr:row>
      <xdr:rowOff>129540</xdr:rowOff>
    </xdr:to>
    <xdr:sp macro="" textlink="">
      <xdr:nvSpPr>
        <xdr:cNvPr id="2" name="Rectangle 1">
          <a:extLst>
            <a:ext uri="{FF2B5EF4-FFF2-40B4-BE49-F238E27FC236}">
              <a16:creationId xmlns:a16="http://schemas.microsoft.com/office/drawing/2014/main" id="{4E972D6F-A150-425A-9795-93ACA8CA44A2}"/>
            </a:ext>
          </a:extLst>
        </xdr:cNvPr>
        <xdr:cNvSpPr/>
      </xdr:nvSpPr>
      <xdr:spPr>
        <a:xfrm>
          <a:off x="0" y="0"/>
          <a:ext cx="1463040" cy="8907780"/>
        </a:xfrm>
        <a:prstGeom prst="rect">
          <a:avLst/>
        </a:prstGeom>
        <a:solidFill>
          <a:srgbClr val="2F61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2</xdr:col>
      <xdr:colOff>281940</xdr:colOff>
      <xdr:row>0</xdr:row>
      <xdr:rowOff>0</xdr:rowOff>
    </xdr:from>
    <xdr:to>
      <xdr:col>19</xdr:col>
      <xdr:colOff>251460</xdr:colOff>
      <xdr:row>2</xdr:row>
      <xdr:rowOff>45720</xdr:rowOff>
    </xdr:to>
    <xdr:sp macro="" textlink="">
      <xdr:nvSpPr>
        <xdr:cNvPr id="3" name="Rectangle: Rounded Corners 2">
          <a:extLst>
            <a:ext uri="{FF2B5EF4-FFF2-40B4-BE49-F238E27FC236}">
              <a16:creationId xmlns:a16="http://schemas.microsoft.com/office/drawing/2014/main" id="{5F9C239A-D95A-4429-816B-837632FA8F2C}"/>
            </a:ext>
          </a:extLst>
        </xdr:cNvPr>
        <xdr:cNvSpPr/>
      </xdr:nvSpPr>
      <xdr:spPr>
        <a:xfrm>
          <a:off x="1501140" y="0"/>
          <a:ext cx="10332720" cy="411480"/>
        </a:xfrm>
        <a:prstGeom prst="roundRect">
          <a:avLst>
            <a:gd name="adj" fmla="val 4286"/>
          </a:avLst>
        </a:prstGeom>
        <a:solidFill>
          <a:srgbClr val="2F61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0</xdr:col>
      <xdr:colOff>0</xdr:colOff>
      <xdr:row>0</xdr:row>
      <xdr:rowOff>45720</xdr:rowOff>
    </xdr:from>
    <xdr:to>
      <xdr:col>2</xdr:col>
      <xdr:colOff>243840</xdr:colOff>
      <xdr:row>4</xdr:row>
      <xdr:rowOff>38100</xdr:rowOff>
    </xdr:to>
    <xdr:sp macro="" textlink="">
      <xdr:nvSpPr>
        <xdr:cNvPr id="4" name="TextBox 3">
          <a:extLst>
            <a:ext uri="{FF2B5EF4-FFF2-40B4-BE49-F238E27FC236}">
              <a16:creationId xmlns:a16="http://schemas.microsoft.com/office/drawing/2014/main" id="{53702B91-5165-48C9-8FD9-08C111900A77}"/>
            </a:ext>
          </a:extLst>
        </xdr:cNvPr>
        <xdr:cNvSpPr txBox="1"/>
      </xdr:nvSpPr>
      <xdr:spPr>
        <a:xfrm>
          <a:off x="0" y="45720"/>
          <a:ext cx="1463040" cy="723900"/>
        </a:xfrm>
        <a:prstGeom prst="rect">
          <a:avLst/>
        </a:prstGeom>
        <a:solidFill>
          <a:srgbClr val="4DAED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Supply Chain Analysis</a:t>
          </a:r>
          <a:endParaRPr lang="LID4096" sz="1600" b="1">
            <a:solidFill>
              <a:schemeClr val="bg1"/>
            </a:solidFill>
          </a:endParaRPr>
        </a:p>
      </xdr:txBody>
    </xdr:sp>
    <xdr:clientData/>
  </xdr:twoCellAnchor>
  <xdr:twoCellAnchor>
    <xdr:from>
      <xdr:col>2</xdr:col>
      <xdr:colOff>327660</xdr:colOff>
      <xdr:row>0</xdr:row>
      <xdr:rowOff>137160</xdr:rowOff>
    </xdr:from>
    <xdr:to>
      <xdr:col>4</xdr:col>
      <xdr:colOff>259080</xdr:colOff>
      <xdr:row>2</xdr:row>
      <xdr:rowOff>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67D89F08-E8F7-4EEC-8BE6-1B2B410F40A9}"/>
            </a:ext>
          </a:extLst>
        </xdr:cNvPr>
        <xdr:cNvSpPr/>
      </xdr:nvSpPr>
      <xdr:spPr>
        <a:xfrm>
          <a:off x="1546860" y="137160"/>
          <a:ext cx="1150620" cy="228600"/>
        </a:xfrm>
        <a:prstGeom prst="rect">
          <a:avLst/>
        </a:prstGeom>
        <a:solidFill>
          <a:srgbClr val="4DAED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Exec Overview</a:t>
          </a:r>
          <a:endParaRPr lang="LID4096" sz="1100" b="1">
            <a:solidFill>
              <a:schemeClr val="bg1"/>
            </a:solidFill>
          </a:endParaRPr>
        </a:p>
      </xdr:txBody>
    </xdr:sp>
    <xdr:clientData/>
  </xdr:twoCellAnchor>
  <xdr:twoCellAnchor>
    <xdr:from>
      <xdr:col>4</xdr:col>
      <xdr:colOff>327660</xdr:colOff>
      <xdr:row>0</xdr:row>
      <xdr:rowOff>137160</xdr:rowOff>
    </xdr:from>
    <xdr:to>
      <xdr:col>6</xdr:col>
      <xdr:colOff>594360</xdr:colOff>
      <xdr:row>2</xdr:row>
      <xdr:rowOff>0</xdr:rowOff>
    </xdr:to>
    <xdr:sp macro="" textlink="">
      <xdr:nvSpPr>
        <xdr:cNvPr id="6" name="Rectangle 5">
          <a:hlinkClick xmlns:r="http://schemas.openxmlformats.org/officeDocument/2006/relationships" r:id="rId2"/>
          <a:extLst>
            <a:ext uri="{FF2B5EF4-FFF2-40B4-BE49-F238E27FC236}">
              <a16:creationId xmlns:a16="http://schemas.microsoft.com/office/drawing/2014/main" id="{AF10C67C-4C5E-4BD7-87B3-00AB862831BC}"/>
            </a:ext>
          </a:extLst>
        </xdr:cNvPr>
        <xdr:cNvSpPr/>
      </xdr:nvSpPr>
      <xdr:spPr>
        <a:xfrm>
          <a:off x="2766060" y="137160"/>
          <a:ext cx="1485900" cy="228600"/>
        </a:xfrm>
        <a:prstGeom prst="rect">
          <a:avLst/>
        </a:prstGeom>
        <a:solidFill>
          <a:srgbClr val="4DAED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Supplier</a:t>
          </a:r>
          <a:r>
            <a:rPr lang="en-US" sz="1100" b="1" baseline="0">
              <a:solidFill>
                <a:schemeClr val="bg1"/>
              </a:solidFill>
            </a:rPr>
            <a:t> Performance</a:t>
          </a:r>
          <a:endParaRPr lang="LID4096" sz="1100" b="1">
            <a:solidFill>
              <a:schemeClr val="bg1"/>
            </a:solidFill>
          </a:endParaRPr>
        </a:p>
      </xdr:txBody>
    </xdr:sp>
    <xdr:clientData/>
  </xdr:twoCellAnchor>
  <xdr:twoCellAnchor>
    <xdr:from>
      <xdr:col>7</xdr:col>
      <xdr:colOff>53340</xdr:colOff>
      <xdr:row>0</xdr:row>
      <xdr:rowOff>129540</xdr:rowOff>
    </xdr:from>
    <xdr:to>
      <xdr:col>10</xdr:col>
      <xdr:colOff>243840</xdr:colOff>
      <xdr:row>2</xdr:row>
      <xdr:rowOff>22860</xdr:rowOff>
    </xdr:to>
    <xdr:sp macro="" textlink="">
      <xdr:nvSpPr>
        <xdr:cNvPr id="7" name="Rectangle 6">
          <a:hlinkClick xmlns:r="http://schemas.openxmlformats.org/officeDocument/2006/relationships" r:id="rId3"/>
          <a:extLst>
            <a:ext uri="{FF2B5EF4-FFF2-40B4-BE49-F238E27FC236}">
              <a16:creationId xmlns:a16="http://schemas.microsoft.com/office/drawing/2014/main" id="{213DE2CA-6F85-49D0-B4BD-2BDEF101CC79}"/>
            </a:ext>
          </a:extLst>
        </xdr:cNvPr>
        <xdr:cNvSpPr/>
      </xdr:nvSpPr>
      <xdr:spPr>
        <a:xfrm>
          <a:off x="4320540" y="129540"/>
          <a:ext cx="2019300" cy="259080"/>
        </a:xfrm>
        <a:prstGeom prst="rect">
          <a:avLst/>
        </a:prstGeom>
        <a:solidFill>
          <a:srgbClr val="4DAED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Insights</a:t>
          </a:r>
          <a:r>
            <a:rPr lang="en-US" sz="1100" b="1" baseline="0">
              <a:solidFill>
                <a:schemeClr val="bg1"/>
              </a:solidFill>
            </a:rPr>
            <a:t> And Recommendations</a:t>
          </a:r>
          <a:endParaRPr lang="LID4096" sz="1100" b="1">
            <a:solidFill>
              <a:schemeClr val="bg1"/>
            </a:solidFill>
          </a:endParaRPr>
        </a:p>
      </xdr:txBody>
    </xdr:sp>
    <xdr:clientData/>
  </xdr:twoCellAnchor>
  <xdr:twoCellAnchor>
    <xdr:from>
      <xdr:col>2</xdr:col>
      <xdr:colOff>289560</xdr:colOff>
      <xdr:row>5</xdr:row>
      <xdr:rowOff>38100</xdr:rowOff>
    </xdr:from>
    <xdr:to>
      <xdr:col>10</xdr:col>
      <xdr:colOff>563880</xdr:colOff>
      <xdr:row>19</xdr:row>
      <xdr:rowOff>0</xdr:rowOff>
    </xdr:to>
    <xdr:sp macro="" textlink="">
      <xdr:nvSpPr>
        <xdr:cNvPr id="8" name="Rectangle: Rounded Corners 7">
          <a:extLst>
            <a:ext uri="{FF2B5EF4-FFF2-40B4-BE49-F238E27FC236}">
              <a16:creationId xmlns:a16="http://schemas.microsoft.com/office/drawing/2014/main" id="{95DBC66D-6E03-4083-9B40-D8E106DC1F2D}"/>
            </a:ext>
          </a:extLst>
        </xdr:cNvPr>
        <xdr:cNvSpPr/>
      </xdr:nvSpPr>
      <xdr:spPr>
        <a:xfrm>
          <a:off x="1508760" y="952500"/>
          <a:ext cx="5151120" cy="2522220"/>
        </a:xfrm>
        <a:prstGeom prst="roundRect">
          <a:avLst>
            <a:gd name="adj" fmla="val 4286"/>
          </a:avLst>
        </a:prstGeom>
        <a:solidFill>
          <a:schemeClr val="bg1"/>
        </a:solidFill>
        <a:ln>
          <a:solidFill>
            <a:srgbClr val="7ED7E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11</xdr:col>
      <xdr:colOff>83820</xdr:colOff>
      <xdr:row>5</xdr:row>
      <xdr:rowOff>45720</xdr:rowOff>
    </xdr:from>
    <xdr:to>
      <xdr:col>19</xdr:col>
      <xdr:colOff>358140</xdr:colOff>
      <xdr:row>19</xdr:row>
      <xdr:rowOff>7620</xdr:rowOff>
    </xdr:to>
    <xdr:sp macro="" textlink="">
      <xdr:nvSpPr>
        <xdr:cNvPr id="9" name="Rectangle: Rounded Corners 8">
          <a:extLst>
            <a:ext uri="{FF2B5EF4-FFF2-40B4-BE49-F238E27FC236}">
              <a16:creationId xmlns:a16="http://schemas.microsoft.com/office/drawing/2014/main" id="{BF6AEE07-B47D-D682-EF5E-CEAC46850EFB}"/>
            </a:ext>
          </a:extLst>
        </xdr:cNvPr>
        <xdr:cNvSpPr/>
      </xdr:nvSpPr>
      <xdr:spPr>
        <a:xfrm>
          <a:off x="6789420" y="960120"/>
          <a:ext cx="5151120" cy="2522220"/>
        </a:xfrm>
        <a:prstGeom prst="roundRect">
          <a:avLst>
            <a:gd name="adj" fmla="val 4286"/>
          </a:avLst>
        </a:prstGeom>
        <a:solidFill>
          <a:schemeClr val="bg1"/>
        </a:solidFill>
        <a:ln>
          <a:solidFill>
            <a:srgbClr val="7ED7E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2</xdr:col>
      <xdr:colOff>358140</xdr:colOff>
      <xdr:row>21</xdr:row>
      <xdr:rowOff>167640</xdr:rowOff>
    </xdr:from>
    <xdr:to>
      <xdr:col>11</xdr:col>
      <xdr:colOff>22860</xdr:colOff>
      <xdr:row>35</xdr:row>
      <xdr:rowOff>129540</xdr:rowOff>
    </xdr:to>
    <xdr:sp macro="" textlink="">
      <xdr:nvSpPr>
        <xdr:cNvPr id="10" name="Rectangle: Rounded Corners 9">
          <a:extLst>
            <a:ext uri="{FF2B5EF4-FFF2-40B4-BE49-F238E27FC236}">
              <a16:creationId xmlns:a16="http://schemas.microsoft.com/office/drawing/2014/main" id="{826F41A4-5BF4-D62B-21CB-A06896A40D98}"/>
            </a:ext>
          </a:extLst>
        </xdr:cNvPr>
        <xdr:cNvSpPr/>
      </xdr:nvSpPr>
      <xdr:spPr>
        <a:xfrm>
          <a:off x="1577340" y="4008120"/>
          <a:ext cx="5151120" cy="2522220"/>
        </a:xfrm>
        <a:prstGeom prst="roundRect">
          <a:avLst>
            <a:gd name="adj" fmla="val 4286"/>
          </a:avLst>
        </a:prstGeom>
        <a:solidFill>
          <a:schemeClr val="bg1"/>
        </a:solidFill>
        <a:ln>
          <a:solidFill>
            <a:srgbClr val="7ED7E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11</xdr:col>
      <xdr:colOff>152400</xdr:colOff>
      <xdr:row>21</xdr:row>
      <xdr:rowOff>175260</xdr:rowOff>
    </xdr:from>
    <xdr:to>
      <xdr:col>19</xdr:col>
      <xdr:colOff>426720</xdr:colOff>
      <xdr:row>35</xdr:row>
      <xdr:rowOff>137160</xdr:rowOff>
    </xdr:to>
    <xdr:sp macro="" textlink="">
      <xdr:nvSpPr>
        <xdr:cNvPr id="11" name="Rectangle: Rounded Corners 10">
          <a:extLst>
            <a:ext uri="{FF2B5EF4-FFF2-40B4-BE49-F238E27FC236}">
              <a16:creationId xmlns:a16="http://schemas.microsoft.com/office/drawing/2014/main" id="{63B3DB39-50A9-0A9A-32B1-B3008DDF6B8B}"/>
            </a:ext>
          </a:extLst>
        </xdr:cNvPr>
        <xdr:cNvSpPr/>
      </xdr:nvSpPr>
      <xdr:spPr>
        <a:xfrm>
          <a:off x="6858000" y="4015740"/>
          <a:ext cx="5151120" cy="2522220"/>
        </a:xfrm>
        <a:prstGeom prst="roundRect">
          <a:avLst>
            <a:gd name="adj" fmla="val 4286"/>
          </a:avLst>
        </a:prstGeom>
        <a:solidFill>
          <a:schemeClr val="bg1"/>
        </a:solidFill>
        <a:ln>
          <a:solidFill>
            <a:srgbClr val="7ED7E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2</xdr:col>
      <xdr:colOff>335280</xdr:colOff>
      <xdr:row>5</xdr:row>
      <xdr:rowOff>99060</xdr:rowOff>
    </xdr:from>
    <xdr:to>
      <xdr:col>10</xdr:col>
      <xdr:colOff>495300</xdr:colOff>
      <xdr:row>18</xdr:row>
      <xdr:rowOff>121920</xdr:rowOff>
    </xdr:to>
    <xdr:sp macro="" textlink="">
      <xdr:nvSpPr>
        <xdr:cNvPr id="12" name="TextBox 11">
          <a:extLst>
            <a:ext uri="{FF2B5EF4-FFF2-40B4-BE49-F238E27FC236}">
              <a16:creationId xmlns:a16="http://schemas.microsoft.com/office/drawing/2014/main" id="{000E991F-56CD-4CC1-1B74-19566303C607}"/>
            </a:ext>
          </a:extLst>
        </xdr:cNvPr>
        <xdr:cNvSpPr txBox="1"/>
      </xdr:nvSpPr>
      <xdr:spPr>
        <a:xfrm>
          <a:off x="1554480" y="1013460"/>
          <a:ext cx="5036820" cy="2400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1. Supplier Performance is Weak (Delivery + Quality Issues)</a:t>
          </a:r>
        </a:p>
        <a:p>
          <a:endParaRPr lang="en-US" sz="1400"/>
        </a:p>
        <a:p>
          <a:r>
            <a:rPr lang="en-US" sz="1400"/>
            <a:t>The supply chain is experiencing significant performance challenges, with </a:t>
          </a:r>
          <a:r>
            <a:rPr lang="en-US" sz="1400" b="1"/>
            <a:t>on-time delivery at only ~61%</a:t>
          </a:r>
          <a:r>
            <a:rPr lang="en-US" sz="1400"/>
            <a:t> and high defect rates from key suppliers such as Delta_Logistics and Beta_Supplies. Despite similar average lead times across suppliers (10–11 days), the high rate of late deliveries indicates inconsistency in execution rather than speed. Additionally, elevated defect rates are contributing to operational inefficiencies, rework, and increased hidden costs.</a:t>
          </a:r>
        </a:p>
        <a:p>
          <a:endParaRPr lang="LID4096" sz="1400"/>
        </a:p>
      </xdr:txBody>
    </xdr:sp>
    <xdr:clientData/>
  </xdr:twoCellAnchor>
  <xdr:twoCellAnchor>
    <xdr:from>
      <xdr:col>11</xdr:col>
      <xdr:colOff>129540</xdr:colOff>
      <xdr:row>5</xdr:row>
      <xdr:rowOff>68580</xdr:rowOff>
    </xdr:from>
    <xdr:to>
      <xdr:col>19</xdr:col>
      <xdr:colOff>259080</xdr:colOff>
      <xdr:row>18</xdr:row>
      <xdr:rowOff>91440</xdr:rowOff>
    </xdr:to>
    <xdr:sp macro="" textlink="">
      <xdr:nvSpPr>
        <xdr:cNvPr id="13" name="TextBox 12">
          <a:extLst>
            <a:ext uri="{FF2B5EF4-FFF2-40B4-BE49-F238E27FC236}">
              <a16:creationId xmlns:a16="http://schemas.microsoft.com/office/drawing/2014/main" id="{F14E9698-F21C-52C4-BD79-27FF4771CC0C}"/>
            </a:ext>
          </a:extLst>
        </xdr:cNvPr>
        <xdr:cNvSpPr txBox="1"/>
      </xdr:nvSpPr>
      <xdr:spPr>
        <a:xfrm>
          <a:off x="6835140" y="982980"/>
          <a:ext cx="5006340" cy="2400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2. Cost Efficiency is Stable but Not Optimized</a:t>
          </a:r>
        </a:p>
        <a:p>
          <a:endParaRPr lang="en-US" sz="1400" b="1"/>
        </a:p>
        <a:p>
          <a:r>
            <a:rPr lang="en-US" sz="1400"/>
            <a:t>While the organization is achieving an average savings rate of approximately </a:t>
          </a:r>
          <a:r>
            <a:rPr lang="en-US" sz="1400" b="1"/>
            <a:t>8%</a:t>
          </a:r>
          <a:r>
            <a:rPr lang="en-US" sz="1400"/>
            <a:t>, this performance has remained relatively flat over time, showing limited improvement in procurement efficiency. At the same time, a large portion of spend is concentrated in high-cost categories such as MRO and Office Supplies, suggesting that there is untapped potential for further cost reduction through better sourcing strategies.</a:t>
          </a:r>
        </a:p>
      </xdr:txBody>
    </xdr:sp>
    <xdr:clientData/>
  </xdr:twoCellAnchor>
  <xdr:twoCellAnchor>
    <xdr:from>
      <xdr:col>11</xdr:col>
      <xdr:colOff>228600</xdr:colOff>
      <xdr:row>22</xdr:row>
      <xdr:rowOff>30480</xdr:rowOff>
    </xdr:from>
    <xdr:to>
      <xdr:col>19</xdr:col>
      <xdr:colOff>388620</xdr:colOff>
      <xdr:row>35</xdr:row>
      <xdr:rowOff>53340</xdr:rowOff>
    </xdr:to>
    <xdr:sp macro="" textlink="">
      <xdr:nvSpPr>
        <xdr:cNvPr id="14" name="TextBox 13">
          <a:extLst>
            <a:ext uri="{FF2B5EF4-FFF2-40B4-BE49-F238E27FC236}">
              <a16:creationId xmlns:a16="http://schemas.microsoft.com/office/drawing/2014/main" id="{9D5140FB-13D2-AFA3-B243-DC40D53CF8E1}"/>
            </a:ext>
          </a:extLst>
        </xdr:cNvPr>
        <xdr:cNvSpPr txBox="1"/>
      </xdr:nvSpPr>
      <xdr:spPr>
        <a:xfrm>
          <a:off x="6934200" y="4053840"/>
          <a:ext cx="5036820" cy="2400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2. Strengthen Strategic Sourcing and Cost Optimization</a:t>
          </a:r>
        </a:p>
        <a:p>
          <a:endParaRPr lang="en-US" sz="1400" b="1"/>
        </a:p>
        <a:p>
          <a:r>
            <a:rPr lang="en-US" sz="1400"/>
            <a:t>To improve savings beyond the current plateau, adopt </a:t>
          </a:r>
          <a:r>
            <a:rPr lang="en-US" sz="1400" b="1"/>
            <a:t>strategic sourcing practices</a:t>
          </a:r>
          <a:r>
            <a:rPr lang="en-US" sz="1400"/>
            <a:t> such as supplier consolidation, bulk purchasing agreements, and long-term contracts for high-spend categories. Focus negotiation efforts on major cost drivers like MRO and Office Supplies to unlock better pricing and improve overall procurement efficiency.</a:t>
          </a:r>
        </a:p>
      </xdr:txBody>
    </xdr:sp>
    <xdr:clientData/>
  </xdr:twoCellAnchor>
  <xdr:twoCellAnchor>
    <xdr:from>
      <xdr:col>2</xdr:col>
      <xdr:colOff>426720</xdr:colOff>
      <xdr:row>22</xdr:row>
      <xdr:rowOff>22860</xdr:rowOff>
    </xdr:from>
    <xdr:to>
      <xdr:col>10</xdr:col>
      <xdr:colOff>586740</xdr:colOff>
      <xdr:row>35</xdr:row>
      <xdr:rowOff>45720</xdr:rowOff>
    </xdr:to>
    <xdr:sp macro="" textlink="">
      <xdr:nvSpPr>
        <xdr:cNvPr id="15" name="TextBox 14">
          <a:extLst>
            <a:ext uri="{FF2B5EF4-FFF2-40B4-BE49-F238E27FC236}">
              <a16:creationId xmlns:a16="http://schemas.microsoft.com/office/drawing/2014/main" id="{71873448-25BE-1D08-85EC-5F73B8035492}"/>
            </a:ext>
          </a:extLst>
        </xdr:cNvPr>
        <xdr:cNvSpPr txBox="1"/>
      </xdr:nvSpPr>
      <xdr:spPr>
        <a:xfrm>
          <a:off x="1645920" y="4046220"/>
          <a:ext cx="5036820" cy="2400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1. Implement Supplier Performance Management System</a:t>
          </a:r>
        </a:p>
        <a:p>
          <a:endParaRPr lang="en-US" sz="1400" b="1"/>
        </a:p>
        <a:p>
          <a:r>
            <a:rPr lang="en-US" sz="1400"/>
            <a:t>Introduce a structured </a:t>
          </a:r>
          <a:r>
            <a:rPr lang="en-US" sz="1400" b="1"/>
            <a:t>supplier scorecard</a:t>
          </a:r>
          <a:r>
            <a:rPr lang="en-US" sz="1400"/>
            <a:t> to monitor performance across key metrics such as delivery reliability, defect rates, and compliance. Underperforming suppliers should be placed on improvement plans or gradually phased out, while high-performing suppliers should receive increased allocation of orders. Establishing clear </a:t>
          </a:r>
          <a:r>
            <a:rPr lang="en-US" sz="1400" b="1"/>
            <a:t>Service Level Agreements (SLAs)</a:t>
          </a:r>
          <a:r>
            <a:rPr lang="en-US" sz="1400"/>
            <a:t> with penalties for late deliveries and poor quality will improve accountability.</a:t>
          </a:r>
        </a:p>
      </xdr:txBody>
    </xdr:sp>
    <xdr:clientData/>
  </xdr:twoCellAnchor>
  <xdr:twoCellAnchor>
    <xdr:from>
      <xdr:col>2</xdr:col>
      <xdr:colOff>373380</xdr:colOff>
      <xdr:row>36</xdr:row>
      <xdr:rowOff>38100</xdr:rowOff>
    </xdr:from>
    <xdr:to>
      <xdr:col>11</xdr:col>
      <xdr:colOff>38100</xdr:colOff>
      <xdr:row>50</xdr:row>
      <xdr:rowOff>0</xdr:rowOff>
    </xdr:to>
    <xdr:sp macro="" textlink="">
      <xdr:nvSpPr>
        <xdr:cNvPr id="16" name="Rectangle: Rounded Corners 15">
          <a:extLst>
            <a:ext uri="{FF2B5EF4-FFF2-40B4-BE49-F238E27FC236}">
              <a16:creationId xmlns:a16="http://schemas.microsoft.com/office/drawing/2014/main" id="{D5FDD22B-DED0-208E-F47E-1E127206DB53}"/>
            </a:ext>
          </a:extLst>
        </xdr:cNvPr>
        <xdr:cNvSpPr/>
      </xdr:nvSpPr>
      <xdr:spPr>
        <a:xfrm>
          <a:off x="1592580" y="6621780"/>
          <a:ext cx="5151120" cy="2522220"/>
        </a:xfrm>
        <a:prstGeom prst="roundRect">
          <a:avLst>
            <a:gd name="adj" fmla="val 4286"/>
          </a:avLst>
        </a:prstGeom>
        <a:solidFill>
          <a:schemeClr val="bg1"/>
        </a:solidFill>
        <a:ln>
          <a:solidFill>
            <a:srgbClr val="7ED7E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2</xdr:col>
      <xdr:colOff>434340</xdr:colOff>
      <xdr:row>36</xdr:row>
      <xdr:rowOff>114300</xdr:rowOff>
    </xdr:from>
    <xdr:to>
      <xdr:col>11</xdr:col>
      <xdr:colOff>7620</xdr:colOff>
      <xdr:row>49</xdr:row>
      <xdr:rowOff>144780</xdr:rowOff>
    </xdr:to>
    <xdr:sp macro="" textlink="">
      <xdr:nvSpPr>
        <xdr:cNvPr id="17" name="TextBox 16">
          <a:extLst>
            <a:ext uri="{FF2B5EF4-FFF2-40B4-BE49-F238E27FC236}">
              <a16:creationId xmlns:a16="http://schemas.microsoft.com/office/drawing/2014/main" id="{DE5ED9F2-B3B0-65D8-43FF-B62D75BE67AF}"/>
            </a:ext>
          </a:extLst>
        </xdr:cNvPr>
        <xdr:cNvSpPr txBox="1"/>
      </xdr:nvSpPr>
      <xdr:spPr>
        <a:xfrm>
          <a:off x="1653540" y="6697980"/>
          <a:ext cx="5059680" cy="24079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3. Improve Planning and Quality Control Processes</a:t>
          </a:r>
        </a:p>
        <a:p>
          <a:endParaRPr lang="en-US" sz="1400" b="1"/>
        </a:p>
        <a:p>
          <a:r>
            <a:rPr lang="en-US" sz="1400"/>
            <a:t>Enhance </a:t>
          </a:r>
          <a:r>
            <a:rPr lang="en-US" sz="1400" b="1"/>
            <a:t>demand planning and forecasting</a:t>
          </a:r>
          <a:r>
            <a:rPr lang="en-US" sz="1400"/>
            <a:t> to reduce the number of pending and cancelled orders, ensuring procurement activities are aligned with actual needs. At the same time, implement stricter </a:t>
          </a:r>
          <a:r>
            <a:rPr lang="en-US" sz="1400" b="1"/>
            <a:t>quality control measures</a:t>
          </a:r>
          <a:r>
            <a:rPr lang="en-US" sz="1400"/>
            <a:t>, including supplier inspections and standardized acceptance criteria, to reduce defect rates and minimize operational disruptions.</a:t>
          </a:r>
        </a:p>
      </xdr:txBody>
    </xdr:sp>
    <xdr:clientData/>
  </xdr:twoCellAnchor>
  <xdr:twoCellAnchor>
    <xdr:from>
      <xdr:col>7</xdr:col>
      <xdr:colOff>502920</xdr:colOff>
      <xdr:row>19</xdr:row>
      <xdr:rowOff>114300</xdr:rowOff>
    </xdr:from>
    <xdr:to>
      <xdr:col>12</xdr:col>
      <xdr:colOff>541020</xdr:colOff>
      <xdr:row>21</xdr:row>
      <xdr:rowOff>60960</xdr:rowOff>
    </xdr:to>
    <xdr:sp macro="" textlink="">
      <xdr:nvSpPr>
        <xdr:cNvPr id="18" name="Rectangle: Rounded Corners 17">
          <a:extLst>
            <a:ext uri="{FF2B5EF4-FFF2-40B4-BE49-F238E27FC236}">
              <a16:creationId xmlns:a16="http://schemas.microsoft.com/office/drawing/2014/main" id="{18646DFA-E965-D450-A34E-A4D55CC1BE4C}"/>
            </a:ext>
          </a:extLst>
        </xdr:cNvPr>
        <xdr:cNvSpPr/>
      </xdr:nvSpPr>
      <xdr:spPr>
        <a:xfrm>
          <a:off x="4770120" y="3589020"/>
          <a:ext cx="3086100" cy="312420"/>
        </a:xfrm>
        <a:prstGeom prst="roundRect">
          <a:avLst>
            <a:gd name="adj" fmla="val 4286"/>
          </a:avLst>
        </a:prstGeom>
        <a:solidFill>
          <a:srgbClr val="2F61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RECOMMENDATIONA</a:t>
          </a:r>
          <a:endParaRPr lang="LID4096" sz="1100" b="1"/>
        </a:p>
      </xdr:txBody>
    </xdr:sp>
    <xdr:clientData/>
  </xdr:twoCellAnchor>
  <xdr:twoCellAnchor>
    <xdr:from>
      <xdr:col>8</xdr:col>
      <xdr:colOff>91440</xdr:colOff>
      <xdr:row>2</xdr:row>
      <xdr:rowOff>175260</xdr:rowOff>
    </xdr:from>
    <xdr:to>
      <xdr:col>13</xdr:col>
      <xdr:colOff>129540</xdr:colOff>
      <xdr:row>4</xdr:row>
      <xdr:rowOff>121920</xdr:rowOff>
    </xdr:to>
    <xdr:sp macro="" textlink="">
      <xdr:nvSpPr>
        <xdr:cNvPr id="19" name="Rectangle: Rounded Corners 18">
          <a:extLst>
            <a:ext uri="{FF2B5EF4-FFF2-40B4-BE49-F238E27FC236}">
              <a16:creationId xmlns:a16="http://schemas.microsoft.com/office/drawing/2014/main" id="{308EA580-2F51-26DB-93B0-CD643643CE08}"/>
            </a:ext>
          </a:extLst>
        </xdr:cNvPr>
        <xdr:cNvSpPr/>
      </xdr:nvSpPr>
      <xdr:spPr>
        <a:xfrm>
          <a:off x="4968240" y="541020"/>
          <a:ext cx="3086100" cy="312420"/>
        </a:xfrm>
        <a:prstGeom prst="roundRect">
          <a:avLst>
            <a:gd name="adj" fmla="val 4286"/>
          </a:avLst>
        </a:prstGeom>
        <a:solidFill>
          <a:srgbClr val="2F61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INSIGHTS</a:t>
          </a:r>
          <a:endParaRPr lang="LID4096"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39.614840624999" createdVersion="8" refreshedVersion="8" minRefreshableVersion="3" recordCount="777" xr:uid="{2ECC4EAB-4E68-4871-B0B6-DD3772920CA5}">
  <cacheSource type="worksheet">
    <worksheetSource name="Procurement_kpi_Analysis"/>
  </cacheSource>
  <cacheFields count="23">
    <cacheField name="PO_ID" numFmtId="0">
      <sharedItems/>
    </cacheField>
    <cacheField name="Supplier" numFmtId="0">
      <sharedItems count="5">
        <s v="Alpha_Inc"/>
        <s v="Delta_Logistics"/>
        <s v="Gamma_Co"/>
        <s v="Beta_Supplies"/>
        <s v="Epsilon_Group"/>
      </sharedItems>
    </cacheField>
    <cacheField name="Order_Date" numFmtId="14">
      <sharedItems containsSemiMixedTypes="0" containsNonDate="0" containsDate="1" containsString="0" minDate="2022-01-01T00:00:00" maxDate="2024-01-02T00:00:00" count="476">
        <d v="2023-10-17T00:00:00"/>
        <d v="2022-04-25T00:00:00"/>
        <d v="2022-01-26T00:00:00"/>
        <d v="2022-10-09T00:00:00"/>
        <d v="2022-09-08T00:00:00"/>
        <d v="2022-08-17T00:00:00"/>
        <d v="2022-05-23T00:00:00"/>
        <d v="2022-04-15T00:00:00"/>
        <d v="2023-11-24T00:00:00"/>
        <d v="2023-07-13T00:00:00"/>
        <d v="2022-03-31T00:00:00"/>
        <d v="2023-08-28T00:00:00"/>
        <d v="2023-03-09T00:00:00"/>
        <d v="2022-02-02T00:00:00"/>
        <d v="2022-01-31T00:00:00"/>
        <d v="2022-04-06T00:00:00"/>
        <d v="2022-08-12T00:00:00"/>
        <d v="2022-08-27T00:00:00"/>
        <d v="2023-06-02T00:00:00"/>
        <d v="2023-09-09T00:00:00"/>
        <d v="2022-01-28T00:00:00"/>
        <d v="2023-07-29T00:00:00"/>
        <d v="2022-07-23T00:00:00"/>
        <d v="2023-10-28T00:00:00"/>
        <d v="2023-12-20T00:00:00"/>
        <d v="2023-03-06T00:00:00"/>
        <d v="2022-08-14T00:00:00"/>
        <d v="2023-04-05T00:00:00"/>
        <d v="2023-08-27T00:00:00"/>
        <d v="2022-10-12T00:00:00"/>
        <d v="2022-01-07T00:00:00"/>
        <d v="2022-06-13T00:00:00"/>
        <d v="2023-12-16T00:00:00"/>
        <d v="2022-12-15T00:00:00"/>
        <d v="2022-06-09T00:00:00"/>
        <d v="2022-08-09T00:00:00"/>
        <d v="2022-12-11T00:00:00"/>
        <d v="2022-04-05T00:00:00"/>
        <d v="2023-01-25T00:00:00"/>
        <d v="2022-04-10T00:00:00"/>
        <d v="2023-01-03T00:00:00"/>
        <d v="2022-12-19T00:00:00"/>
        <d v="2023-09-11T00:00:00"/>
        <d v="2022-09-28T00:00:00"/>
        <d v="2022-02-14T00:00:00"/>
        <d v="2023-04-16T00:00:00"/>
        <d v="2023-07-04T00:00:00"/>
        <d v="2022-05-08T00:00:00"/>
        <d v="2023-01-23T00:00:00"/>
        <d v="2022-03-22T00:00:00"/>
        <d v="2023-07-20T00:00:00"/>
        <d v="2022-10-28T00:00:00"/>
        <d v="2023-10-06T00:00:00"/>
        <d v="2023-09-26T00:00:00"/>
        <d v="2023-01-06T00:00:00"/>
        <d v="2023-08-15T00:00:00"/>
        <d v="2022-07-16T00:00:00"/>
        <d v="2023-12-23T00:00:00"/>
        <d v="2022-03-13T00:00:00"/>
        <d v="2022-02-16T00:00:00"/>
        <d v="2023-11-09T00:00:00"/>
        <d v="2022-08-22T00:00:00"/>
        <d v="2022-10-24T00:00:00"/>
        <d v="2022-03-23T00:00:00"/>
        <d v="2022-04-14T00:00:00"/>
        <d v="2023-04-10T00:00:00"/>
        <d v="2023-10-13T00:00:00"/>
        <d v="2023-01-09T00:00:00"/>
        <d v="2022-06-16T00:00:00"/>
        <d v="2023-01-15T00:00:00"/>
        <d v="2022-12-30T00:00:00"/>
        <d v="2022-08-03T00:00:00"/>
        <d v="2023-11-18T00:00:00"/>
        <d v="2022-10-01T00:00:00"/>
        <d v="2023-12-01T00:00:00"/>
        <d v="2023-10-26T00:00:00"/>
        <d v="2022-03-15T00:00:00"/>
        <d v="2023-09-16T00:00:00"/>
        <d v="2022-06-25T00:00:00"/>
        <d v="2023-07-01T00:00:00"/>
        <d v="2022-06-17T00:00:00"/>
        <d v="2023-04-19T00:00:00"/>
        <d v="2023-01-24T00:00:00"/>
        <d v="2022-10-04T00:00:00"/>
        <d v="2023-10-18T00:00:00"/>
        <d v="2023-12-06T00:00:00"/>
        <d v="2023-07-25T00:00:00"/>
        <d v="2022-08-13T00:00:00"/>
        <d v="2023-12-03T00:00:00"/>
        <d v="2022-11-29T00:00:00"/>
        <d v="2022-02-27T00:00:00"/>
        <d v="2022-08-23T00:00:00"/>
        <d v="2022-11-20T00:00:00"/>
        <d v="2023-02-15T00:00:00"/>
        <d v="2022-10-02T00:00:00"/>
        <d v="2022-03-09T00:00:00"/>
        <d v="2022-08-05T00:00:00"/>
        <d v="2023-08-04T00:00:00"/>
        <d v="2022-11-19T00:00:00"/>
        <d v="2022-08-06T00:00:00"/>
        <d v="2023-11-03T00:00:00"/>
        <d v="2023-05-27T00:00:00"/>
        <d v="2023-02-10T00:00:00"/>
        <d v="2023-10-21T00:00:00"/>
        <d v="2023-04-15T00:00:00"/>
        <d v="2022-05-27T00:00:00"/>
        <d v="2022-09-29T00:00:00"/>
        <d v="2022-09-10T00:00:00"/>
        <d v="2023-07-06T00:00:00"/>
        <d v="2022-09-27T00:00:00"/>
        <d v="2023-08-22T00:00:00"/>
        <d v="2023-03-15T00:00:00"/>
        <d v="2023-08-21T00:00:00"/>
        <d v="2023-02-13T00:00:00"/>
        <d v="2022-05-22T00:00:00"/>
        <d v="2023-06-06T00:00:00"/>
        <d v="2023-05-21T00:00:00"/>
        <d v="2022-04-04T00:00:00"/>
        <d v="2022-02-18T00:00:00"/>
        <d v="2022-04-23T00:00:00"/>
        <d v="2022-06-06T00:00:00"/>
        <d v="2023-10-05T00:00:00"/>
        <d v="2023-11-28T00:00:00"/>
        <d v="2023-09-03T00:00:00"/>
        <d v="2022-03-07T00:00:00"/>
        <d v="2023-01-30T00:00:00"/>
        <d v="2023-01-26T00:00:00"/>
        <d v="2023-04-25T00:00:00"/>
        <d v="2023-06-26T00:00:00"/>
        <d v="2022-09-15T00:00:00"/>
        <d v="2023-07-21T00:00:00"/>
        <d v="2022-01-12T00:00:00"/>
        <d v="2022-04-28T00:00:00"/>
        <d v="2023-11-30T00:00:00"/>
        <d v="2023-10-19T00:00:00"/>
        <d v="2023-03-22T00:00:00"/>
        <d v="2022-06-11T00:00:00"/>
        <d v="2022-01-04T00:00:00"/>
        <d v="2023-05-28T00:00:00"/>
        <d v="2022-07-02T00:00:00"/>
        <d v="2023-06-04T00:00:00"/>
        <d v="2022-04-19T00:00:00"/>
        <d v="2023-10-03T00:00:00"/>
        <d v="2022-11-02T00:00:00"/>
        <d v="2023-01-18T00:00:00"/>
        <d v="2022-06-15T00:00:00"/>
        <d v="2023-07-07T00:00:00"/>
        <d v="2023-06-28T00:00:00"/>
        <d v="2022-01-01T00:00:00"/>
        <d v="2023-09-06T00:00:00"/>
        <d v="2022-11-28T00:00:00"/>
        <d v="2023-05-16T00:00:00"/>
        <d v="2022-01-20T00:00:00"/>
        <d v="2023-01-07T00:00:00"/>
        <d v="2022-11-11T00:00:00"/>
        <d v="2022-09-03T00:00:00"/>
        <d v="2022-03-01T00:00:00"/>
        <d v="2022-09-04T00:00:00"/>
        <d v="2022-03-29T00:00:00"/>
        <d v="2023-05-13T00:00:00"/>
        <d v="2022-03-12T00:00:00"/>
        <d v="2023-06-30T00:00:00"/>
        <d v="2022-05-09T00:00:00"/>
        <d v="2022-05-12T00:00:00"/>
        <d v="2023-11-07T00:00:00"/>
        <d v="2023-05-02T00:00:00"/>
        <d v="2023-07-17T00:00:00"/>
        <d v="2022-06-19T00:00:00"/>
        <d v="2023-06-25T00:00:00"/>
        <d v="2023-09-14T00:00:00"/>
        <d v="2023-03-10T00:00:00"/>
        <d v="2023-12-08T00:00:00"/>
        <d v="2022-07-25T00:00:00"/>
        <d v="2024-01-01T00:00:00"/>
        <d v="2022-11-16T00:00:00"/>
        <d v="2023-11-19T00:00:00"/>
        <d v="2023-03-25T00:00:00"/>
        <d v="2023-06-14T00:00:00"/>
        <d v="2023-04-08T00:00:00"/>
        <d v="2022-05-04T00:00:00"/>
        <d v="2022-09-11T00:00:00"/>
        <d v="2022-08-19T00:00:00"/>
        <d v="2022-12-13T00:00:00"/>
        <d v="2022-01-22T00:00:00"/>
        <d v="2023-08-26T00:00:00"/>
        <d v="2023-07-22T00:00:00"/>
        <d v="2022-08-24T00:00:00"/>
        <d v="2022-01-08T00:00:00"/>
        <d v="2022-03-14T00:00:00"/>
        <d v="2023-12-26T00:00:00"/>
        <d v="2023-10-09T00:00:00"/>
        <d v="2022-03-02T00:00:00"/>
        <d v="2022-03-11T00:00:00"/>
        <d v="2022-12-05T00:00:00"/>
        <d v="2023-06-11T00:00:00"/>
        <d v="2022-09-01T00:00:00"/>
        <d v="2022-10-13T00:00:00"/>
        <d v="2023-11-17T00:00:00"/>
        <d v="2022-08-08T00:00:00"/>
        <d v="2022-05-16T00:00:00"/>
        <d v="2023-08-08T00:00:00"/>
        <d v="2023-08-14T00:00:00"/>
        <d v="2023-04-30T00:00:00"/>
        <d v="2022-09-06T00:00:00"/>
        <d v="2023-02-21T00:00:00"/>
        <d v="2022-07-14T00:00:00"/>
        <d v="2022-04-07T00:00:00"/>
        <d v="2023-11-06T00:00:00"/>
        <d v="2023-03-18T00:00:00"/>
        <d v="2022-12-29T00:00:00"/>
        <d v="2023-02-25T00:00:00"/>
        <d v="2023-04-24T00:00:00"/>
        <d v="2022-02-25T00:00:00"/>
        <d v="2023-11-21T00:00:00"/>
        <d v="2023-11-01T00:00:00"/>
        <d v="2023-10-24T00:00:00"/>
        <d v="2022-04-11T00:00:00"/>
        <d v="2022-03-04T00:00:00"/>
        <d v="2023-02-17T00:00:00"/>
        <d v="2022-12-14T00:00:00"/>
        <d v="2022-04-22T00:00:00"/>
        <d v="2022-09-12T00:00:00"/>
        <d v="2022-05-24T00:00:00"/>
        <d v="2022-07-07T00:00:00"/>
        <d v="2022-09-13T00:00:00"/>
        <d v="2022-03-19T00:00:00"/>
        <d v="2023-03-30T00:00:00"/>
        <d v="2023-07-18T00:00:00"/>
        <d v="2022-02-21T00:00:00"/>
        <d v="2023-10-30T00:00:00"/>
        <d v="2023-07-08T00:00:00"/>
        <d v="2022-01-16T00:00:00"/>
        <d v="2022-08-31T00:00:00"/>
        <d v="2022-06-20T00:00:00"/>
        <d v="2023-05-08T00:00:00"/>
        <d v="2022-08-07T00:00:00"/>
        <d v="2022-06-18T00:00:00"/>
        <d v="2022-01-03T00:00:00"/>
        <d v="2023-02-04T00:00:00"/>
        <d v="2023-04-11T00:00:00"/>
        <d v="2022-10-20T00:00:00"/>
        <d v="2023-12-15T00:00:00"/>
        <d v="2023-07-24T00:00:00"/>
        <d v="2023-05-14T00:00:00"/>
        <d v="2022-06-08T00:00:00"/>
        <d v="2022-10-31T00:00:00"/>
        <d v="2022-08-11T00:00:00"/>
        <d v="2023-08-17T00:00:00"/>
        <d v="2023-07-10T00:00:00"/>
        <d v="2022-11-18T00:00:00"/>
        <d v="2022-02-28T00:00:00"/>
        <d v="2023-05-04T00:00:00"/>
        <d v="2023-05-30T00:00:00"/>
        <d v="2023-06-05T00:00:00"/>
        <d v="2022-03-24T00:00:00"/>
        <d v="2022-07-10T00:00:00"/>
        <d v="2023-09-02T00:00:00"/>
        <d v="2023-11-23T00:00:00"/>
        <d v="2022-08-29T00:00:00"/>
        <d v="2023-02-18T00:00:00"/>
        <d v="2022-05-03T00:00:00"/>
        <d v="2023-08-07T00:00:00"/>
        <d v="2023-08-16T00:00:00"/>
        <d v="2023-09-01T00:00:00"/>
        <d v="2022-02-10T00:00:00"/>
        <d v="2023-09-27T00:00:00"/>
        <d v="2022-03-25T00:00:00"/>
        <d v="2023-11-05T00:00:00"/>
        <d v="2023-08-02T00:00:00"/>
        <d v="2023-06-20T00:00:00"/>
        <d v="2022-09-25T00:00:00"/>
        <d v="2022-07-29T00:00:00"/>
        <d v="2022-09-02T00:00:00"/>
        <d v="2022-05-15T00:00:00"/>
        <d v="2023-10-23T00:00:00"/>
        <d v="2022-11-04T00:00:00"/>
        <d v="2023-04-14T00:00:00"/>
        <d v="2022-03-16T00:00:00"/>
        <d v="2022-01-10T00:00:00"/>
        <d v="2023-09-29T00:00:00"/>
        <d v="2023-07-31T00:00:00"/>
        <d v="2022-04-13T00:00:00"/>
        <d v="2022-03-17T00:00:00"/>
        <d v="2023-07-05T00:00:00"/>
        <d v="2023-06-03T00:00:00"/>
        <d v="2022-12-24T00:00:00"/>
        <d v="2023-01-14T00:00:00"/>
        <d v="2022-10-19T00:00:00"/>
        <d v="2023-07-11T00:00:00"/>
        <d v="2023-12-22T00:00:00"/>
        <d v="2022-11-06T00:00:00"/>
        <d v="2023-09-19T00:00:00"/>
        <d v="2022-01-09T00:00:00"/>
        <d v="2023-11-15T00:00:00"/>
        <d v="2022-11-03T00:00:00"/>
        <d v="2023-11-11T00:00:00"/>
        <d v="2022-04-17T00:00:00"/>
        <d v="2022-05-18T00:00:00"/>
        <d v="2022-04-29T00:00:00"/>
        <d v="2022-04-20T00:00:00"/>
        <d v="2022-10-06T00:00:00"/>
        <d v="2022-10-16T00:00:00"/>
        <d v="2023-09-12T00:00:00"/>
        <d v="2022-08-04T00:00:00"/>
        <d v="2022-12-18T00:00:00"/>
        <d v="2022-07-28T00:00:00"/>
        <d v="2023-12-05T00:00:00"/>
        <d v="2023-10-12T00:00:00"/>
        <d v="2022-02-22T00:00:00"/>
        <d v="2022-10-11T00:00:00"/>
        <d v="2022-02-15T00:00:00"/>
        <d v="2022-12-08T00:00:00"/>
        <d v="2022-05-14T00:00:00"/>
        <d v="2023-10-15T00:00:00"/>
        <d v="2022-09-26T00:00:00"/>
        <d v="2023-03-29T00:00:00"/>
        <d v="2023-07-19T00:00:00"/>
        <d v="2023-12-24T00:00:00"/>
        <d v="2023-03-14T00:00:00"/>
        <d v="2023-12-09T00:00:00"/>
        <d v="2022-06-02T00:00:00"/>
        <d v="2022-02-06T00:00:00"/>
        <d v="2023-08-20T00:00:00"/>
        <d v="2022-06-01T00:00:00"/>
        <d v="2023-03-17T00:00:00"/>
        <d v="2022-05-11T00:00:00"/>
        <d v="2022-02-12T00:00:00"/>
        <d v="2022-11-12T00:00:00"/>
        <d v="2023-01-02T00:00:00"/>
        <d v="2023-11-14T00:00:00"/>
        <d v="2022-04-16T00:00:00"/>
        <d v="2023-07-28T00:00:00"/>
        <d v="2023-09-28T00:00:00"/>
        <d v="2022-07-01T00:00:00"/>
        <d v="2023-02-27T00:00:00"/>
        <d v="2022-07-03T00:00:00"/>
        <d v="2022-12-07T00:00:00"/>
        <d v="2023-02-26T00:00:00"/>
        <d v="2022-04-21T00:00:00"/>
        <d v="2023-01-27T00:00:00"/>
        <d v="2022-02-09T00:00:00"/>
        <d v="2023-04-27T00:00:00"/>
        <d v="2022-08-16T00:00:00"/>
        <d v="2022-07-24T00:00:00"/>
        <d v="2023-04-17T00:00:00"/>
        <d v="2022-12-25T00:00:00"/>
        <d v="2022-11-09T00:00:00"/>
        <d v="2022-01-25T00:00:00"/>
        <d v="2022-07-17T00:00:00"/>
        <d v="2022-12-03T00:00:00"/>
        <d v="2022-12-26T00:00:00"/>
        <d v="2023-02-14T00:00:00"/>
        <d v="2023-11-27T00:00:00"/>
        <d v="2022-12-06T00:00:00"/>
        <d v="2022-01-29T00:00:00"/>
        <d v="2023-08-18T00:00:00"/>
        <d v="2023-03-21T00:00:00"/>
        <d v="2022-12-20T00:00:00"/>
        <d v="2023-03-23T00:00:00"/>
        <d v="2023-09-13T00:00:00"/>
        <d v="2023-06-08T00:00:00"/>
        <d v="2022-09-18T00:00:00"/>
        <d v="2023-12-27T00:00:00"/>
        <d v="2022-01-02T00:00:00"/>
        <d v="2023-06-17T00:00:00"/>
        <d v="2022-07-21T00:00:00"/>
        <d v="2023-01-08T00:00:00"/>
        <d v="2023-11-12T00:00:00"/>
        <d v="2023-10-01T00:00:00"/>
        <d v="2022-11-13T00:00:00"/>
        <d v="2023-02-23T00:00:00"/>
        <d v="2022-12-01T00:00:00"/>
        <d v="2022-10-30T00:00:00"/>
        <d v="2023-03-07T00:00:00"/>
        <d v="2023-11-25T00:00:00"/>
        <d v="2022-06-28T00:00:00"/>
        <d v="2023-09-23T00:00:00"/>
        <d v="2023-08-06T00:00:00"/>
        <d v="2022-11-05T00:00:00"/>
        <d v="2023-02-20T00:00:00"/>
        <d v="2023-07-16T00:00:00"/>
        <d v="2022-11-08T00:00:00"/>
        <d v="2022-10-21T00:00:00"/>
        <d v="2023-11-02T00:00:00"/>
        <d v="2022-11-26T00:00:00"/>
        <d v="2023-04-22T00:00:00"/>
        <d v="2022-06-23T00:00:00"/>
        <d v="2022-03-28T00:00:00"/>
        <d v="2022-10-18T00:00:00"/>
        <d v="2023-06-12T00:00:00"/>
        <d v="2023-10-11T00:00:00"/>
        <d v="2022-12-10T00:00:00"/>
        <d v="2023-11-20T00:00:00"/>
        <d v="2022-11-14T00:00:00"/>
        <d v="2022-05-31T00:00:00"/>
        <d v="2022-02-17T00:00:00"/>
        <d v="2023-09-18T00:00:00"/>
        <d v="2023-04-12T00:00:00"/>
        <d v="2023-03-01T00:00:00"/>
        <d v="2023-10-07T00:00:00"/>
        <d v="2023-08-13T00:00:00"/>
        <d v="2022-07-19T00:00:00"/>
        <d v="2023-01-29T00:00:00"/>
        <d v="2023-05-22T00:00:00"/>
        <d v="2022-09-07T00:00:00"/>
        <d v="2022-01-06T00:00:00"/>
        <d v="2023-03-12T00:00:00"/>
        <d v="2022-06-30T00:00:00"/>
        <d v="2023-12-14T00:00:00"/>
        <d v="2023-06-15T00:00:00"/>
        <d v="2023-04-21T00:00:00"/>
        <d v="2022-05-05T00:00:00"/>
        <d v="2023-04-13T00:00:00"/>
        <d v="2022-05-17T00:00:00"/>
        <d v="2023-07-27T00:00:00"/>
        <d v="2022-11-21T00:00:00"/>
        <d v="2023-09-20T00:00:00"/>
        <d v="2023-06-01T00:00:00"/>
        <d v="2023-03-13T00:00:00"/>
        <d v="2023-04-02T00:00:00"/>
        <d v="2022-06-12T00:00:00"/>
        <d v="2023-04-06T00:00:00"/>
        <d v="2022-09-23T00:00:00"/>
        <d v="2023-06-18T00:00:00"/>
        <d v="2023-05-12T00:00:00"/>
        <d v="2023-10-04T00:00:00"/>
        <d v="2023-03-27T00:00:00"/>
        <d v="2022-03-21T00:00:00"/>
        <d v="2022-11-24T00:00:00"/>
        <d v="2022-06-04T00:00:00"/>
        <d v="2022-08-25T00:00:00"/>
        <d v="2023-01-28T00:00:00"/>
        <d v="2023-12-12T00:00:00"/>
        <d v="2023-12-25T00:00:00"/>
        <d v="2023-02-22T00:00:00"/>
        <d v="2023-04-23T00:00:00"/>
        <d v="2023-03-02T00:00:00"/>
        <d v="2022-03-05T00:00:00"/>
        <d v="2022-07-31T00:00:00"/>
        <d v="2023-02-03T00:00:00"/>
        <d v="2022-01-21T00:00:00"/>
        <d v="2022-12-27T00:00:00"/>
        <d v="2023-07-14T00:00:00"/>
        <d v="2023-09-10T00:00:00"/>
        <d v="2023-05-15T00:00:00"/>
        <d v="2022-10-07T00:00:00"/>
        <d v="2022-01-30T00:00:00"/>
        <d v="2023-11-16T00:00:00"/>
        <d v="2023-02-19T00:00:00"/>
        <d v="2023-09-30T00:00:00"/>
        <d v="2023-02-08T00:00:00"/>
        <d v="2023-08-30T00:00:00"/>
        <d v="2023-08-01T00:00:00"/>
        <d v="2023-11-10T00:00:00"/>
        <d v="2022-03-27T00:00:00"/>
        <d v="2022-05-19T00:00:00"/>
        <d v="2023-04-18T00:00:00"/>
        <d v="2022-07-06T00:00:00"/>
        <d v="2022-09-24T00:00:00"/>
        <d v="2022-12-02T00:00:00"/>
        <d v="2022-12-12T00:00:00"/>
        <d v="2023-03-08T00:00:00"/>
        <d v="2022-09-16T00:00:00"/>
        <d v="2022-02-23T00:00:00"/>
        <d v="2022-08-18T00:00:00"/>
        <d v="2022-02-11T00:00:00"/>
        <d v="2022-02-01T00:00:00"/>
        <d v="2022-05-10T00:00:00"/>
        <d v="2023-12-18T00:00:00"/>
        <d v="2022-09-20T00:00:00"/>
        <d v="2023-01-13T00:00:00"/>
        <d v="2022-06-21T00:00:00"/>
        <d v="2022-11-15T00:00:00"/>
        <d v="2022-01-27T00:00:00"/>
        <d v="2023-01-20T00:00:00"/>
        <d v="2023-02-11T00:00:00"/>
      </sharedItems>
      <fieldGroup par="22"/>
    </cacheField>
    <cacheField name="Delivery_Date" numFmtId="14">
      <sharedItems containsNonDate="0" containsDate="1" containsString="0" containsBlank="1" minDate="2022-01-06T00:00:00" maxDate="2024-01-13T00:00:00"/>
    </cacheField>
    <cacheField name="Item_Category" numFmtId="0">
      <sharedItems count="5">
        <s v="Office Supplies"/>
        <s v="MRO"/>
        <s v="Packaging"/>
        <s v="Raw Materials"/>
        <s v="Electronics"/>
      </sharedItems>
    </cacheField>
    <cacheField name="Order_Status" numFmtId="0">
      <sharedItems count="4">
        <s v="Cancelled"/>
        <s v="Delivered"/>
        <s v="Partially Delivered"/>
        <s v="Pending"/>
      </sharedItems>
    </cacheField>
    <cacheField name="Quantity" numFmtId="0">
      <sharedItems containsSemiMixedTypes="0" containsString="0" containsNumber="1" containsInteger="1" minValue="51" maxValue="5000"/>
    </cacheField>
    <cacheField name="Unit_Price" numFmtId="0">
      <sharedItems containsSemiMixedTypes="0" containsString="0" containsNumber="1" minValue="10.84" maxValue="109.17"/>
    </cacheField>
    <cacheField name="Negotiated_Price" numFmtId="0">
      <sharedItems containsSemiMixedTypes="0" containsString="0" containsNumber="1" minValue="9.27" maxValue="107.39"/>
    </cacheField>
    <cacheField name="Defective_Units" numFmtId="0">
      <sharedItems containsSemiMixedTypes="0" containsString="0" containsNumber="1" containsInteger="1" minValue="0" maxValue="321"/>
    </cacheField>
    <cacheField name="Compliance" numFmtId="0">
      <sharedItems count="2">
        <s v="Yes"/>
        <s v="No"/>
      </sharedItems>
    </cacheField>
    <cacheField name="Total Spend" numFmtId="0">
      <sharedItems containsSemiMixedTypes="0" containsString="0" containsNumber="1" minValue="772.8" maxValue="432900"/>
    </cacheField>
    <cacheField name="Lead Time" numFmtId="0">
      <sharedItems containsMixedTypes="1" containsNumber="1" containsInteger="1" minValue="-5" maxValue="20"/>
    </cacheField>
    <cacheField name="Defect Rate" numFmtId="0">
      <sharedItems containsSemiMixedTypes="0" containsString="0" containsNumber="1" minValue="0" maxValue="0.35714285714285715"/>
    </cacheField>
    <cacheField name="Total Savings" numFmtId="0">
      <sharedItems containsSemiMixedTypes="0" containsString="0" containsNumber="1" minValue="43.020000000000358" maxValue="59399.999999999978"/>
    </cacheField>
    <cacheField name="Savings %" numFmtId="0">
      <sharedItems containsSemiMixedTypes="0" containsString="0" containsNumber="1" minValue="1.0156249999999922E-2" maxValue="0.17636746143057508"/>
    </cacheField>
    <cacheField name="On-Time Delivery %" numFmtId="0">
      <sharedItems count="2">
        <s v="On Time"/>
        <s v="Late"/>
      </sharedItems>
    </cacheField>
    <cacheField name="Original Cost" numFmtId="0">
      <sharedItems containsSemiMixedTypes="0" containsString="0" containsNumber="1" minValue="865.9" maxValue="444799.99999999994"/>
    </cacheField>
    <cacheField name="Compliance Flag" numFmtId="0">
      <sharedItems containsSemiMixedTypes="0" containsString="0" containsNumber="1" containsInteger="1" minValue="0" maxValue="1"/>
    </cacheField>
    <cacheField name="Non-Compliance Flag" numFmtId="0">
      <sharedItems containsSemiMixedTypes="0" containsString="0" containsNumber="1" containsInteger="1" minValue="0" maxValue="1"/>
    </cacheField>
    <cacheField name="Months (Order_Date)" numFmtId="0" databaseField="0">
      <fieldGroup base="2">
        <rangePr groupBy="months" startDate="2022-01-01T00:00:00" endDate="2024-01-02T00:00:00"/>
        <groupItems count="14">
          <s v="&lt;1/1/2022"/>
          <s v="Jan"/>
          <s v="Feb"/>
          <s v="Mar"/>
          <s v="Apr"/>
          <s v="May"/>
          <s v="Jun"/>
          <s v="Jul"/>
          <s v="Aug"/>
          <s v="Sep"/>
          <s v="Oct"/>
          <s v="Nov"/>
          <s v="Dec"/>
          <s v="&gt;1/2/2024"/>
        </groupItems>
      </fieldGroup>
    </cacheField>
    <cacheField name="Quarters (Order_Date)" numFmtId="0" databaseField="0">
      <fieldGroup base="2">
        <rangePr groupBy="quarters" startDate="2022-01-01T00:00:00" endDate="2024-01-02T00:00:00"/>
        <groupItems count="6">
          <s v="&lt;1/1/2022"/>
          <s v="Qtr1"/>
          <s v="Qtr2"/>
          <s v="Qtr3"/>
          <s v="Qtr4"/>
          <s v="&gt;1/2/2024"/>
        </groupItems>
      </fieldGroup>
    </cacheField>
    <cacheField name="Years (Order_Date)" numFmtId="0" databaseField="0">
      <fieldGroup base="2">
        <rangePr groupBy="years" startDate="2022-01-01T00:00:00" endDate="2024-01-02T00:00:00"/>
        <groupItems count="5">
          <s v="&lt;1/1/2022"/>
          <s v="2022"/>
          <s v="2023"/>
          <s v="2024"/>
          <s v="&gt;1/2/2024"/>
        </groupItems>
      </fieldGroup>
    </cacheField>
  </cacheFields>
  <extLst>
    <ext xmlns:x14="http://schemas.microsoft.com/office/spreadsheetml/2009/9/main" uri="{725AE2AE-9491-48be-B2B4-4EB974FC3084}">
      <x14:pivotCacheDefinition pivotCacheId="15718824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7">
  <r>
    <s v="PO-00001"/>
    <x v="0"/>
    <x v="0"/>
    <d v="2023-10-25T00:00:00"/>
    <x v="0"/>
    <x v="0"/>
    <n v="1176"/>
    <n v="20.13"/>
    <n v="17.809999999999999"/>
    <n v="0"/>
    <x v="0"/>
    <n v="20944.559999999998"/>
    <n v="8"/>
    <n v="0"/>
    <n v="2728.32"/>
    <n v="0.13026389668725438"/>
    <x v="0"/>
    <n v="23672.879999999997"/>
    <n v="1"/>
    <n v="0"/>
  </r>
  <r>
    <s v="PO-00002"/>
    <x v="1"/>
    <x v="1"/>
    <d v="2022-05-05T00:00:00"/>
    <x v="0"/>
    <x v="1"/>
    <n v="1509"/>
    <n v="39.32"/>
    <n v="37.340000000000003"/>
    <n v="235"/>
    <x v="0"/>
    <n v="56346.060000000005"/>
    <n v="10"/>
    <n v="0.15573227302849568"/>
    <n v="2987.8199999999952"/>
    <n v="5.3026245313336814E-2"/>
    <x v="0"/>
    <n v="59333.88"/>
    <n v="1"/>
    <n v="0"/>
  </r>
  <r>
    <s v="PO-00003"/>
    <x v="2"/>
    <x v="2"/>
    <d v="2022-02-15T00:00:00"/>
    <x v="1"/>
    <x v="1"/>
    <n v="910"/>
    <n v="95.51"/>
    <n v="92.26"/>
    <n v="41"/>
    <x v="0"/>
    <n v="83956.6"/>
    <n v="20"/>
    <n v="4.5054945054945054E-2"/>
    <n v="2957.5"/>
    <n v="3.5226533709083026E-2"/>
    <x v="1"/>
    <n v="86914.1"/>
    <n v="1"/>
    <n v="0"/>
  </r>
  <r>
    <s v="PO-00004"/>
    <x v="3"/>
    <x v="3"/>
    <d v="2022-10-28T00:00:00"/>
    <x v="2"/>
    <x v="1"/>
    <n v="1344"/>
    <n v="99.85"/>
    <n v="95.52"/>
    <n v="112"/>
    <x v="0"/>
    <n v="128378.87999999999"/>
    <n v="19"/>
    <n v="8.3333333333333329E-2"/>
    <n v="5819.5199999999977"/>
    <n v="4.5330820770519246E-2"/>
    <x v="1"/>
    <n v="134198.39999999999"/>
    <n v="1"/>
    <n v="0"/>
  </r>
  <r>
    <s v="PO-00005"/>
    <x v="1"/>
    <x v="4"/>
    <d v="2022-09-20T00:00:00"/>
    <x v="3"/>
    <x v="1"/>
    <n v="1180"/>
    <n v="64.069999999999993"/>
    <n v="60.53"/>
    <n v="171"/>
    <x v="1"/>
    <n v="71425.399999999994"/>
    <n v="12"/>
    <n v="0.14491525423728813"/>
    <n v="4177.1999999999907"/>
    <n v="5.8483396662811701E-2"/>
    <x v="0"/>
    <n v="75602.599999999991"/>
    <n v="0"/>
    <n v="1"/>
  </r>
  <r>
    <s v="PO-00006"/>
    <x v="4"/>
    <x v="5"/>
    <d v="2022-08-29T00:00:00"/>
    <x v="1"/>
    <x v="1"/>
    <n v="1145"/>
    <n v="69.209999999999994"/>
    <n v="63.57"/>
    <n v="39"/>
    <x v="0"/>
    <n v="72787.649999999994"/>
    <n v="12"/>
    <n v="3.4061135371179038E-2"/>
    <n v="6457.7999999999929"/>
    <n v="8.8721094856064095E-2"/>
    <x v="0"/>
    <n v="79245.45"/>
    <n v="1"/>
    <n v="0"/>
  </r>
  <r>
    <s v="PO-00007"/>
    <x v="2"/>
    <x v="6"/>
    <d v="2022-06-03T00:00:00"/>
    <x v="1"/>
    <x v="1"/>
    <n v="1774"/>
    <n v="51.37"/>
    <n v="47.82"/>
    <n v="96"/>
    <x v="1"/>
    <n v="84832.680000000008"/>
    <n v="11"/>
    <n v="5.4114994363021418E-2"/>
    <n v="6297.6999999999953"/>
    <n v="7.4236721037222855E-2"/>
    <x v="0"/>
    <n v="91130.37999999999"/>
    <n v="0"/>
    <n v="1"/>
  </r>
  <r>
    <s v="PO-00008"/>
    <x v="0"/>
    <x v="7"/>
    <d v="2022-04-29T00:00:00"/>
    <x v="1"/>
    <x v="1"/>
    <n v="1094"/>
    <n v="36.93"/>
    <n v="32.78"/>
    <n v="22"/>
    <x v="0"/>
    <n v="35861.32"/>
    <n v="14"/>
    <n v="2.0109689213893969E-2"/>
    <n v="4540.0999999999985"/>
    <n v="0.12660158633312993"/>
    <x v="0"/>
    <n v="40401.42"/>
    <n v="1"/>
    <n v="0"/>
  </r>
  <r>
    <s v="PO-00009"/>
    <x v="2"/>
    <x v="8"/>
    <d v="2023-11-28T00:00:00"/>
    <x v="3"/>
    <x v="2"/>
    <n v="1688"/>
    <n v="43.93"/>
    <n v="39.89"/>
    <n v="89"/>
    <x v="0"/>
    <n v="67334.320000000007"/>
    <n v="4"/>
    <n v="5.2725118483412325E-2"/>
    <n v="6819.5199999999986"/>
    <n v="0.10127851591877661"/>
    <x v="0"/>
    <n v="74153.84"/>
    <n v="1"/>
    <n v="0"/>
  </r>
  <r>
    <s v="PO-00010"/>
    <x v="2"/>
    <x v="9"/>
    <d v="2023-07-25T00:00:00"/>
    <x v="3"/>
    <x v="3"/>
    <n v="171"/>
    <n v="76.87"/>
    <n v="70.2"/>
    <n v="8"/>
    <x v="0"/>
    <n v="12004.2"/>
    <n v="12"/>
    <n v="4.6783625730994149E-2"/>
    <n v="1140.5700000000004"/>
    <n v="9.5014245014245047E-2"/>
    <x v="0"/>
    <n v="13144.77"/>
    <n v="1"/>
    <n v="0"/>
  </r>
  <r>
    <s v="PO-00011"/>
    <x v="4"/>
    <x v="10"/>
    <d v="2022-04-15T00:00:00"/>
    <x v="3"/>
    <x v="1"/>
    <n v="5000"/>
    <n v="78.489999999999995"/>
    <n v="73.680000000000007"/>
    <n v="18"/>
    <x v="0"/>
    <n v="368400.00000000006"/>
    <n v="15"/>
    <n v="3.5999999999999999E-3"/>
    <n v="24049.999999999942"/>
    <n v="6.5282301845819596E-2"/>
    <x v="1"/>
    <n v="392450"/>
    <n v="1"/>
    <n v="0"/>
  </r>
  <r>
    <s v="PO-00012"/>
    <x v="3"/>
    <x v="11"/>
    <d v="2023-09-11T00:00:00"/>
    <x v="3"/>
    <x v="1"/>
    <n v="5000"/>
    <n v="88.96"/>
    <n v="86.58"/>
    <n v="115"/>
    <x v="0"/>
    <n v="432900"/>
    <n v="14"/>
    <n v="2.3E-2"/>
    <n v="11899.999999999978"/>
    <n v="2.7489027489027439E-2"/>
    <x v="0"/>
    <n v="444799.99999999994"/>
    <n v="1"/>
    <n v="0"/>
  </r>
  <r>
    <s v="PO-00013"/>
    <x v="3"/>
    <x v="12"/>
    <d v="2023-03-26T00:00:00"/>
    <x v="4"/>
    <x v="3"/>
    <n v="5000"/>
    <n v="86.74"/>
    <n v="74.86"/>
    <n v="51"/>
    <x v="0"/>
    <n v="374300"/>
    <n v="17"/>
    <n v="1.0200000000000001E-2"/>
    <n v="59399.999999999978"/>
    <n v="0.15869623296820726"/>
    <x v="1"/>
    <n v="433700"/>
    <n v="1"/>
    <n v="0"/>
  </r>
  <r>
    <s v="PO-00014"/>
    <x v="3"/>
    <x v="13"/>
    <m/>
    <x v="1"/>
    <x v="1"/>
    <n v="5000"/>
    <n v="18.3"/>
    <n v="16.88"/>
    <n v="0"/>
    <x v="0"/>
    <n v="84400"/>
    <s v=""/>
    <n v="0"/>
    <n v="7100.0000000000082"/>
    <n v="8.4123222748815257E-2"/>
    <x v="1"/>
    <n v="91500"/>
    <n v="1"/>
    <n v="0"/>
  </r>
  <r>
    <s v="PO-00015"/>
    <x v="1"/>
    <x v="14"/>
    <d v="2022-02-18T00:00:00"/>
    <x v="4"/>
    <x v="3"/>
    <n v="5000"/>
    <n v="54.5"/>
    <n v="48.45"/>
    <n v="22"/>
    <x v="0"/>
    <n v="242250"/>
    <n v="18"/>
    <n v="4.4000000000000003E-3"/>
    <n v="30249.999999999985"/>
    <n v="0.12487100103199168"/>
    <x v="1"/>
    <n v="272500"/>
    <n v="1"/>
    <n v="0"/>
  </r>
  <r>
    <s v="PO-00016"/>
    <x v="3"/>
    <x v="15"/>
    <d v="2022-04-21T00:00:00"/>
    <x v="2"/>
    <x v="1"/>
    <n v="5000"/>
    <n v="15.41"/>
    <n v="15.12"/>
    <n v="0"/>
    <x v="0"/>
    <n v="75600"/>
    <n v="15"/>
    <n v="0"/>
    <n v="1450.0000000000045"/>
    <n v="1.9179894179894241E-2"/>
    <x v="1"/>
    <n v="77050"/>
    <n v="1"/>
    <n v="0"/>
  </r>
  <r>
    <s v="PO-00017"/>
    <x v="1"/>
    <x v="16"/>
    <d v="2022-08-31T00:00:00"/>
    <x v="1"/>
    <x v="1"/>
    <n v="1173"/>
    <n v="61.54"/>
    <n v="55.49"/>
    <n v="172"/>
    <x v="1"/>
    <n v="65089.770000000004"/>
    <n v="19"/>
    <n v="0.14663256606990621"/>
    <n v="7096.6499999999969"/>
    <n v="0.10902865381149751"/>
    <x v="1"/>
    <n v="72186.42"/>
    <n v="0"/>
    <n v="1"/>
  </r>
  <r>
    <s v="PO-00018"/>
    <x v="4"/>
    <x v="17"/>
    <d v="2022-09-04T00:00:00"/>
    <x v="3"/>
    <x v="1"/>
    <n v="921"/>
    <n v="51.48"/>
    <n v="50.61"/>
    <n v="0"/>
    <x v="0"/>
    <n v="46611.81"/>
    <n v="8"/>
    <n v="0"/>
    <n v="801.26999999999759"/>
    <n v="1.7190278601066932E-2"/>
    <x v="0"/>
    <n v="47413.079999999994"/>
    <n v="1"/>
    <n v="0"/>
  </r>
  <r>
    <s v="PO-00019"/>
    <x v="2"/>
    <x v="18"/>
    <d v="2023-06-05T00:00:00"/>
    <x v="3"/>
    <x v="2"/>
    <n v="1737"/>
    <n v="97.53"/>
    <n v="87.37"/>
    <n v="79"/>
    <x v="0"/>
    <n v="151761.69"/>
    <n v="3"/>
    <n v="4.5480713874496259E-2"/>
    <n v="17647.919999999995"/>
    <n v="0.1162870550532219"/>
    <x v="0"/>
    <n v="169409.61000000002"/>
    <n v="1"/>
    <n v="0"/>
  </r>
  <r>
    <s v="PO-00020"/>
    <x v="1"/>
    <x v="19"/>
    <d v="2023-09-24T00:00:00"/>
    <x v="3"/>
    <x v="1"/>
    <n v="180"/>
    <n v="45.74"/>
    <n v="38.89"/>
    <n v="0"/>
    <x v="1"/>
    <n v="7000.2"/>
    <n v="15"/>
    <n v="0"/>
    <n v="1233.0000000000002"/>
    <n v="0.17613782463358194"/>
    <x v="1"/>
    <n v="8233.2000000000007"/>
    <n v="0"/>
    <n v="1"/>
  </r>
  <r>
    <s v="PO-00021"/>
    <x v="4"/>
    <x v="20"/>
    <d v="2022-02-12T00:00:00"/>
    <x v="4"/>
    <x v="0"/>
    <n v="1735"/>
    <n v="20.54"/>
    <n v="19.690000000000001"/>
    <n v="49"/>
    <x v="0"/>
    <n v="34162.15"/>
    <n v="15"/>
    <n v="2.824207492795389E-2"/>
    <n v="1474.7499999999964"/>
    <n v="4.3169121381411775E-2"/>
    <x v="1"/>
    <n v="35636.9"/>
    <n v="1"/>
    <n v="0"/>
  </r>
  <r>
    <s v="PO-00022"/>
    <x v="1"/>
    <x v="21"/>
    <d v="2023-08-11T00:00:00"/>
    <x v="3"/>
    <x v="1"/>
    <n v="1382"/>
    <n v="24.93"/>
    <n v="23.75"/>
    <n v="0"/>
    <x v="0"/>
    <n v="32822.5"/>
    <n v="13"/>
    <n v="0"/>
    <n v="1630.7599999999995"/>
    <n v="4.9684210526315775E-2"/>
    <x v="0"/>
    <n v="34453.26"/>
    <n v="1"/>
    <n v="0"/>
  </r>
  <r>
    <s v="PO-00023"/>
    <x v="4"/>
    <x v="22"/>
    <d v="2022-08-08T00:00:00"/>
    <x v="1"/>
    <x v="1"/>
    <n v="819"/>
    <n v="80.89"/>
    <n v="77.03"/>
    <n v="29"/>
    <x v="0"/>
    <n v="63087.57"/>
    <n v="16"/>
    <n v="3.5409035409035408E-2"/>
    <n v="3161.3399999999997"/>
    <n v="5.0110346618200699E-2"/>
    <x v="1"/>
    <n v="66248.91"/>
    <n v="1"/>
    <n v="0"/>
  </r>
  <r>
    <s v="PO-00024"/>
    <x v="3"/>
    <x v="23"/>
    <d v="2023-11-03T00:00:00"/>
    <x v="0"/>
    <x v="2"/>
    <n v="393"/>
    <n v="72.53"/>
    <n v="66.31"/>
    <n v="42"/>
    <x v="1"/>
    <n v="26059.83"/>
    <n v="6"/>
    <n v="0.10687022900763359"/>
    <n v="2444.4599999999996"/>
    <n v="9.3801839843160886E-2"/>
    <x v="0"/>
    <n v="28504.29"/>
    <n v="0"/>
    <n v="1"/>
  </r>
  <r>
    <s v="PO-00025"/>
    <x v="3"/>
    <x v="24"/>
    <d v="2024-01-01T00:00:00"/>
    <x v="1"/>
    <x v="1"/>
    <n v="1565"/>
    <n v="21.3"/>
    <n v="20.09"/>
    <n v="161"/>
    <x v="0"/>
    <n v="31440.85"/>
    <n v="12"/>
    <n v="0.10287539936102237"/>
    <n v="1893.6500000000012"/>
    <n v="6.0228969636635182E-2"/>
    <x v="0"/>
    <n v="33334.5"/>
    <n v="1"/>
    <n v="0"/>
  </r>
  <r>
    <s v="PO-00026"/>
    <x v="4"/>
    <x v="9"/>
    <d v="2023-07-24T00:00:00"/>
    <x v="2"/>
    <x v="1"/>
    <n v="1487"/>
    <n v="19.149999999999999"/>
    <n v="17.239999999999998"/>
    <n v="0"/>
    <x v="0"/>
    <n v="25635.879999999997"/>
    <n v="11"/>
    <n v="0"/>
    <n v="2840.17"/>
    <n v="0.11078886310904874"/>
    <x v="0"/>
    <n v="28476.05"/>
    <n v="1"/>
    <n v="0"/>
  </r>
  <r>
    <s v="PO-00027"/>
    <x v="0"/>
    <x v="25"/>
    <d v="2023-03-26T00:00:00"/>
    <x v="1"/>
    <x v="1"/>
    <n v="855"/>
    <n v="78.2"/>
    <n v="67.16"/>
    <n v="17"/>
    <x v="0"/>
    <n v="57421.799999999996"/>
    <n v="20"/>
    <n v="1.9883040935672516E-2"/>
    <n v="9439.2000000000062"/>
    <n v="0.16438356164383575"/>
    <x v="1"/>
    <n v="66861"/>
    <n v="1"/>
    <n v="0"/>
  </r>
  <r>
    <s v="PO-00028"/>
    <x v="4"/>
    <x v="26"/>
    <d v="2022-08-23T00:00:00"/>
    <x v="3"/>
    <x v="1"/>
    <n v="435"/>
    <n v="17.13"/>
    <n v="15.84"/>
    <n v="8"/>
    <x v="0"/>
    <n v="6890.4"/>
    <n v="9"/>
    <n v="1.8390804597701149E-2"/>
    <n v="561.14999999999964"/>
    <n v="8.1439393939393895E-2"/>
    <x v="0"/>
    <n v="7451.5499999999993"/>
    <n v="1"/>
    <n v="0"/>
  </r>
  <r>
    <s v="PO-00029"/>
    <x v="1"/>
    <x v="27"/>
    <d v="2023-04-22T00:00:00"/>
    <x v="1"/>
    <x v="1"/>
    <n v="1265"/>
    <n v="90.26"/>
    <n v="79.47"/>
    <n v="187"/>
    <x v="0"/>
    <n v="100529.55"/>
    <n v="17"/>
    <n v="0.14782608695652175"/>
    <n v="13649.350000000008"/>
    <n v="0.13577450610293199"/>
    <x v="1"/>
    <n v="114178.90000000001"/>
    <n v="1"/>
    <n v="0"/>
  </r>
  <r>
    <s v="PO-00030"/>
    <x v="4"/>
    <x v="28"/>
    <m/>
    <x v="1"/>
    <x v="1"/>
    <n v="1005"/>
    <n v="80.55"/>
    <n v="73.31"/>
    <n v="30"/>
    <x v="0"/>
    <n v="73676.55"/>
    <s v=""/>
    <n v="2.9850746268656716E-2"/>
    <n v="7276.1999999999953"/>
    <n v="9.8758695948710881E-2"/>
    <x v="1"/>
    <n v="80952.75"/>
    <n v="1"/>
    <n v="0"/>
  </r>
  <r>
    <s v="PO-00031"/>
    <x v="2"/>
    <x v="29"/>
    <d v="2022-10-26T00:00:00"/>
    <x v="4"/>
    <x v="1"/>
    <n v="326"/>
    <n v="18.100000000000001"/>
    <n v="15.92"/>
    <n v="0"/>
    <x v="1"/>
    <n v="5189.92"/>
    <n v="14"/>
    <n v="0"/>
    <n v="710.68000000000052"/>
    <n v="0.13693467336683426"/>
    <x v="0"/>
    <n v="5900.6"/>
    <n v="0"/>
    <n v="1"/>
  </r>
  <r>
    <s v="PO-00032"/>
    <x v="0"/>
    <x v="30"/>
    <d v="2022-01-15T00:00:00"/>
    <x v="0"/>
    <x v="1"/>
    <n v="1234"/>
    <n v="17.64"/>
    <n v="15.66"/>
    <n v="26"/>
    <x v="0"/>
    <n v="19324.439999999999"/>
    <n v="8"/>
    <n v="2.1069692058346839E-2"/>
    <n v="2443.3200000000006"/>
    <n v="0.12643678160919544"/>
    <x v="0"/>
    <n v="21767.760000000002"/>
    <n v="1"/>
    <n v="0"/>
  </r>
  <r>
    <s v="PO-00033"/>
    <x v="4"/>
    <x v="31"/>
    <d v="2022-06-29T00:00:00"/>
    <x v="1"/>
    <x v="1"/>
    <n v="509"/>
    <n v="101.27"/>
    <n v="97.82"/>
    <n v="19"/>
    <x v="0"/>
    <n v="49790.38"/>
    <n v="16"/>
    <n v="3.732809430255403E-2"/>
    <n v="1756.0500000000015"/>
    <n v="3.5268861173584166E-2"/>
    <x v="1"/>
    <n v="51546.43"/>
    <n v="1"/>
    <n v="0"/>
  </r>
  <r>
    <s v="PO-00034"/>
    <x v="0"/>
    <x v="32"/>
    <d v="2023-12-17T00:00:00"/>
    <x v="2"/>
    <x v="1"/>
    <n v="1387"/>
    <n v="48.71"/>
    <n v="43.71"/>
    <n v="27"/>
    <x v="0"/>
    <n v="60625.770000000004"/>
    <n v="1"/>
    <n v="1.9466474405191059E-2"/>
    <n v="6935"/>
    <n v="0.11439029970258521"/>
    <x v="0"/>
    <n v="67560.77"/>
    <n v="1"/>
    <n v="0"/>
  </r>
  <r>
    <s v="PO-00035"/>
    <x v="0"/>
    <x v="12"/>
    <d v="2023-03-17T00:00:00"/>
    <x v="1"/>
    <x v="1"/>
    <n v="71"/>
    <n v="46.39"/>
    <n v="43.18"/>
    <n v="0"/>
    <x v="0"/>
    <n v="3065.78"/>
    <n v="8"/>
    <n v="0"/>
    <n v="227.91000000000005"/>
    <n v="7.4339972209356189E-2"/>
    <x v="0"/>
    <n v="3293.69"/>
    <n v="1"/>
    <n v="0"/>
  </r>
  <r>
    <s v="PO-00036"/>
    <x v="4"/>
    <x v="33"/>
    <d v="2022-12-23T00:00:00"/>
    <x v="0"/>
    <x v="1"/>
    <n v="302"/>
    <n v="87.73"/>
    <n v="81.52"/>
    <n v="9"/>
    <x v="0"/>
    <n v="24619.039999999997"/>
    <n v="8"/>
    <n v="2.9801324503311258E-2"/>
    <n v="1875.4200000000023"/>
    <n v="7.6177625122669387E-2"/>
    <x v="0"/>
    <n v="26494.460000000003"/>
    <n v="1"/>
    <n v="0"/>
  </r>
  <r>
    <s v="PO-00037"/>
    <x v="4"/>
    <x v="29"/>
    <d v="2022-10-31T00:00:00"/>
    <x v="0"/>
    <x v="3"/>
    <n v="797"/>
    <n v="99.54"/>
    <n v="91.37"/>
    <n v="18"/>
    <x v="0"/>
    <n v="72821.89"/>
    <n v="19"/>
    <n v="2.258469259723965E-2"/>
    <n v="6511.4900000000016"/>
    <n v="8.9416657546240577E-2"/>
    <x v="1"/>
    <n v="79333.38"/>
    <n v="1"/>
    <n v="0"/>
  </r>
  <r>
    <s v="PO-00038"/>
    <x v="3"/>
    <x v="34"/>
    <d v="2022-06-27T00:00:00"/>
    <x v="0"/>
    <x v="3"/>
    <n v="906"/>
    <n v="101.21"/>
    <n v="90.9"/>
    <n v="94"/>
    <x v="0"/>
    <n v="82355.400000000009"/>
    <n v="18"/>
    <n v="0.10375275938189846"/>
    <n v="9340.8599999999897"/>
    <n v="0.11342134213421329"/>
    <x v="1"/>
    <n v="91696.26"/>
    <n v="1"/>
    <n v="0"/>
  </r>
  <r>
    <s v="PO-00039"/>
    <x v="4"/>
    <x v="35"/>
    <d v="2022-08-23T00:00:00"/>
    <x v="0"/>
    <x v="1"/>
    <n v="1634"/>
    <n v="80.53"/>
    <n v="76.150000000000006"/>
    <n v="50"/>
    <x v="0"/>
    <n v="124429.1"/>
    <n v="14"/>
    <n v="3.0599755201958383E-2"/>
    <n v="7156.9199999999928"/>
    <n v="5.7518056467498295E-2"/>
    <x v="0"/>
    <n v="131586.01999999999"/>
    <n v="1"/>
    <n v="0"/>
  </r>
  <r>
    <s v="PO-00040"/>
    <x v="4"/>
    <x v="36"/>
    <m/>
    <x v="0"/>
    <x v="1"/>
    <n v="524"/>
    <n v="46.28"/>
    <n v="39.65"/>
    <n v="14"/>
    <x v="0"/>
    <n v="20776.599999999999"/>
    <s v=""/>
    <n v="2.6717557251908396E-2"/>
    <n v="3474.1200000000013"/>
    <n v="0.16721311475409845"/>
    <x v="1"/>
    <n v="24250.720000000001"/>
    <n v="1"/>
    <n v="0"/>
  </r>
  <r>
    <s v="PO-00041"/>
    <x v="3"/>
    <x v="7"/>
    <d v="2022-04-27T00:00:00"/>
    <x v="4"/>
    <x v="1"/>
    <n v="1132"/>
    <n v="17.78"/>
    <n v="15.36"/>
    <n v="96"/>
    <x v="0"/>
    <n v="17387.52"/>
    <n v="12"/>
    <n v="8.4805653710247356E-2"/>
    <n v="2739.4400000000019"/>
    <n v="0.15755208333333343"/>
    <x v="0"/>
    <n v="20126.960000000003"/>
    <n v="1"/>
    <n v="0"/>
  </r>
  <r>
    <s v="PO-00042"/>
    <x v="3"/>
    <x v="37"/>
    <d v="2022-04-14T00:00:00"/>
    <x v="0"/>
    <x v="1"/>
    <n v="560"/>
    <n v="81.14"/>
    <n v="77.87"/>
    <n v="34"/>
    <x v="1"/>
    <n v="43607.200000000004"/>
    <n v="9"/>
    <n v="6.0714285714285714E-2"/>
    <n v="1831.1999999999978"/>
    <n v="4.1993065365352453E-2"/>
    <x v="0"/>
    <n v="45438.400000000001"/>
    <n v="0"/>
    <n v="1"/>
  </r>
  <r>
    <s v="PO-00043"/>
    <x v="2"/>
    <x v="38"/>
    <d v="2023-02-02T00:00:00"/>
    <x v="4"/>
    <x v="1"/>
    <n v="1755"/>
    <n v="63.87"/>
    <n v="58.4"/>
    <n v="85"/>
    <x v="0"/>
    <n v="102492"/>
    <n v="8"/>
    <n v="4.843304843304843E-2"/>
    <n v="9599.8499999999985"/>
    <n v="9.3664383561643819E-2"/>
    <x v="0"/>
    <n v="112091.84999999999"/>
    <n v="1"/>
    <n v="0"/>
  </r>
  <r>
    <s v="PO-00044"/>
    <x v="4"/>
    <x v="39"/>
    <d v="2022-04-17T00:00:00"/>
    <x v="1"/>
    <x v="1"/>
    <n v="1549"/>
    <n v="48.9"/>
    <n v="42.42"/>
    <n v="48"/>
    <x v="0"/>
    <n v="65708.58"/>
    <n v="7"/>
    <n v="3.0987734021949646E-2"/>
    <n v="10037.519999999995"/>
    <n v="0.15275813295615268"/>
    <x v="0"/>
    <n v="75746.099999999991"/>
    <n v="1"/>
    <n v="0"/>
  </r>
  <r>
    <s v="PO-00045"/>
    <x v="1"/>
    <x v="40"/>
    <d v="2023-01-21T00:00:00"/>
    <x v="1"/>
    <x v="1"/>
    <n v="749"/>
    <n v="97.07"/>
    <n v="94.16"/>
    <n v="123"/>
    <x v="0"/>
    <n v="70525.84"/>
    <n v="18"/>
    <n v="0.16421895861148197"/>
    <n v="2179.5899999999974"/>
    <n v="3.0904842820730635E-2"/>
    <x v="1"/>
    <n v="72705.429999999993"/>
    <n v="1"/>
    <n v="0"/>
  </r>
  <r>
    <s v="PO-00046"/>
    <x v="0"/>
    <x v="41"/>
    <m/>
    <x v="4"/>
    <x v="1"/>
    <n v="1025"/>
    <n v="21.11"/>
    <n v="19.25"/>
    <n v="15"/>
    <x v="0"/>
    <n v="19731.25"/>
    <s v=""/>
    <n v="1.4634146341463415E-2"/>
    <n v="1906.4999999999993"/>
    <n v="9.6623376623376583E-2"/>
    <x v="1"/>
    <n v="21637.75"/>
    <n v="1"/>
    <n v="0"/>
  </r>
  <r>
    <s v="PO-00047"/>
    <x v="3"/>
    <x v="42"/>
    <d v="2023-09-18T00:00:00"/>
    <x v="3"/>
    <x v="1"/>
    <n v="1856"/>
    <n v="59.77"/>
    <n v="50.81"/>
    <n v="191"/>
    <x v="0"/>
    <n v="94303.360000000001"/>
    <n v="7"/>
    <n v="0.10290948275862069"/>
    <n v="16629.760000000002"/>
    <n v="0.17634323951977959"/>
    <x v="0"/>
    <n v="110933.12000000001"/>
    <n v="1"/>
    <n v="0"/>
  </r>
  <r>
    <s v="PO-00048"/>
    <x v="4"/>
    <x v="43"/>
    <d v="2022-10-14T00:00:00"/>
    <x v="0"/>
    <x v="1"/>
    <n v="239"/>
    <n v="11.46"/>
    <n v="11.28"/>
    <n v="4"/>
    <x v="0"/>
    <n v="2695.92"/>
    <n v="16"/>
    <n v="1.6736401673640166E-2"/>
    <n v="43.020000000000358"/>
    <n v="1.5957446808510772E-2"/>
    <x v="1"/>
    <n v="2738.94"/>
    <n v="1"/>
    <n v="0"/>
  </r>
  <r>
    <s v="PO-00049"/>
    <x v="1"/>
    <x v="44"/>
    <d v="2022-03-05T00:00:00"/>
    <x v="0"/>
    <x v="3"/>
    <n v="1007"/>
    <n v="52.44"/>
    <n v="46.06"/>
    <n v="167"/>
    <x v="0"/>
    <n v="46382.420000000006"/>
    <n v="19"/>
    <n v="0.16583912611717974"/>
    <n v="6424.6599999999953"/>
    <n v="0.13851498046026908"/>
    <x v="1"/>
    <n v="52807.079999999994"/>
    <n v="1"/>
    <n v="0"/>
  </r>
  <r>
    <s v="PO-00050"/>
    <x v="0"/>
    <x v="45"/>
    <m/>
    <x v="1"/>
    <x v="3"/>
    <n v="736"/>
    <n v="16.2"/>
    <n v="15.33"/>
    <n v="18"/>
    <x v="0"/>
    <n v="11282.88"/>
    <s v=""/>
    <n v="2.4456521739130436E-2"/>
    <n v="640.31999999999948"/>
    <n v="5.6751467710371775E-2"/>
    <x v="1"/>
    <n v="11923.199999999999"/>
    <n v="1"/>
    <n v="0"/>
  </r>
  <r>
    <s v="PO-00051"/>
    <x v="4"/>
    <x v="46"/>
    <d v="2023-07-14T00:00:00"/>
    <x v="4"/>
    <x v="1"/>
    <n v="1007"/>
    <n v="22.56"/>
    <n v="19.59"/>
    <n v="0"/>
    <x v="0"/>
    <n v="19727.13"/>
    <n v="10"/>
    <n v="0"/>
    <n v="2990.7899999999991"/>
    <n v="0.15160796324655432"/>
    <x v="0"/>
    <n v="22717.919999999998"/>
    <n v="1"/>
    <n v="0"/>
  </r>
  <r>
    <s v="PO-00052"/>
    <x v="1"/>
    <x v="47"/>
    <m/>
    <x v="0"/>
    <x v="1"/>
    <n v="612"/>
    <n v="20.99"/>
    <n v="19.75"/>
    <n v="102"/>
    <x v="0"/>
    <n v="12087"/>
    <s v=""/>
    <n v="0.16666666666666666"/>
    <n v="758.87999999999909"/>
    <n v="6.27848101265822E-2"/>
    <x v="1"/>
    <n v="12845.88"/>
    <n v="1"/>
    <n v="0"/>
  </r>
  <r>
    <s v="PO-00053"/>
    <x v="0"/>
    <x v="48"/>
    <d v="2023-02-02T00:00:00"/>
    <x v="1"/>
    <x v="3"/>
    <n v="1949"/>
    <n v="72.53"/>
    <n v="63.26"/>
    <n v="48"/>
    <x v="1"/>
    <n v="123293.73999999999"/>
    <n v="10"/>
    <n v="2.4628014366341714E-2"/>
    <n v="18067.230000000007"/>
    <n v="0.14653809674359791"/>
    <x v="0"/>
    <n v="141360.97"/>
    <n v="0"/>
    <n v="1"/>
  </r>
  <r>
    <s v="PO-00054"/>
    <x v="1"/>
    <x v="49"/>
    <d v="2022-03-28T00:00:00"/>
    <x v="0"/>
    <x v="0"/>
    <n v="1640"/>
    <n v="77.92"/>
    <n v="76.41"/>
    <n v="262"/>
    <x v="1"/>
    <n v="125312.4"/>
    <n v="6"/>
    <n v="0.15975609756097561"/>
    <n v="2476.4000000000083"/>
    <n v="1.9761811281245979E-2"/>
    <x v="0"/>
    <n v="127788.8"/>
    <n v="0"/>
    <n v="1"/>
  </r>
  <r>
    <s v="PO-00055"/>
    <x v="3"/>
    <x v="50"/>
    <d v="2023-08-07T00:00:00"/>
    <x v="4"/>
    <x v="1"/>
    <n v="1317"/>
    <n v="68.13"/>
    <n v="60.52"/>
    <n v="136"/>
    <x v="0"/>
    <n v="79704.840000000011"/>
    <n v="18"/>
    <n v="0.10326499620349279"/>
    <n v="10022.36999999999"/>
    <n v="0.12574355584930588"/>
    <x v="1"/>
    <n v="89727.209999999992"/>
    <n v="1"/>
    <n v="0"/>
  </r>
  <r>
    <s v="PO-00056"/>
    <x v="4"/>
    <x v="51"/>
    <d v="2022-10-30T00:00:00"/>
    <x v="3"/>
    <x v="1"/>
    <n v="881"/>
    <n v="100.94"/>
    <n v="95.05"/>
    <n v="30"/>
    <x v="0"/>
    <n v="83739.05"/>
    <n v="2"/>
    <n v="3.4052213393870601E-2"/>
    <n v="5189.09"/>
    <n v="6.1967385586533405E-2"/>
    <x v="0"/>
    <n v="88928.14"/>
    <n v="1"/>
    <n v="0"/>
  </r>
  <r>
    <s v="PO-00057"/>
    <x v="1"/>
    <x v="52"/>
    <m/>
    <x v="2"/>
    <x v="1"/>
    <n v="1578"/>
    <n v="48.33"/>
    <n v="42.77"/>
    <n v="206"/>
    <x v="0"/>
    <n v="67491.06"/>
    <s v=""/>
    <n v="0.13054499366286437"/>
    <n v="8773.679999999993"/>
    <n v="0.12999766191255543"/>
    <x v="1"/>
    <n v="76264.739999999991"/>
    <n v="1"/>
    <n v="0"/>
  </r>
  <r>
    <s v="PO-00058"/>
    <x v="1"/>
    <x v="53"/>
    <d v="2023-10-01T00:00:00"/>
    <x v="1"/>
    <x v="1"/>
    <n v="1204"/>
    <n v="39.29"/>
    <n v="35.44"/>
    <n v="0"/>
    <x v="0"/>
    <n v="42669.759999999995"/>
    <n v="5"/>
    <n v="0"/>
    <n v="4635.4000000000015"/>
    <n v="0.1086343115124154"/>
    <x v="0"/>
    <n v="47305.159999999996"/>
    <n v="1"/>
    <n v="0"/>
  </r>
  <r>
    <s v="PO-00059"/>
    <x v="4"/>
    <x v="54"/>
    <d v="2023-01-22T00:00:00"/>
    <x v="1"/>
    <x v="3"/>
    <n v="1558"/>
    <n v="93.46"/>
    <n v="91.27"/>
    <n v="39"/>
    <x v="0"/>
    <n v="142198.66"/>
    <n v="16"/>
    <n v="2.5032092426187421E-2"/>
    <n v="3412.0199999999963"/>
    <n v="2.399474087871149E-2"/>
    <x v="1"/>
    <n v="145610.68"/>
    <n v="1"/>
    <n v="0"/>
  </r>
  <r>
    <s v="PO-00060"/>
    <x v="0"/>
    <x v="55"/>
    <d v="2023-08-16T00:00:00"/>
    <x v="2"/>
    <x v="1"/>
    <n v="1892"/>
    <n v="32.99"/>
    <n v="28.81"/>
    <n v="35"/>
    <x v="0"/>
    <n v="54508.52"/>
    <n v="1"/>
    <n v="1.849894291754757E-2"/>
    <n v="7908.5600000000059"/>
    <n v="0.1450885109337037"/>
    <x v="0"/>
    <n v="62417.08"/>
    <n v="1"/>
    <n v="0"/>
  </r>
  <r>
    <s v="PO-00061"/>
    <x v="4"/>
    <x v="56"/>
    <d v="2022-08-01T00:00:00"/>
    <x v="2"/>
    <x v="1"/>
    <n v="696"/>
    <n v="99.59"/>
    <n v="90.18"/>
    <n v="25"/>
    <x v="0"/>
    <n v="62765.280000000006"/>
    <n v="16"/>
    <n v="3.5919540229885055E-2"/>
    <n v="6549.3599999999979"/>
    <n v="0.10434686183189172"/>
    <x v="1"/>
    <n v="69314.64"/>
    <n v="1"/>
    <n v="0"/>
  </r>
  <r>
    <s v="PO-00062"/>
    <x v="1"/>
    <x v="57"/>
    <d v="2024-01-03T00:00:00"/>
    <x v="1"/>
    <x v="2"/>
    <n v="70"/>
    <n v="12.37"/>
    <n v="11.04"/>
    <n v="10"/>
    <x v="0"/>
    <n v="772.8"/>
    <n v="11"/>
    <n v="0.14285714285714285"/>
    <n v="93.100000000000009"/>
    <n v="0.12047101449275364"/>
    <x v="0"/>
    <n v="865.9"/>
    <n v="1"/>
    <n v="0"/>
  </r>
  <r>
    <s v="PO-00063"/>
    <x v="2"/>
    <x v="58"/>
    <d v="2022-03-15T00:00:00"/>
    <x v="3"/>
    <x v="1"/>
    <n v="890"/>
    <n v="98.26"/>
    <n v="93.14"/>
    <n v="49"/>
    <x v="0"/>
    <n v="82894.600000000006"/>
    <n v="2"/>
    <n v="5.5056179775280899E-2"/>
    <n v="4556.8000000000038"/>
    <n v="5.4971011380717243E-2"/>
    <x v="0"/>
    <n v="87451.400000000009"/>
    <n v="1"/>
    <n v="0"/>
  </r>
  <r>
    <s v="PO-00064"/>
    <x v="0"/>
    <x v="59"/>
    <d v="2022-03-04T00:00:00"/>
    <x v="1"/>
    <x v="1"/>
    <n v="216"/>
    <n v="13.95"/>
    <n v="12.31"/>
    <n v="5"/>
    <x v="0"/>
    <n v="2658.96"/>
    <n v="16"/>
    <n v="2.3148148148148147E-2"/>
    <n v="354.23999999999972"/>
    <n v="0.13322502030869202"/>
    <x v="1"/>
    <n v="3013.2"/>
    <n v="1"/>
    <n v="0"/>
  </r>
  <r>
    <s v="PO-00065"/>
    <x v="1"/>
    <x v="60"/>
    <d v="2023-11-12T00:00:00"/>
    <x v="2"/>
    <x v="1"/>
    <n v="1347"/>
    <n v="100.13"/>
    <n v="94.3"/>
    <n v="200"/>
    <x v="0"/>
    <n v="127022.09999999999"/>
    <n v="3"/>
    <n v="0.14847809948032664"/>
    <n v="7853.0099999999975"/>
    <n v="6.1823966065747596E-2"/>
    <x v="0"/>
    <n v="134875.10999999999"/>
    <n v="1"/>
    <n v="0"/>
  </r>
  <r>
    <s v="PO-00066"/>
    <x v="2"/>
    <x v="61"/>
    <d v="2022-08-25T00:00:00"/>
    <x v="0"/>
    <x v="2"/>
    <n v="437"/>
    <n v="59.51"/>
    <n v="56.45"/>
    <n v="25"/>
    <x v="1"/>
    <n v="24668.65"/>
    <n v="3"/>
    <n v="5.7208237986270026E-2"/>
    <n v="1337.219999999998"/>
    <n v="5.4207263064658902E-2"/>
    <x v="0"/>
    <n v="26005.87"/>
    <n v="0"/>
    <n v="1"/>
  </r>
  <r>
    <s v="PO-00067"/>
    <x v="0"/>
    <x v="62"/>
    <d v="2022-10-26T00:00:00"/>
    <x v="4"/>
    <x v="1"/>
    <n v="650"/>
    <n v="103.84"/>
    <n v="88.28"/>
    <n v="12"/>
    <x v="0"/>
    <n v="57382"/>
    <n v="2"/>
    <n v="1.8461538461538463E-2"/>
    <n v="10114.000000000002"/>
    <n v="0.17625736293611241"/>
    <x v="0"/>
    <n v="67496"/>
    <n v="1"/>
    <n v="0"/>
  </r>
  <r>
    <s v="PO-00068"/>
    <x v="3"/>
    <x v="63"/>
    <d v="2022-04-11T00:00:00"/>
    <x v="0"/>
    <x v="1"/>
    <n v="365"/>
    <n v="16.809999999999999"/>
    <n v="15.41"/>
    <n v="38"/>
    <x v="0"/>
    <n v="5624.65"/>
    <n v="19"/>
    <n v="0.10410958904109589"/>
    <n v="510.99999999999949"/>
    <n v="9.0850097339389924E-2"/>
    <x v="1"/>
    <n v="6135.65"/>
    <n v="1"/>
    <n v="0"/>
  </r>
  <r>
    <s v="PO-00069"/>
    <x v="4"/>
    <x v="17"/>
    <m/>
    <x v="3"/>
    <x v="0"/>
    <n v="63"/>
    <n v="61.94"/>
    <n v="53.8"/>
    <n v="0"/>
    <x v="0"/>
    <n v="3389.3999999999996"/>
    <s v=""/>
    <n v="0"/>
    <n v="512.82000000000005"/>
    <n v="0.15130111524163573"/>
    <x v="1"/>
    <n v="3902.22"/>
    <n v="1"/>
    <n v="0"/>
  </r>
  <r>
    <s v="PO-00070"/>
    <x v="0"/>
    <x v="64"/>
    <d v="2022-04-22T00:00:00"/>
    <x v="1"/>
    <x v="1"/>
    <n v="291"/>
    <n v="98.7"/>
    <n v="87.02"/>
    <n v="9"/>
    <x v="0"/>
    <n v="25322.82"/>
    <n v="8"/>
    <n v="3.0927835051546393E-2"/>
    <n v="3398.8800000000019"/>
    <n v="0.13422201792691343"/>
    <x v="0"/>
    <n v="28721.7"/>
    <n v="1"/>
    <n v="0"/>
  </r>
  <r>
    <s v="PO-00071"/>
    <x v="0"/>
    <x v="38"/>
    <d v="2023-02-08T00:00:00"/>
    <x v="1"/>
    <x v="0"/>
    <n v="826"/>
    <n v="60.5"/>
    <n v="57.18"/>
    <n v="18"/>
    <x v="0"/>
    <n v="47230.68"/>
    <n v="14"/>
    <n v="2.1791767554479417E-2"/>
    <n v="2742.32"/>
    <n v="5.8062259531304658E-2"/>
    <x v="0"/>
    <n v="49973"/>
    <n v="1"/>
    <n v="0"/>
  </r>
  <r>
    <s v="PO-00072"/>
    <x v="1"/>
    <x v="29"/>
    <d v="2022-11-01T00:00:00"/>
    <x v="4"/>
    <x v="3"/>
    <n v="1419"/>
    <n v="69.64"/>
    <n v="59.28"/>
    <n v="194"/>
    <x v="0"/>
    <n v="84118.32"/>
    <n v="20"/>
    <n v="0.13671599718111346"/>
    <n v="14700.839999999998"/>
    <n v="0.17476383265856946"/>
    <x v="1"/>
    <n v="98819.16"/>
    <n v="1"/>
    <n v="0"/>
  </r>
  <r>
    <s v="PO-00073"/>
    <x v="2"/>
    <x v="65"/>
    <d v="2023-04-27T00:00:00"/>
    <x v="0"/>
    <x v="1"/>
    <n v="614"/>
    <n v="78.06"/>
    <n v="73.95"/>
    <n v="40"/>
    <x v="0"/>
    <n v="45405.3"/>
    <n v="17"/>
    <n v="6.5146579804560262E-2"/>
    <n v="2523.5399999999995"/>
    <n v="5.5578093306288018E-2"/>
    <x v="1"/>
    <n v="47928.840000000004"/>
    <n v="1"/>
    <n v="0"/>
  </r>
  <r>
    <s v="PO-00074"/>
    <x v="0"/>
    <x v="66"/>
    <d v="2023-10-28T00:00:00"/>
    <x v="4"/>
    <x v="1"/>
    <n v="947"/>
    <n v="56.25"/>
    <n v="54.25"/>
    <n v="19"/>
    <x v="0"/>
    <n v="51374.75"/>
    <n v="15"/>
    <n v="2.0063357972544878E-2"/>
    <n v="1894"/>
    <n v="3.6866359447004608E-2"/>
    <x v="1"/>
    <n v="53268.75"/>
    <n v="1"/>
    <n v="0"/>
  </r>
  <r>
    <s v="PO-00075"/>
    <x v="4"/>
    <x v="67"/>
    <d v="2023-01-28T00:00:00"/>
    <x v="3"/>
    <x v="1"/>
    <n v="1413"/>
    <n v="70.47"/>
    <n v="69.650000000000006"/>
    <n v="0"/>
    <x v="0"/>
    <n v="98415.450000000012"/>
    <n v="19"/>
    <n v="0"/>
    <n v="1158.6599999999903"/>
    <n v="1.1773151471643834E-2"/>
    <x v="1"/>
    <n v="99574.11"/>
    <n v="1"/>
    <n v="0"/>
  </r>
  <r>
    <s v="PO-00076"/>
    <x v="0"/>
    <x v="68"/>
    <m/>
    <x v="0"/>
    <x v="2"/>
    <n v="141"/>
    <n v="64.150000000000006"/>
    <n v="58.32"/>
    <n v="0"/>
    <x v="0"/>
    <n v="8223.1200000000008"/>
    <s v=""/>
    <n v="0"/>
    <n v="822.03000000000077"/>
    <n v="9.996570644718801E-2"/>
    <x v="1"/>
    <n v="9045.1500000000015"/>
    <n v="1"/>
    <n v="0"/>
  </r>
  <r>
    <s v="PO-00077"/>
    <x v="0"/>
    <x v="69"/>
    <d v="2023-02-04T00:00:00"/>
    <x v="0"/>
    <x v="1"/>
    <n v="1440"/>
    <n v="96.57"/>
    <n v="83.87"/>
    <n v="36"/>
    <x v="0"/>
    <n v="120772.8"/>
    <n v="20"/>
    <n v="2.5000000000000001E-2"/>
    <n v="18287.999999999985"/>
    <n v="0.15142482413258601"/>
    <x v="1"/>
    <n v="139060.79999999999"/>
    <n v="1"/>
    <n v="0"/>
  </r>
  <r>
    <s v="PO-00078"/>
    <x v="1"/>
    <x v="70"/>
    <d v="2023-01-03T00:00:00"/>
    <x v="3"/>
    <x v="1"/>
    <n v="1005"/>
    <n v="14.87"/>
    <n v="12.79"/>
    <n v="0"/>
    <x v="1"/>
    <n v="12853.949999999999"/>
    <n v="4"/>
    <n v="0"/>
    <n v="2090.4"/>
    <n v="0.16262705238467554"/>
    <x v="0"/>
    <n v="14944.349999999999"/>
    <n v="0"/>
    <n v="1"/>
  </r>
  <r>
    <s v="PO-00079"/>
    <x v="0"/>
    <x v="71"/>
    <m/>
    <x v="1"/>
    <x v="1"/>
    <n v="1528"/>
    <n v="36.520000000000003"/>
    <n v="33"/>
    <n v="31"/>
    <x v="1"/>
    <n v="50424"/>
    <s v=""/>
    <n v="2.0287958115183247E-2"/>
    <n v="5378.5600000000049"/>
    <n v="0.10666666666666677"/>
    <x v="1"/>
    <n v="55802.560000000005"/>
    <n v="0"/>
    <n v="1"/>
  </r>
  <r>
    <s v="PO-00080"/>
    <x v="2"/>
    <x v="72"/>
    <d v="2023-11-25T00:00:00"/>
    <x v="1"/>
    <x v="1"/>
    <n v="1501"/>
    <n v="106.05"/>
    <n v="100.99"/>
    <n v="77"/>
    <x v="1"/>
    <n v="151585.99"/>
    <n v="7"/>
    <n v="5.1299133910726186E-2"/>
    <n v="7595.0600000000031"/>
    <n v="5.0103970690167365E-2"/>
    <x v="0"/>
    <n v="159181.04999999999"/>
    <n v="0"/>
    <n v="1"/>
  </r>
  <r>
    <s v="PO-00081"/>
    <x v="1"/>
    <x v="73"/>
    <d v="2022-10-04T00:00:00"/>
    <x v="2"/>
    <x v="1"/>
    <n v="558"/>
    <n v="94.18"/>
    <n v="81.400000000000006"/>
    <n v="0"/>
    <x v="1"/>
    <n v="45421.200000000004"/>
    <n v="3"/>
    <n v="0"/>
    <n v="7131.2400000000007"/>
    <n v="0.15700245700245699"/>
    <x v="0"/>
    <n v="52552.44"/>
    <n v="0"/>
    <n v="1"/>
  </r>
  <r>
    <s v="PO-00082"/>
    <x v="3"/>
    <x v="24"/>
    <d v="2023-12-26T00:00:00"/>
    <x v="1"/>
    <x v="1"/>
    <n v="825"/>
    <n v="56.88"/>
    <n v="50.84"/>
    <n v="0"/>
    <x v="0"/>
    <n v="41943"/>
    <n v="6"/>
    <n v="0"/>
    <n v="4982.9999999999991"/>
    <n v="0.11880409126671909"/>
    <x v="0"/>
    <n v="46926"/>
    <n v="1"/>
    <n v="0"/>
  </r>
  <r>
    <s v="PO-00083"/>
    <x v="3"/>
    <x v="74"/>
    <d v="2023-12-07T00:00:00"/>
    <x v="4"/>
    <x v="0"/>
    <n v="84"/>
    <n v="73.38"/>
    <n v="71.42"/>
    <n v="9"/>
    <x v="0"/>
    <n v="5999.28"/>
    <n v="6"/>
    <n v="0.10714285714285714"/>
    <n v="164.63999999999947"/>
    <n v="2.7443293195183335E-2"/>
    <x v="0"/>
    <n v="6163.92"/>
    <n v="1"/>
    <n v="0"/>
  </r>
  <r>
    <s v="PO-00084"/>
    <x v="1"/>
    <x v="75"/>
    <d v="2023-11-10T00:00:00"/>
    <x v="3"/>
    <x v="1"/>
    <n v="255"/>
    <n v="38.64"/>
    <n v="33.590000000000003"/>
    <n v="27"/>
    <x v="1"/>
    <n v="8565.4500000000007"/>
    <n v="15"/>
    <n v="0.10588235294117647"/>
    <n v="1287.7499999999993"/>
    <n v="0.15034236379874955"/>
    <x v="1"/>
    <n v="9853.2000000000007"/>
    <n v="0"/>
    <n v="1"/>
  </r>
  <r>
    <s v="PO-00085"/>
    <x v="2"/>
    <x v="76"/>
    <d v="2022-03-31T00:00:00"/>
    <x v="1"/>
    <x v="1"/>
    <n v="1154"/>
    <n v="27.2"/>
    <n v="26.07"/>
    <n v="58"/>
    <x v="0"/>
    <n v="30084.78"/>
    <n v="16"/>
    <n v="5.0259965337954939E-2"/>
    <n v="1304.0199999999988"/>
    <n v="4.3344840813195208E-2"/>
    <x v="1"/>
    <n v="31388.799999999999"/>
    <n v="1"/>
    <n v="0"/>
  </r>
  <r>
    <s v="PO-00086"/>
    <x v="1"/>
    <x v="77"/>
    <d v="2023-09-24T00:00:00"/>
    <x v="0"/>
    <x v="1"/>
    <n v="1635"/>
    <n v="56.91"/>
    <n v="54.37"/>
    <n v="262"/>
    <x v="1"/>
    <n v="88894.95"/>
    <n v="8"/>
    <n v="0.1602446483180428"/>
    <n v="4152.8999999999987"/>
    <n v="4.6716939488688602E-2"/>
    <x v="0"/>
    <n v="93047.849999999991"/>
    <n v="0"/>
    <n v="1"/>
  </r>
  <r>
    <s v="PO-00087"/>
    <x v="1"/>
    <x v="66"/>
    <d v="2023-10-23T00:00:00"/>
    <x v="3"/>
    <x v="1"/>
    <n v="1945"/>
    <n v="46.19"/>
    <n v="40.119999999999997"/>
    <n v="278"/>
    <x v="1"/>
    <n v="78033.399999999994"/>
    <n v="10"/>
    <n v="0.14293059125964011"/>
    <n v="11806.150000000001"/>
    <n v="0.15129611166500501"/>
    <x v="0"/>
    <n v="89839.549999999988"/>
    <n v="0"/>
    <n v="1"/>
  </r>
  <r>
    <s v="PO-00088"/>
    <x v="1"/>
    <x v="78"/>
    <d v="2022-07-10T00:00:00"/>
    <x v="1"/>
    <x v="2"/>
    <n v="1461"/>
    <n v="64.09"/>
    <n v="63.39"/>
    <n v="228"/>
    <x v="1"/>
    <n v="92612.79"/>
    <n v="15"/>
    <n v="0.15605749486652978"/>
    <n v="1022.7000000000041"/>
    <n v="1.1042751222590359E-2"/>
    <x v="1"/>
    <n v="93635.49"/>
    <n v="0"/>
    <n v="1"/>
  </r>
  <r>
    <s v="PO-00089"/>
    <x v="1"/>
    <x v="79"/>
    <d v="2023-07-09T00:00:00"/>
    <x v="4"/>
    <x v="1"/>
    <n v="1075"/>
    <n v="18.53"/>
    <n v="16.12"/>
    <n v="147"/>
    <x v="0"/>
    <n v="17329"/>
    <n v="8"/>
    <n v="0.13674418604651162"/>
    <n v="2590.75"/>
    <n v="0.14950372208436724"/>
    <x v="0"/>
    <n v="19919.75"/>
    <n v="1"/>
    <n v="0"/>
  </r>
  <r>
    <s v="PO-00090"/>
    <x v="0"/>
    <x v="4"/>
    <m/>
    <x v="2"/>
    <x v="1"/>
    <n v="1071"/>
    <n v="101.6"/>
    <n v="93.91"/>
    <n v="25"/>
    <x v="0"/>
    <n v="100577.61"/>
    <s v=""/>
    <n v="2.3342670401493931E-2"/>
    <n v="8235.989999999998"/>
    <n v="8.1886913001810224E-2"/>
    <x v="1"/>
    <n v="108813.59999999999"/>
    <n v="1"/>
    <n v="0"/>
  </r>
  <r>
    <s v="PO-00091"/>
    <x v="4"/>
    <x v="80"/>
    <d v="2022-07-06T00:00:00"/>
    <x v="2"/>
    <x v="3"/>
    <n v="1463"/>
    <n v="101.23"/>
    <n v="86.17"/>
    <n v="43"/>
    <x v="0"/>
    <n v="126066.71"/>
    <n v="19"/>
    <n v="2.939166097060834E-2"/>
    <n v="22032.780000000002"/>
    <n v="0.17477080190321459"/>
    <x v="1"/>
    <n v="148099.49000000002"/>
    <n v="1"/>
    <n v="0"/>
  </r>
  <r>
    <s v="PO-00092"/>
    <x v="3"/>
    <x v="81"/>
    <d v="2023-04-26T00:00:00"/>
    <x v="3"/>
    <x v="1"/>
    <n v="615"/>
    <n v="78.3"/>
    <n v="73.680000000000007"/>
    <n v="69"/>
    <x v="0"/>
    <n v="45313.200000000004"/>
    <n v="7"/>
    <n v="0.11219512195121951"/>
    <n v="2841.2999999999943"/>
    <n v="6.2703583061889112E-2"/>
    <x v="0"/>
    <n v="48154.5"/>
    <n v="1"/>
    <n v="0"/>
  </r>
  <r>
    <s v="PO-00093"/>
    <x v="2"/>
    <x v="82"/>
    <d v="2023-02-11T00:00:00"/>
    <x v="4"/>
    <x v="1"/>
    <n v="1179"/>
    <n v="61.74"/>
    <n v="56.28"/>
    <n v="0"/>
    <x v="0"/>
    <n v="66354.12"/>
    <n v="18"/>
    <n v="0"/>
    <n v="6437.3400000000011"/>
    <n v="9.7014925373134345E-2"/>
    <x v="1"/>
    <n v="72791.460000000006"/>
    <n v="1"/>
    <n v="0"/>
  </r>
  <r>
    <s v="PO-00094"/>
    <x v="0"/>
    <x v="83"/>
    <d v="2022-10-09T00:00:00"/>
    <x v="4"/>
    <x v="2"/>
    <n v="1845"/>
    <n v="39.56"/>
    <n v="37.630000000000003"/>
    <n v="45"/>
    <x v="0"/>
    <n v="69427.350000000006"/>
    <n v="5"/>
    <n v="2.4390243902439025E-2"/>
    <n v="3560.8499999999995"/>
    <n v="5.128886526707413E-2"/>
    <x v="0"/>
    <n v="72988.2"/>
    <n v="1"/>
    <n v="0"/>
  </r>
  <r>
    <s v="PO-00095"/>
    <x v="3"/>
    <x v="84"/>
    <m/>
    <x v="4"/>
    <x v="0"/>
    <n v="1895"/>
    <n v="91.98"/>
    <n v="86.27"/>
    <n v="170"/>
    <x v="0"/>
    <n v="163481.65"/>
    <s v=""/>
    <n v="8.9709762532981532E-2"/>
    <n v="10820.450000000015"/>
    <n v="6.6187550712878268E-2"/>
    <x v="1"/>
    <n v="174302.1"/>
    <n v="1"/>
    <n v="0"/>
  </r>
  <r>
    <s v="PO-00096"/>
    <x v="4"/>
    <x v="85"/>
    <d v="2023-12-09T00:00:00"/>
    <x v="1"/>
    <x v="2"/>
    <n v="1550"/>
    <n v="79.86"/>
    <n v="69.569999999999993"/>
    <n v="32"/>
    <x v="1"/>
    <n v="107833.49999999999"/>
    <n v="3"/>
    <n v="2.0645161290322581E-2"/>
    <n v="15949.500000000009"/>
    <n v="0.14790858128503676"/>
    <x v="0"/>
    <n v="123783"/>
    <n v="0"/>
    <n v="1"/>
  </r>
  <r>
    <s v="PO-00097"/>
    <x v="1"/>
    <x v="86"/>
    <d v="2023-08-04T00:00:00"/>
    <x v="2"/>
    <x v="1"/>
    <n v="752"/>
    <n v="26.85"/>
    <n v="24.37"/>
    <n v="0"/>
    <x v="1"/>
    <n v="18326.240000000002"/>
    <n v="10"/>
    <n v="0"/>
    <n v="1864.9600000000003"/>
    <n v="0.10176446450553961"/>
    <x v="0"/>
    <n v="20191.2"/>
    <n v="0"/>
    <n v="1"/>
  </r>
  <r>
    <s v="PO-00098"/>
    <x v="4"/>
    <x v="87"/>
    <d v="2022-09-01T00:00:00"/>
    <x v="4"/>
    <x v="1"/>
    <n v="451"/>
    <n v="95.2"/>
    <n v="90.07"/>
    <n v="21"/>
    <x v="0"/>
    <n v="40621.57"/>
    <n v="19"/>
    <n v="4.6563192904656318E-2"/>
    <n v="2313.6300000000042"/>
    <n v="5.6955701121350163E-2"/>
    <x v="1"/>
    <n v="42935.200000000004"/>
    <n v="1"/>
    <n v="0"/>
  </r>
  <r>
    <s v="PO-00099"/>
    <x v="3"/>
    <x v="88"/>
    <m/>
    <x v="0"/>
    <x v="1"/>
    <n v="779"/>
    <n v="93.69"/>
    <n v="90.92"/>
    <n v="66"/>
    <x v="0"/>
    <n v="70826.680000000008"/>
    <s v=""/>
    <n v="8.4724005134788186E-2"/>
    <n v="2157.8299999999967"/>
    <n v="3.0466344038715305E-2"/>
    <x v="1"/>
    <n v="72984.509999999995"/>
    <n v="1"/>
    <n v="0"/>
  </r>
  <r>
    <s v="PO-00100"/>
    <x v="3"/>
    <x v="89"/>
    <d v="2022-12-14T00:00:00"/>
    <x v="1"/>
    <x v="3"/>
    <n v="1629"/>
    <n v="100.26"/>
    <n v="86.44"/>
    <n v="187"/>
    <x v="1"/>
    <n v="140810.76"/>
    <n v="15"/>
    <n v="0.11479435236341314"/>
    <n v="22512.780000000013"/>
    <n v="0.15987968533086541"/>
    <x v="1"/>
    <n v="163323.54"/>
    <n v="0"/>
    <n v="1"/>
  </r>
  <r>
    <s v="PO-00101"/>
    <x v="0"/>
    <x v="90"/>
    <d v="2022-02-22T00:00:00"/>
    <x v="0"/>
    <x v="1"/>
    <n v="211"/>
    <n v="75.69"/>
    <n v="65.400000000000006"/>
    <n v="2"/>
    <x v="0"/>
    <n v="13799.400000000001"/>
    <n v="-5"/>
    <n v="9.4786729857819912E-3"/>
    <n v="2171.1899999999982"/>
    <n v="0.15733944954128426"/>
    <x v="0"/>
    <n v="15970.59"/>
    <n v="1"/>
    <n v="0"/>
  </r>
  <r>
    <s v="PO-00102"/>
    <x v="0"/>
    <x v="91"/>
    <m/>
    <x v="0"/>
    <x v="1"/>
    <n v="251"/>
    <n v="67.489999999999995"/>
    <n v="64.48"/>
    <n v="2"/>
    <x v="0"/>
    <n v="16184.480000000001"/>
    <s v=""/>
    <n v="7.9681274900398405E-3"/>
    <n v="755.50999999999772"/>
    <n v="4.6681141439205813E-2"/>
    <x v="1"/>
    <n v="16939.989999999998"/>
    <n v="1"/>
    <n v="0"/>
  </r>
  <r>
    <s v="PO-00103"/>
    <x v="2"/>
    <x v="13"/>
    <d v="2022-02-18T00:00:00"/>
    <x v="3"/>
    <x v="1"/>
    <n v="1045"/>
    <n v="47.88"/>
    <n v="44.65"/>
    <n v="69"/>
    <x v="0"/>
    <n v="46659.25"/>
    <n v="16"/>
    <n v="6.6028708133971298E-2"/>
    <n v="3375.350000000004"/>
    <n v="7.2340425531914984E-2"/>
    <x v="1"/>
    <n v="50034.600000000006"/>
    <n v="1"/>
    <n v="0"/>
  </r>
  <r>
    <s v="PO-00104"/>
    <x v="1"/>
    <x v="92"/>
    <d v="2022-12-10T00:00:00"/>
    <x v="1"/>
    <x v="1"/>
    <n v="319"/>
    <n v="98.64"/>
    <n v="89.15"/>
    <n v="57"/>
    <x v="0"/>
    <n v="28438.850000000002"/>
    <n v="20"/>
    <n v="0.17868338557993729"/>
    <n v="3027.3099999999986"/>
    <n v="0.10644980370162642"/>
    <x v="1"/>
    <n v="31466.16"/>
    <n v="1"/>
    <n v="0"/>
  </r>
  <r>
    <s v="PO-00105"/>
    <x v="4"/>
    <x v="93"/>
    <d v="2023-03-01T00:00:00"/>
    <x v="0"/>
    <x v="2"/>
    <n v="1936"/>
    <n v="93.66"/>
    <n v="92.24"/>
    <n v="58"/>
    <x v="0"/>
    <n v="178576.63999999998"/>
    <n v="14"/>
    <n v="2.9958677685950414E-2"/>
    <n v="2749.1200000000035"/>
    <n v="1.5394622723330463E-2"/>
    <x v="0"/>
    <n v="181325.75999999998"/>
    <n v="1"/>
    <n v="0"/>
  </r>
  <r>
    <s v="PO-00106"/>
    <x v="1"/>
    <x v="94"/>
    <d v="2022-10-22T00:00:00"/>
    <x v="1"/>
    <x v="0"/>
    <n v="865"/>
    <n v="14.7"/>
    <n v="13.14"/>
    <n v="135"/>
    <x v="1"/>
    <n v="11366.1"/>
    <n v="20"/>
    <n v="0.15606936416184972"/>
    <n v="1349.399999999999"/>
    <n v="0.11872146118721452"/>
    <x v="1"/>
    <n v="12715.5"/>
    <n v="0"/>
    <n v="1"/>
  </r>
  <r>
    <s v="PO-00107"/>
    <x v="4"/>
    <x v="95"/>
    <d v="2022-03-12T00:00:00"/>
    <x v="4"/>
    <x v="1"/>
    <n v="1344"/>
    <n v="12.5"/>
    <n v="10.87"/>
    <n v="44"/>
    <x v="0"/>
    <n v="14609.279999999999"/>
    <n v="3"/>
    <n v="3.273809523809524E-2"/>
    <n v="2190.7200000000012"/>
    <n v="0.14995400183992649"/>
    <x v="0"/>
    <n v="16800"/>
    <n v="1"/>
    <n v="0"/>
  </r>
  <r>
    <s v="PO-00108"/>
    <x v="1"/>
    <x v="96"/>
    <d v="2022-08-24T00:00:00"/>
    <x v="3"/>
    <x v="3"/>
    <n v="505"/>
    <n v="45.42"/>
    <n v="40.369999999999997"/>
    <n v="62"/>
    <x v="0"/>
    <n v="20386.849999999999"/>
    <n v="19"/>
    <n v="0.12277227722772277"/>
    <n v="2550.2500000000023"/>
    <n v="0.12509289076046581"/>
    <x v="1"/>
    <n v="22937.100000000002"/>
    <n v="1"/>
    <n v="0"/>
  </r>
  <r>
    <s v="PO-00109"/>
    <x v="3"/>
    <x v="97"/>
    <d v="2023-08-05T00:00:00"/>
    <x v="2"/>
    <x v="1"/>
    <n v="1535"/>
    <n v="90.83"/>
    <n v="78.28"/>
    <n v="151"/>
    <x v="1"/>
    <n v="120159.8"/>
    <n v="1"/>
    <n v="9.8371335504885998E-2"/>
    <n v="19264.249999999996"/>
    <n v="0.16032192130812464"/>
    <x v="0"/>
    <n v="139424.04999999999"/>
    <n v="0"/>
    <n v="1"/>
  </r>
  <r>
    <s v="PO-00110"/>
    <x v="3"/>
    <x v="98"/>
    <m/>
    <x v="0"/>
    <x v="1"/>
    <n v="1800"/>
    <n v="103.8"/>
    <n v="96.27"/>
    <n v="166"/>
    <x v="0"/>
    <n v="173286"/>
    <s v=""/>
    <n v="9.2222222222222219E-2"/>
    <n v="13554.000000000002"/>
    <n v="7.8217513244001252E-2"/>
    <x v="1"/>
    <n v="186840"/>
    <n v="1"/>
    <n v="0"/>
  </r>
  <r>
    <s v="PO-00111"/>
    <x v="1"/>
    <x v="99"/>
    <d v="2022-08-15T00:00:00"/>
    <x v="3"/>
    <x v="3"/>
    <n v="1325"/>
    <n v="24.36"/>
    <n v="22.75"/>
    <n v="206"/>
    <x v="0"/>
    <n v="30143.75"/>
    <n v="9"/>
    <n v="0.15547169811320755"/>
    <n v="2133.2499999999991"/>
    <n v="7.0769230769230737E-2"/>
    <x v="0"/>
    <n v="32277"/>
    <n v="1"/>
    <n v="0"/>
  </r>
  <r>
    <s v="PO-00112"/>
    <x v="2"/>
    <x v="100"/>
    <d v="2023-11-09T00:00:00"/>
    <x v="3"/>
    <x v="1"/>
    <n v="1066"/>
    <n v="70.45"/>
    <n v="65.88"/>
    <n v="56"/>
    <x v="1"/>
    <n v="70228.08"/>
    <n v="6"/>
    <n v="5.2532833020637902E-2"/>
    <n v="4871.6200000000081"/>
    <n v="6.9368548876745706E-2"/>
    <x v="0"/>
    <n v="75099.7"/>
    <n v="0"/>
    <n v="1"/>
  </r>
  <r>
    <s v="PO-00113"/>
    <x v="3"/>
    <x v="101"/>
    <d v="2023-06-11T00:00:00"/>
    <x v="3"/>
    <x v="1"/>
    <n v="1775"/>
    <n v="47.82"/>
    <n v="45.86"/>
    <n v="180"/>
    <x v="0"/>
    <n v="81401.5"/>
    <n v="15"/>
    <n v="0.10140845070422536"/>
    <n v="3479.0000000000014"/>
    <n v="4.2738770170082881E-2"/>
    <x v="1"/>
    <n v="84880.5"/>
    <n v="1"/>
    <n v="0"/>
  </r>
  <r>
    <s v="PO-00114"/>
    <x v="2"/>
    <x v="102"/>
    <m/>
    <x v="3"/>
    <x v="2"/>
    <n v="345"/>
    <n v="103.62"/>
    <n v="98.09"/>
    <n v="25"/>
    <x v="1"/>
    <n v="33841.050000000003"/>
    <s v=""/>
    <n v="7.2463768115942032E-2"/>
    <n v="1907.8500000000004"/>
    <n v="5.6376796819247635E-2"/>
    <x v="1"/>
    <n v="35748.9"/>
    <n v="0"/>
    <n v="1"/>
  </r>
  <r>
    <s v="PO-00115"/>
    <x v="3"/>
    <x v="103"/>
    <d v="2023-11-09T00:00:00"/>
    <x v="4"/>
    <x v="1"/>
    <n v="1798"/>
    <n v="94.8"/>
    <n v="91.83"/>
    <n v="0"/>
    <x v="0"/>
    <n v="165110.34"/>
    <n v="19"/>
    <n v="0"/>
    <n v="5340.0599999999977"/>
    <n v="3.2342371773930075E-2"/>
    <x v="1"/>
    <n v="170450.4"/>
    <n v="1"/>
    <n v="0"/>
  </r>
  <r>
    <s v="PO-00116"/>
    <x v="0"/>
    <x v="104"/>
    <d v="2023-05-01T00:00:00"/>
    <x v="1"/>
    <x v="1"/>
    <n v="769"/>
    <n v="91.86"/>
    <n v="86.55"/>
    <n v="17"/>
    <x v="0"/>
    <n v="66556.95"/>
    <n v="16"/>
    <n v="2.2106631989596878E-2"/>
    <n v="4083.3900000000017"/>
    <n v="6.1351819757365714E-2"/>
    <x v="1"/>
    <n v="70640.34"/>
    <n v="1"/>
    <n v="0"/>
  </r>
  <r>
    <s v="PO-00117"/>
    <x v="0"/>
    <x v="105"/>
    <m/>
    <x v="2"/>
    <x v="1"/>
    <n v="1822"/>
    <n v="53.23"/>
    <n v="47.49"/>
    <n v="39"/>
    <x v="0"/>
    <n v="86526.78"/>
    <s v=""/>
    <n v="2.1405049396267837E-2"/>
    <n v="10458.279999999992"/>
    <n v="0.12086755106338166"/>
    <x v="1"/>
    <n v="96985.06"/>
    <n v="1"/>
    <n v="0"/>
  </r>
  <r>
    <s v="PO-00118"/>
    <x v="1"/>
    <x v="106"/>
    <d v="2022-10-13T00:00:00"/>
    <x v="2"/>
    <x v="1"/>
    <n v="387"/>
    <n v="49.23"/>
    <n v="45.41"/>
    <n v="61"/>
    <x v="0"/>
    <n v="17573.669999999998"/>
    <n v="14"/>
    <n v="0.15762273901808785"/>
    <n v="1478.3400000000001"/>
    <n v="8.4122439991191386E-2"/>
    <x v="0"/>
    <n v="19052.009999999998"/>
    <n v="1"/>
    <n v="0"/>
  </r>
  <r>
    <s v="PO-00119"/>
    <x v="4"/>
    <x v="6"/>
    <d v="2022-05-27T00:00:00"/>
    <x v="1"/>
    <x v="1"/>
    <n v="928"/>
    <n v="35.299999999999997"/>
    <n v="32.520000000000003"/>
    <n v="26"/>
    <x v="0"/>
    <n v="30178.560000000001"/>
    <n v="4"/>
    <n v="2.8017241379310345E-2"/>
    <n v="2579.8399999999947"/>
    <n v="8.5485854858548399E-2"/>
    <x v="0"/>
    <n v="32758.399999999998"/>
    <n v="1"/>
    <n v="0"/>
  </r>
  <r>
    <s v="PO-00120"/>
    <x v="0"/>
    <x v="107"/>
    <d v="2022-09-21T00:00:00"/>
    <x v="2"/>
    <x v="2"/>
    <n v="1126"/>
    <n v="15.68"/>
    <n v="14.97"/>
    <n v="27"/>
    <x v="0"/>
    <n v="16856.22"/>
    <n v="11"/>
    <n v="2.3978685612788632E-2"/>
    <n v="799.45999999999901"/>
    <n v="4.7428189712758792E-2"/>
    <x v="0"/>
    <n v="17655.68"/>
    <n v="1"/>
    <n v="0"/>
  </r>
  <r>
    <s v="PO-00121"/>
    <x v="3"/>
    <x v="21"/>
    <d v="2023-08-14T00:00:00"/>
    <x v="3"/>
    <x v="0"/>
    <n v="841"/>
    <n v="95.73"/>
    <n v="85.33"/>
    <n v="81"/>
    <x v="0"/>
    <n v="71762.53"/>
    <n v="16"/>
    <n v="9.631391200951249E-2"/>
    <n v="8746.4000000000051"/>
    <n v="0.12187976092816133"/>
    <x v="1"/>
    <n v="80508.930000000008"/>
    <n v="1"/>
    <n v="0"/>
  </r>
  <r>
    <s v="PO-00122"/>
    <x v="3"/>
    <x v="108"/>
    <d v="2023-07-19T00:00:00"/>
    <x v="4"/>
    <x v="1"/>
    <n v="1995"/>
    <n v="90.65"/>
    <n v="77.75"/>
    <n v="206"/>
    <x v="0"/>
    <n v="155111.25"/>
    <n v="13"/>
    <n v="0.10325814536340852"/>
    <n v="25735.500000000011"/>
    <n v="0.16591639871382644"/>
    <x v="0"/>
    <n v="180846.75"/>
    <n v="1"/>
    <n v="0"/>
  </r>
  <r>
    <s v="PO-00123"/>
    <x v="0"/>
    <x v="109"/>
    <d v="2022-10-15T00:00:00"/>
    <x v="3"/>
    <x v="1"/>
    <n v="266"/>
    <n v="103.97"/>
    <n v="101.44"/>
    <n v="6"/>
    <x v="0"/>
    <n v="26983.040000000001"/>
    <n v="18"/>
    <n v="2.2556390977443608E-2"/>
    <n v="672.98000000000025"/>
    <n v="2.4940851735015781E-2"/>
    <x v="1"/>
    <n v="27656.02"/>
    <n v="1"/>
    <n v="0"/>
  </r>
  <r>
    <s v="PO-00124"/>
    <x v="0"/>
    <x v="110"/>
    <d v="2023-08-25T00:00:00"/>
    <x v="3"/>
    <x v="0"/>
    <n v="813"/>
    <n v="109.17"/>
    <n v="107.39"/>
    <n v="14"/>
    <x v="0"/>
    <n v="87308.07"/>
    <n v="3"/>
    <n v="1.7220172201722016E-2"/>
    <n v="1447.140000000001"/>
    <n v="1.6575100102430403E-2"/>
    <x v="0"/>
    <n v="88755.21"/>
    <n v="1"/>
    <n v="0"/>
  </r>
  <r>
    <s v="PO-00125"/>
    <x v="4"/>
    <x v="111"/>
    <d v="2023-03-26T00:00:00"/>
    <x v="4"/>
    <x v="1"/>
    <n v="237"/>
    <n v="64.19"/>
    <n v="59.01"/>
    <n v="7"/>
    <x v="0"/>
    <n v="13985.369999999999"/>
    <n v="11"/>
    <n v="2.9535864978902954E-2"/>
    <n v="1227.6599999999999"/>
    <n v="8.7781731909845784E-2"/>
    <x v="0"/>
    <n v="15213.029999999999"/>
    <n v="1"/>
    <n v="0"/>
  </r>
  <r>
    <s v="PO-00126"/>
    <x v="0"/>
    <x v="112"/>
    <d v="2023-09-03T00:00:00"/>
    <x v="0"/>
    <x v="0"/>
    <n v="429"/>
    <n v="86.73"/>
    <n v="75.09"/>
    <n v="9"/>
    <x v="0"/>
    <n v="32213.61"/>
    <n v="13"/>
    <n v="2.097902097902098E-2"/>
    <n v="4993.5600000000004"/>
    <n v="0.15501398322013585"/>
    <x v="0"/>
    <n v="37207.17"/>
    <n v="1"/>
    <n v="0"/>
  </r>
  <r>
    <s v="PO-00127"/>
    <x v="1"/>
    <x v="113"/>
    <d v="2023-02-14T00:00:00"/>
    <x v="2"/>
    <x v="1"/>
    <n v="542"/>
    <n v="101.21"/>
    <n v="93.11"/>
    <n v="78"/>
    <x v="1"/>
    <n v="50465.62"/>
    <n v="1"/>
    <n v="0.14391143911439114"/>
    <n v="4390.1999999999971"/>
    <n v="8.6993878208570449E-2"/>
    <x v="0"/>
    <n v="54855.82"/>
    <n v="0"/>
    <n v="1"/>
  </r>
  <r>
    <s v="PO-00128"/>
    <x v="4"/>
    <x v="54"/>
    <d v="2023-01-24T00:00:00"/>
    <x v="4"/>
    <x v="1"/>
    <n v="1114"/>
    <n v="91.66"/>
    <n v="85.53"/>
    <n v="35"/>
    <x v="0"/>
    <n v="95280.42"/>
    <n v="18"/>
    <n v="3.141831238779174E-2"/>
    <n v="6828.8199999999952"/>
    <n v="7.167075879808249E-2"/>
    <x v="1"/>
    <n v="102109.23999999999"/>
    <n v="1"/>
    <n v="0"/>
  </r>
  <r>
    <s v="PO-00129"/>
    <x v="0"/>
    <x v="87"/>
    <d v="2022-08-15T00:00:00"/>
    <x v="1"/>
    <x v="1"/>
    <n v="1230"/>
    <n v="33.39"/>
    <n v="30.85"/>
    <n v="26"/>
    <x v="0"/>
    <n v="37945.5"/>
    <n v="2"/>
    <n v="2.113821138211382E-2"/>
    <n v="3124.1999999999989"/>
    <n v="8.2333873581847627E-2"/>
    <x v="0"/>
    <n v="41069.699999999997"/>
    <n v="1"/>
    <n v="0"/>
  </r>
  <r>
    <s v="PO-00130"/>
    <x v="3"/>
    <x v="114"/>
    <d v="2022-06-03T00:00:00"/>
    <x v="1"/>
    <x v="1"/>
    <n v="64"/>
    <n v="51.56"/>
    <n v="50.88"/>
    <n v="5"/>
    <x v="0"/>
    <n v="3256.32"/>
    <n v="12"/>
    <n v="7.8125E-2"/>
    <n v="43.519999999999982"/>
    <n v="1.336477987421383E-2"/>
    <x v="0"/>
    <n v="3299.84"/>
    <n v="1"/>
    <n v="0"/>
  </r>
  <r>
    <s v="PO-00131"/>
    <x v="0"/>
    <x v="115"/>
    <d v="2023-06-22T00:00:00"/>
    <x v="1"/>
    <x v="1"/>
    <n v="1886"/>
    <n v="23.46"/>
    <n v="23.18"/>
    <n v="0"/>
    <x v="0"/>
    <n v="43717.479999999996"/>
    <n v="16"/>
    <n v="0"/>
    <n v="528.0800000000022"/>
    <n v="1.2079378774805919E-2"/>
    <x v="1"/>
    <n v="44245.560000000005"/>
    <n v="1"/>
    <n v="0"/>
  </r>
  <r>
    <s v="PO-00132"/>
    <x v="1"/>
    <x v="116"/>
    <d v="2023-05-23T00:00:00"/>
    <x v="0"/>
    <x v="1"/>
    <n v="114"/>
    <n v="103.53"/>
    <n v="101.54"/>
    <n v="14"/>
    <x v="0"/>
    <n v="11575.560000000001"/>
    <n v="2"/>
    <n v="0.12280701754385964"/>
    <n v="226.85999999999942"/>
    <n v="1.9598187906243791E-2"/>
    <x v="0"/>
    <n v="11802.42"/>
    <n v="1"/>
    <n v="0"/>
  </r>
  <r>
    <s v="PO-00133"/>
    <x v="1"/>
    <x v="117"/>
    <d v="2022-04-22T00:00:00"/>
    <x v="4"/>
    <x v="0"/>
    <n v="1930"/>
    <n v="65.52"/>
    <n v="56.9"/>
    <n v="282"/>
    <x v="0"/>
    <n v="109817"/>
    <n v="18"/>
    <n v="0.14611398963730571"/>
    <n v="16636.599999999995"/>
    <n v="0.15149384885764494"/>
    <x v="1"/>
    <n v="126453.59999999999"/>
    <n v="1"/>
    <n v="0"/>
  </r>
  <r>
    <s v="PO-00134"/>
    <x v="3"/>
    <x v="118"/>
    <d v="2022-02-28T00:00:00"/>
    <x v="0"/>
    <x v="3"/>
    <n v="1912"/>
    <n v="30.73"/>
    <n v="29.82"/>
    <n v="191"/>
    <x v="0"/>
    <n v="57015.840000000004"/>
    <n v="10"/>
    <n v="9.9895397489539753E-2"/>
    <n v="1739.9200000000003"/>
    <n v="3.0516431924882632E-2"/>
    <x v="0"/>
    <n v="58755.76"/>
    <n v="1"/>
    <n v="0"/>
  </r>
  <r>
    <s v="PO-00135"/>
    <x v="4"/>
    <x v="119"/>
    <d v="2022-05-09T00:00:00"/>
    <x v="1"/>
    <x v="1"/>
    <n v="570"/>
    <n v="71.510000000000005"/>
    <n v="66.47"/>
    <n v="0"/>
    <x v="0"/>
    <n v="37887.9"/>
    <n v="16"/>
    <n v="0"/>
    <n v="2872.8000000000034"/>
    <n v="7.5823679855574033E-2"/>
    <x v="1"/>
    <n v="40760.700000000004"/>
    <n v="1"/>
    <n v="0"/>
  </r>
  <r>
    <s v="PO-00136"/>
    <x v="3"/>
    <x v="120"/>
    <d v="2022-06-26T00:00:00"/>
    <x v="3"/>
    <x v="1"/>
    <n v="1417"/>
    <n v="67.27"/>
    <n v="60.62"/>
    <n v="0"/>
    <x v="0"/>
    <n v="85898.54"/>
    <n v="20"/>
    <n v="0"/>
    <n v="9423.0499999999975"/>
    <n v="0.10969976905311776"/>
    <x v="1"/>
    <n v="95321.59"/>
    <n v="1"/>
    <n v="0"/>
  </r>
  <r>
    <s v="PO-00137"/>
    <x v="0"/>
    <x v="121"/>
    <d v="2023-10-11T00:00:00"/>
    <x v="3"/>
    <x v="1"/>
    <n v="1202"/>
    <n v="46.67"/>
    <n v="44.13"/>
    <n v="21"/>
    <x v="1"/>
    <n v="53044.26"/>
    <n v="6"/>
    <n v="1.747088186356073E-2"/>
    <n v="3053.079999999999"/>
    <n v="5.7557217312485816E-2"/>
    <x v="0"/>
    <n v="56097.340000000004"/>
    <n v="0"/>
    <n v="1"/>
  </r>
  <r>
    <s v="PO-00138"/>
    <x v="3"/>
    <x v="31"/>
    <d v="2022-06-14T00:00:00"/>
    <x v="0"/>
    <x v="1"/>
    <n v="697"/>
    <n v="20.73"/>
    <n v="19.829999999999998"/>
    <n v="78"/>
    <x v="1"/>
    <n v="13821.509999999998"/>
    <n v="1"/>
    <n v="0.11190817790530846"/>
    <n v="627.30000000000143"/>
    <n v="4.5385779122541714E-2"/>
    <x v="0"/>
    <n v="14448.81"/>
    <n v="0"/>
    <n v="1"/>
  </r>
  <r>
    <s v="PO-00139"/>
    <x v="4"/>
    <x v="122"/>
    <d v="2023-12-01T00:00:00"/>
    <x v="1"/>
    <x v="1"/>
    <n v="1545"/>
    <n v="78.19"/>
    <n v="76.91"/>
    <n v="42"/>
    <x v="0"/>
    <n v="118825.95"/>
    <n v="3"/>
    <n v="2.7184466019417475E-2"/>
    <n v="1977.6000000000017"/>
    <n v="1.6642829280977781E-2"/>
    <x v="0"/>
    <n v="120803.55"/>
    <n v="1"/>
    <n v="0"/>
  </r>
  <r>
    <s v="PO-00140"/>
    <x v="2"/>
    <x v="12"/>
    <d v="2023-03-13T00:00:00"/>
    <x v="1"/>
    <x v="2"/>
    <n v="1136"/>
    <n v="60.81"/>
    <n v="58.25"/>
    <n v="62"/>
    <x v="0"/>
    <n v="66172"/>
    <n v="4"/>
    <n v="5.4577464788732391E-2"/>
    <n v="2908.1600000000026"/>
    <n v="4.3948497854077291E-2"/>
    <x v="0"/>
    <n v="69080.160000000003"/>
    <n v="1"/>
    <n v="0"/>
  </r>
  <r>
    <s v="PO-00141"/>
    <x v="3"/>
    <x v="123"/>
    <d v="2023-09-07T00:00:00"/>
    <x v="1"/>
    <x v="1"/>
    <n v="1212"/>
    <n v="87.46"/>
    <n v="74.55"/>
    <n v="118"/>
    <x v="1"/>
    <n v="90354.599999999991"/>
    <n v="4"/>
    <n v="9.7359735973597358E-2"/>
    <n v="15646.919999999996"/>
    <n v="0.17317236753856469"/>
    <x v="0"/>
    <n v="106001.51999999999"/>
    <n v="0"/>
    <n v="1"/>
  </r>
  <r>
    <s v="PO-00142"/>
    <x v="4"/>
    <x v="124"/>
    <d v="2022-03-12T00:00:00"/>
    <x v="1"/>
    <x v="1"/>
    <n v="1572"/>
    <n v="57.38"/>
    <n v="49.32"/>
    <n v="40"/>
    <x v="0"/>
    <n v="77531.039999999994"/>
    <n v="5"/>
    <n v="2.5445292620865138E-2"/>
    <n v="12670.320000000003"/>
    <n v="0.16342254663422554"/>
    <x v="0"/>
    <n v="90201.36"/>
    <n v="1"/>
    <n v="0"/>
  </r>
  <r>
    <s v="PO-00143"/>
    <x v="2"/>
    <x v="125"/>
    <d v="2023-02-09T00:00:00"/>
    <x v="4"/>
    <x v="1"/>
    <n v="642"/>
    <n v="91.9"/>
    <n v="81.489999999999995"/>
    <n v="26"/>
    <x v="0"/>
    <n v="52316.579999999994"/>
    <n v="10"/>
    <n v="4.0498442367601244E-2"/>
    <n v="6683.2200000000066"/>
    <n v="0.12774573567308886"/>
    <x v="0"/>
    <n v="58999.8"/>
    <n v="1"/>
    <n v="0"/>
  </r>
  <r>
    <s v="PO-00144"/>
    <x v="4"/>
    <x v="126"/>
    <d v="2023-02-04T00:00:00"/>
    <x v="0"/>
    <x v="1"/>
    <n v="441"/>
    <n v="63.25"/>
    <n v="54.12"/>
    <n v="16"/>
    <x v="0"/>
    <n v="23866.92"/>
    <n v="9"/>
    <n v="3.6281179138321996E-2"/>
    <n v="4026.3300000000013"/>
    <n v="0.16869918699186998"/>
    <x v="0"/>
    <n v="27893.25"/>
    <n v="1"/>
    <n v="0"/>
  </r>
  <r>
    <s v="PO-00145"/>
    <x v="4"/>
    <x v="123"/>
    <d v="2023-09-19T00:00:00"/>
    <x v="0"/>
    <x v="1"/>
    <n v="1748"/>
    <n v="66.53"/>
    <n v="57.11"/>
    <n v="0"/>
    <x v="0"/>
    <n v="99828.28"/>
    <n v="16"/>
    <n v="0"/>
    <n v="16466.160000000003"/>
    <n v="0.16494484328488884"/>
    <x v="1"/>
    <n v="116294.44"/>
    <n v="1"/>
    <n v="0"/>
  </r>
  <r>
    <s v="PO-00146"/>
    <x v="2"/>
    <x v="127"/>
    <m/>
    <x v="4"/>
    <x v="3"/>
    <n v="468"/>
    <n v="95.57"/>
    <n v="91.8"/>
    <n v="24"/>
    <x v="0"/>
    <n v="42962.400000000001"/>
    <s v=""/>
    <n v="5.128205128205128E-2"/>
    <n v="1764.3599999999981"/>
    <n v="4.1067538126361609E-2"/>
    <x v="1"/>
    <n v="44726.759999999995"/>
    <n v="1"/>
    <n v="0"/>
  </r>
  <r>
    <s v="PO-00147"/>
    <x v="3"/>
    <x v="128"/>
    <d v="2023-07-14T00:00:00"/>
    <x v="3"/>
    <x v="1"/>
    <n v="338"/>
    <n v="50.25"/>
    <n v="46.28"/>
    <n v="49"/>
    <x v="1"/>
    <n v="15642.640000000001"/>
    <n v="18"/>
    <n v="0.14497041420118342"/>
    <n v="1341.8599999999997"/>
    <n v="8.5782195332757105E-2"/>
    <x v="1"/>
    <n v="16984.5"/>
    <n v="0"/>
    <n v="1"/>
  </r>
  <r>
    <s v="PO-00148"/>
    <x v="2"/>
    <x v="129"/>
    <d v="2022-09-22T00:00:00"/>
    <x v="0"/>
    <x v="1"/>
    <n v="428"/>
    <n v="22.94"/>
    <n v="21.52"/>
    <n v="26"/>
    <x v="0"/>
    <n v="9210.56"/>
    <n v="7"/>
    <n v="6.0747663551401869E-2"/>
    <n v="607.76000000000067"/>
    <n v="6.5985130111524237E-2"/>
    <x v="0"/>
    <n v="9818.32"/>
    <n v="1"/>
    <n v="0"/>
  </r>
  <r>
    <s v="PO-00149"/>
    <x v="3"/>
    <x v="130"/>
    <m/>
    <x v="2"/>
    <x v="1"/>
    <n v="1846"/>
    <n v="13.72"/>
    <n v="12.62"/>
    <n v="216"/>
    <x v="0"/>
    <n v="23296.519999999997"/>
    <s v=""/>
    <n v="0.11700975081256772"/>
    <n v="2030.6000000000026"/>
    <n v="8.7163232963550052E-2"/>
    <x v="1"/>
    <n v="25327.120000000003"/>
    <n v="1"/>
    <n v="0"/>
  </r>
  <r>
    <s v="PO-00150"/>
    <x v="4"/>
    <x v="131"/>
    <d v="2022-01-17T00:00:00"/>
    <x v="0"/>
    <x v="1"/>
    <n v="1563"/>
    <n v="77.959999999999994"/>
    <n v="70.8"/>
    <n v="41"/>
    <x v="0"/>
    <n v="110660.4"/>
    <n v="5"/>
    <n v="2.6231605886116442E-2"/>
    <n v="11191.079999999994"/>
    <n v="0.10112994350282481"/>
    <x v="0"/>
    <n v="121851.48"/>
    <n v="1"/>
    <n v="0"/>
  </r>
  <r>
    <s v="PO-00151"/>
    <x v="3"/>
    <x v="122"/>
    <d v="2023-12-07T00:00:00"/>
    <x v="0"/>
    <x v="1"/>
    <n v="280"/>
    <n v="73.069999999999993"/>
    <n v="69.290000000000006"/>
    <n v="30"/>
    <x v="0"/>
    <n v="19401.2"/>
    <n v="9"/>
    <n v="0.10714285714285714"/>
    <n v="1058.3999999999965"/>
    <n v="5.4553326598354553E-2"/>
    <x v="0"/>
    <n v="20459.599999999999"/>
    <n v="1"/>
    <n v="0"/>
  </r>
  <r>
    <s v="PO-00152"/>
    <x v="1"/>
    <x v="132"/>
    <d v="2022-05-12T00:00:00"/>
    <x v="3"/>
    <x v="1"/>
    <n v="1067"/>
    <n v="74.47"/>
    <n v="64.16"/>
    <n v="0"/>
    <x v="1"/>
    <n v="68458.720000000001"/>
    <n v="14"/>
    <n v="0"/>
    <n v="11000.770000000002"/>
    <n v="0.16069201995012472"/>
    <x v="0"/>
    <n v="79459.490000000005"/>
    <n v="0"/>
    <n v="1"/>
  </r>
  <r>
    <s v="PO-00153"/>
    <x v="2"/>
    <x v="133"/>
    <d v="2023-12-17T00:00:00"/>
    <x v="4"/>
    <x v="3"/>
    <n v="90"/>
    <n v="32.380000000000003"/>
    <n v="29.96"/>
    <n v="7"/>
    <x v="0"/>
    <n v="2696.4"/>
    <n v="17"/>
    <n v="7.7777777777777779E-2"/>
    <n v="217.80000000000015"/>
    <n v="8.0774365821094846E-2"/>
    <x v="1"/>
    <n v="2914.2000000000003"/>
    <n v="1"/>
    <n v="0"/>
  </r>
  <r>
    <s v="PO-00154"/>
    <x v="2"/>
    <x v="46"/>
    <d v="2023-07-05T00:00:00"/>
    <x v="3"/>
    <x v="1"/>
    <n v="1101"/>
    <n v="24.28"/>
    <n v="22.73"/>
    <n v="59"/>
    <x v="1"/>
    <n v="25025.73"/>
    <n v="1"/>
    <n v="5.3587647593097185E-2"/>
    <n v="1706.5500000000009"/>
    <n v="6.8191816981962194E-2"/>
    <x v="0"/>
    <n v="26732.280000000002"/>
    <n v="0"/>
    <n v="1"/>
  </r>
  <r>
    <s v="PO-00155"/>
    <x v="0"/>
    <x v="73"/>
    <d v="2022-10-11T00:00:00"/>
    <x v="3"/>
    <x v="1"/>
    <n v="184"/>
    <n v="11.82"/>
    <n v="10.51"/>
    <n v="4"/>
    <x v="0"/>
    <n v="1933.84"/>
    <n v="10"/>
    <n v="2.1739130434782608E-2"/>
    <n v="241.04000000000008"/>
    <n v="0.12464319695528073"/>
    <x v="0"/>
    <n v="2174.88"/>
    <n v="1"/>
    <n v="0"/>
  </r>
  <r>
    <s v="PO-00156"/>
    <x v="4"/>
    <x v="134"/>
    <d v="2023-11-07T00:00:00"/>
    <x v="4"/>
    <x v="1"/>
    <n v="250"/>
    <n v="45.92"/>
    <n v="41.02"/>
    <n v="3"/>
    <x v="0"/>
    <n v="10255"/>
    <n v="19"/>
    <n v="1.2E-2"/>
    <n v="1224.9999999999995"/>
    <n v="0.11945392491467573"/>
    <x v="1"/>
    <n v="11480"/>
    <n v="1"/>
    <n v="0"/>
  </r>
  <r>
    <s v="PO-00157"/>
    <x v="4"/>
    <x v="33"/>
    <m/>
    <x v="2"/>
    <x v="0"/>
    <n v="1913"/>
    <n v="66.56"/>
    <n v="61.34"/>
    <n v="61"/>
    <x v="0"/>
    <n v="117343.42000000001"/>
    <s v=""/>
    <n v="3.1887088342916883E-2"/>
    <n v="9985.8599999999969"/>
    <n v="8.5099445712422533E-2"/>
    <x v="1"/>
    <n v="127329.28"/>
    <n v="1"/>
    <n v="0"/>
  </r>
  <r>
    <s v="PO-00158"/>
    <x v="3"/>
    <x v="1"/>
    <d v="2022-04-30T00:00:00"/>
    <x v="4"/>
    <x v="1"/>
    <n v="829"/>
    <n v="45.98"/>
    <n v="40.39"/>
    <n v="0"/>
    <x v="0"/>
    <n v="33483.31"/>
    <n v="5"/>
    <n v="0"/>
    <n v="4634.1099999999969"/>
    <n v="0.13840059420648668"/>
    <x v="0"/>
    <n v="38117.42"/>
    <n v="1"/>
    <n v="0"/>
  </r>
  <r>
    <s v="PO-00159"/>
    <x v="1"/>
    <x v="51"/>
    <d v="2022-11-13T00:00:00"/>
    <x v="3"/>
    <x v="1"/>
    <n v="979"/>
    <n v="51.59"/>
    <n v="49.69"/>
    <n v="148"/>
    <x v="0"/>
    <n v="48646.509999999995"/>
    <n v="16"/>
    <n v="0.15117466802860061"/>
    <n v="1860.1000000000056"/>
    <n v="3.8237069832964501E-2"/>
    <x v="1"/>
    <n v="50506.61"/>
    <n v="1"/>
    <n v="0"/>
  </r>
  <r>
    <s v="PO-00160"/>
    <x v="4"/>
    <x v="135"/>
    <d v="2023-04-09T00:00:00"/>
    <x v="4"/>
    <x v="2"/>
    <n v="1106"/>
    <n v="97.77"/>
    <n v="90.45"/>
    <n v="31"/>
    <x v="0"/>
    <n v="100037.7"/>
    <n v="18"/>
    <n v="2.8028933092224231E-2"/>
    <n v="8095.9199999999928"/>
    <n v="8.092868988391369E-2"/>
    <x v="1"/>
    <n v="108133.62"/>
    <n v="1"/>
    <n v="0"/>
  </r>
  <r>
    <s v="PO-00161"/>
    <x v="1"/>
    <x v="136"/>
    <d v="2022-06-24T00:00:00"/>
    <x v="0"/>
    <x v="3"/>
    <n v="1121"/>
    <n v="42.38"/>
    <n v="38.340000000000003"/>
    <n v="152"/>
    <x v="0"/>
    <n v="42979.140000000007"/>
    <n v="13"/>
    <n v="0.13559322033898305"/>
    <n v="4528.8399999999992"/>
    <n v="0.10537297861241519"/>
    <x v="0"/>
    <n v="47507.98"/>
    <n v="1"/>
    <n v="0"/>
  </r>
  <r>
    <s v="PO-00162"/>
    <x v="0"/>
    <x v="65"/>
    <d v="2023-04-21T00:00:00"/>
    <x v="0"/>
    <x v="1"/>
    <n v="552"/>
    <n v="60.48"/>
    <n v="56.78"/>
    <n v="10"/>
    <x v="0"/>
    <n v="31342.560000000001"/>
    <n v="11"/>
    <n v="1.8115942028985508E-2"/>
    <n v="2042.3999999999976"/>
    <n v="6.5163790066924895E-2"/>
    <x v="0"/>
    <n v="33384.959999999999"/>
    <n v="1"/>
    <n v="0"/>
  </r>
  <r>
    <s v="PO-00163"/>
    <x v="2"/>
    <x v="137"/>
    <d v="2022-01-12T00:00:00"/>
    <x v="2"/>
    <x v="1"/>
    <n v="456"/>
    <n v="80.53"/>
    <n v="77.86"/>
    <n v="26"/>
    <x v="0"/>
    <n v="35504.159999999996"/>
    <n v="8"/>
    <n v="5.701754385964912E-2"/>
    <n v="1217.5200000000009"/>
    <n v="3.4292319547906527E-2"/>
    <x v="0"/>
    <n v="36721.68"/>
    <n v="1"/>
    <n v="0"/>
  </r>
  <r>
    <s v="PO-00164"/>
    <x v="1"/>
    <x v="109"/>
    <d v="2022-10-05T00:00:00"/>
    <x v="2"/>
    <x v="1"/>
    <n v="1647"/>
    <n v="47.52"/>
    <n v="44.92"/>
    <n v="0"/>
    <x v="0"/>
    <n v="73983.240000000005"/>
    <n v="8"/>
    <n v="0"/>
    <n v="4282.2000000000025"/>
    <n v="5.788067675868213E-2"/>
    <x v="0"/>
    <n v="78265.440000000002"/>
    <n v="1"/>
    <n v="0"/>
  </r>
  <r>
    <s v="PO-00165"/>
    <x v="4"/>
    <x v="138"/>
    <d v="2023-06-11T00:00:00"/>
    <x v="4"/>
    <x v="3"/>
    <n v="1801"/>
    <n v="71.27"/>
    <n v="61.24"/>
    <n v="43"/>
    <x v="0"/>
    <n v="110293.24"/>
    <n v="14"/>
    <n v="2.3875624652970572E-2"/>
    <n v="18064.029999999988"/>
    <n v="0.16378184193337675"/>
    <x v="0"/>
    <n v="128357.26999999999"/>
    <n v="1"/>
    <n v="0"/>
  </r>
  <r>
    <s v="PO-00166"/>
    <x v="2"/>
    <x v="139"/>
    <d v="2022-07-18T00:00:00"/>
    <x v="4"/>
    <x v="1"/>
    <n v="854"/>
    <n v="90.24"/>
    <n v="85.53"/>
    <n v="0"/>
    <x v="0"/>
    <n v="73042.62"/>
    <n v="16"/>
    <n v="0"/>
    <n v="4022.3399999999947"/>
    <n v="5.5068397053665313E-2"/>
    <x v="1"/>
    <n v="77064.959999999992"/>
    <n v="1"/>
    <n v="0"/>
  </r>
  <r>
    <s v="PO-00167"/>
    <x v="1"/>
    <x v="140"/>
    <d v="2023-06-17T00:00:00"/>
    <x v="4"/>
    <x v="1"/>
    <n v="148"/>
    <n v="103.57"/>
    <n v="98.62"/>
    <n v="23"/>
    <x v="1"/>
    <n v="14595.76"/>
    <n v="13"/>
    <n v="0.1554054054054054"/>
    <n v="732.59999999999832"/>
    <n v="5.0192658689920795E-2"/>
    <x v="0"/>
    <n v="15328.359999999999"/>
    <n v="0"/>
    <n v="1"/>
  </r>
  <r>
    <s v="PO-00168"/>
    <x v="1"/>
    <x v="141"/>
    <d v="2022-04-24T00:00:00"/>
    <x v="1"/>
    <x v="1"/>
    <n v="733"/>
    <n v="23.59"/>
    <n v="22.85"/>
    <n v="92"/>
    <x v="0"/>
    <n v="16749.05"/>
    <n v="5"/>
    <n v="0.12551159618008187"/>
    <n v="542.41999999999882"/>
    <n v="3.2385120350109341E-2"/>
    <x v="0"/>
    <n v="17291.47"/>
    <n v="1"/>
    <n v="0"/>
  </r>
  <r>
    <s v="PO-00169"/>
    <x v="3"/>
    <x v="142"/>
    <d v="2023-10-05T00:00:00"/>
    <x v="3"/>
    <x v="1"/>
    <n v="1945"/>
    <n v="103.2"/>
    <n v="88.56"/>
    <n v="0"/>
    <x v="0"/>
    <n v="172249.2"/>
    <n v="2"/>
    <n v="0"/>
    <n v="28474.800000000003"/>
    <n v="0.16531165311653118"/>
    <x v="0"/>
    <n v="200724"/>
    <n v="1"/>
    <n v="0"/>
  </r>
  <r>
    <s v="PO-00170"/>
    <x v="2"/>
    <x v="143"/>
    <d v="2022-11-21T00:00:00"/>
    <x v="3"/>
    <x v="1"/>
    <n v="775"/>
    <n v="57"/>
    <n v="49.14"/>
    <n v="48"/>
    <x v="0"/>
    <n v="38083.5"/>
    <n v="19"/>
    <n v="6.1935483870967742E-2"/>
    <n v="6091.5"/>
    <n v="0.15995115995115994"/>
    <x v="1"/>
    <n v="44175"/>
    <n v="1"/>
    <n v="0"/>
  </r>
  <r>
    <s v="PO-00171"/>
    <x v="1"/>
    <x v="0"/>
    <d v="2023-10-21T00:00:00"/>
    <x v="2"/>
    <x v="1"/>
    <n v="1620"/>
    <n v="36.729999999999997"/>
    <n v="33.450000000000003"/>
    <n v="235"/>
    <x v="1"/>
    <n v="54189.000000000007"/>
    <n v="4"/>
    <n v="0.14506172839506173"/>
    <n v="5313.5999999999904"/>
    <n v="9.8056801195814461E-2"/>
    <x v="0"/>
    <n v="59502.6"/>
    <n v="0"/>
    <n v="1"/>
  </r>
  <r>
    <s v="PO-00172"/>
    <x v="3"/>
    <x v="140"/>
    <d v="2023-06-19T00:00:00"/>
    <x v="0"/>
    <x v="1"/>
    <n v="1010"/>
    <n v="55.68"/>
    <n v="50.86"/>
    <n v="0"/>
    <x v="0"/>
    <n v="51368.6"/>
    <n v="15"/>
    <n v="0"/>
    <n v="4868.2000000000007"/>
    <n v="9.4769956744003167E-2"/>
    <x v="1"/>
    <n v="56236.800000000003"/>
    <n v="1"/>
    <n v="0"/>
  </r>
  <r>
    <s v="PO-00173"/>
    <x v="4"/>
    <x v="77"/>
    <d v="2023-10-01T00:00:00"/>
    <x v="0"/>
    <x v="1"/>
    <n v="1812"/>
    <n v="108.02"/>
    <n v="101.02"/>
    <n v="51"/>
    <x v="0"/>
    <n v="183048.24"/>
    <n v="15"/>
    <n v="2.8145695364238412E-2"/>
    <n v="12684"/>
    <n v="6.9293209265491984E-2"/>
    <x v="1"/>
    <n v="195732.24"/>
    <n v="1"/>
    <n v="0"/>
  </r>
  <r>
    <s v="PO-00174"/>
    <x v="1"/>
    <x v="22"/>
    <d v="2022-07-28T00:00:00"/>
    <x v="0"/>
    <x v="1"/>
    <n v="662"/>
    <n v="55.97"/>
    <n v="50"/>
    <n v="100"/>
    <x v="0"/>
    <n v="33100"/>
    <n v="5"/>
    <n v="0.15105740181268881"/>
    <n v="3952.1399999999994"/>
    <n v="0.11939999999999998"/>
    <x v="0"/>
    <n v="37052.14"/>
    <n v="1"/>
    <n v="0"/>
  </r>
  <r>
    <s v="PO-00175"/>
    <x v="3"/>
    <x v="120"/>
    <d v="2022-06-11T00:00:00"/>
    <x v="0"/>
    <x v="3"/>
    <n v="1535"/>
    <n v="40.58"/>
    <n v="38.71"/>
    <n v="165"/>
    <x v="0"/>
    <n v="59419.85"/>
    <n v="5"/>
    <n v="0.10749185667752444"/>
    <n v="2870.4499999999962"/>
    <n v="4.8307930767243545E-2"/>
    <x v="0"/>
    <n v="62290.299999999996"/>
    <n v="1"/>
    <n v="0"/>
  </r>
  <r>
    <s v="PO-00176"/>
    <x v="3"/>
    <x v="144"/>
    <d v="2023-01-27T00:00:00"/>
    <x v="3"/>
    <x v="1"/>
    <n v="692"/>
    <n v="71.03"/>
    <n v="67.739999999999995"/>
    <n v="70"/>
    <x v="0"/>
    <n v="46876.079999999994"/>
    <n v="9"/>
    <n v="0.10115606936416185"/>
    <n v="2276.6800000000044"/>
    <n v="4.8568054325361779E-2"/>
    <x v="0"/>
    <n v="49152.76"/>
    <n v="1"/>
    <n v="0"/>
  </r>
  <r>
    <s v="PO-00177"/>
    <x v="2"/>
    <x v="145"/>
    <d v="2022-06-28T00:00:00"/>
    <x v="1"/>
    <x v="1"/>
    <n v="1842"/>
    <n v="32.4"/>
    <n v="28.08"/>
    <n v="96"/>
    <x v="0"/>
    <n v="51723.359999999993"/>
    <n v="13"/>
    <n v="5.2117263843648211E-2"/>
    <n v="7957.4400000000005"/>
    <n v="0.15384615384615388"/>
    <x v="0"/>
    <n v="59680.799999999996"/>
    <n v="1"/>
    <n v="0"/>
  </r>
  <r>
    <s v="PO-00178"/>
    <x v="3"/>
    <x v="146"/>
    <d v="2023-07-18T00:00:00"/>
    <x v="0"/>
    <x v="0"/>
    <n v="1078"/>
    <n v="18.34"/>
    <n v="17.41"/>
    <n v="102"/>
    <x v="0"/>
    <n v="18767.98"/>
    <n v="11"/>
    <n v="9.4619666048237475E-2"/>
    <n v="1002.5399999999997"/>
    <n v="5.3417576105686378E-2"/>
    <x v="0"/>
    <n v="19770.52"/>
    <n v="1"/>
    <n v="0"/>
  </r>
  <r>
    <s v="PO-00179"/>
    <x v="1"/>
    <x v="147"/>
    <d v="2023-07-16T00:00:00"/>
    <x v="2"/>
    <x v="1"/>
    <n v="1291"/>
    <n v="23.44"/>
    <n v="22.23"/>
    <n v="0"/>
    <x v="0"/>
    <n v="28698.93"/>
    <n v="18"/>
    <n v="0"/>
    <n v="1562.110000000001"/>
    <n v="5.4430949167791308E-2"/>
    <x v="1"/>
    <n v="30261.040000000001"/>
    <n v="1"/>
    <n v="0"/>
  </r>
  <r>
    <s v="PO-00180"/>
    <x v="0"/>
    <x v="148"/>
    <d v="2022-01-12T00:00:00"/>
    <x v="4"/>
    <x v="1"/>
    <n v="552"/>
    <n v="21.52"/>
    <n v="18.79"/>
    <n v="13"/>
    <x v="0"/>
    <n v="10372.08"/>
    <n v="11"/>
    <n v="2.355072463768116E-2"/>
    <n v="1506.9600000000003"/>
    <n v="0.14529004789781802"/>
    <x v="0"/>
    <n v="11879.039999999999"/>
    <n v="1"/>
    <n v="0"/>
  </r>
  <r>
    <s v="PO-00181"/>
    <x v="4"/>
    <x v="149"/>
    <d v="2023-09-22T00:00:00"/>
    <x v="4"/>
    <x v="1"/>
    <n v="816"/>
    <n v="26.04"/>
    <n v="25.61"/>
    <n v="28"/>
    <x v="0"/>
    <n v="20897.759999999998"/>
    <n v="16"/>
    <n v="3.4313725490196081E-2"/>
    <n v="350.87999999999977"/>
    <n v="1.6790316282702059E-2"/>
    <x v="1"/>
    <n v="21248.639999999999"/>
    <n v="1"/>
    <n v="0"/>
  </r>
  <r>
    <s v="PO-00182"/>
    <x v="1"/>
    <x v="150"/>
    <d v="2022-11-30T00:00:00"/>
    <x v="2"/>
    <x v="1"/>
    <n v="447"/>
    <n v="23.62"/>
    <n v="21.81"/>
    <n v="50"/>
    <x v="0"/>
    <n v="9749.07"/>
    <n v="2"/>
    <n v="0.11185682326621924"/>
    <n v="809.07000000000107"/>
    <n v="8.2989454378725472E-2"/>
    <x v="0"/>
    <n v="10558.140000000001"/>
    <n v="1"/>
    <n v="0"/>
  </r>
  <r>
    <s v="PO-00183"/>
    <x v="1"/>
    <x v="151"/>
    <d v="2023-05-24T00:00:00"/>
    <x v="2"/>
    <x v="2"/>
    <n v="920"/>
    <n v="73.09"/>
    <n v="70.14"/>
    <n v="0"/>
    <x v="0"/>
    <n v="64528.800000000003"/>
    <n v="8"/>
    <n v="0"/>
    <n v="2714.0000000000027"/>
    <n v="4.2058739663530124E-2"/>
    <x v="0"/>
    <n v="67242.8"/>
    <n v="1"/>
    <n v="0"/>
  </r>
  <r>
    <s v="PO-00184"/>
    <x v="4"/>
    <x v="152"/>
    <d v="2022-01-30T00:00:00"/>
    <x v="2"/>
    <x v="2"/>
    <n v="844"/>
    <n v="26.37"/>
    <n v="25.08"/>
    <n v="38"/>
    <x v="0"/>
    <n v="21167.519999999997"/>
    <n v="10"/>
    <n v="4.5023696682464455E-2"/>
    <n v="1088.7600000000023"/>
    <n v="5.1435406698564709E-2"/>
    <x v="0"/>
    <n v="22256.280000000002"/>
    <n v="1"/>
    <n v="0"/>
  </r>
  <r>
    <s v="PO-00185"/>
    <x v="4"/>
    <x v="1"/>
    <m/>
    <x v="1"/>
    <x v="1"/>
    <n v="442"/>
    <n v="41.73"/>
    <n v="36.450000000000003"/>
    <n v="15"/>
    <x v="0"/>
    <n v="16110.900000000001"/>
    <s v=""/>
    <n v="3.3936651583710405E-2"/>
    <n v="2333.7599999999975"/>
    <n v="0.14485596707818912"/>
    <x v="1"/>
    <n v="18444.66"/>
    <n v="1"/>
    <n v="0"/>
  </r>
  <r>
    <s v="PO-00186"/>
    <x v="3"/>
    <x v="153"/>
    <d v="2023-01-21T00:00:00"/>
    <x v="4"/>
    <x v="0"/>
    <n v="256"/>
    <n v="96.15"/>
    <n v="83.44"/>
    <n v="26"/>
    <x v="0"/>
    <n v="21360.639999999999"/>
    <n v="14"/>
    <n v="0.1015625"/>
    <n v="3253.760000000002"/>
    <n v="0.15232502396931938"/>
    <x v="0"/>
    <n v="24614.400000000001"/>
    <n v="1"/>
    <n v="0"/>
  </r>
  <r>
    <s v="PO-00187"/>
    <x v="1"/>
    <x v="154"/>
    <m/>
    <x v="1"/>
    <x v="2"/>
    <n v="1088"/>
    <n v="55.29"/>
    <n v="53.04"/>
    <n v="161"/>
    <x v="1"/>
    <n v="57707.519999999997"/>
    <s v=""/>
    <n v="0.14797794117647059"/>
    <n v="2448"/>
    <n v="4.2420814479638011E-2"/>
    <x v="1"/>
    <n v="60155.519999999997"/>
    <n v="0"/>
    <n v="1"/>
  </r>
  <r>
    <s v="PO-00188"/>
    <x v="3"/>
    <x v="155"/>
    <d v="2022-09-07T00:00:00"/>
    <x v="0"/>
    <x v="1"/>
    <n v="1931"/>
    <n v="72.88"/>
    <n v="64.69"/>
    <n v="187"/>
    <x v="0"/>
    <n v="124916.39"/>
    <n v="4"/>
    <n v="9.6841015018125323E-2"/>
    <n v="15814.889999999996"/>
    <n v="0.12660380275158445"/>
    <x v="0"/>
    <n v="140731.28"/>
    <n v="1"/>
    <n v="0"/>
  </r>
  <r>
    <s v="PO-00189"/>
    <x v="2"/>
    <x v="156"/>
    <d v="2022-03-11T00:00:00"/>
    <x v="4"/>
    <x v="1"/>
    <n v="1627"/>
    <n v="25.76"/>
    <n v="25.09"/>
    <n v="74"/>
    <x v="0"/>
    <n v="40821.43"/>
    <n v="10"/>
    <n v="4.5482483097725873E-2"/>
    <n v="1090.0900000000029"/>
    <n v="2.6703866082104493E-2"/>
    <x v="0"/>
    <n v="41911.520000000004"/>
    <n v="1"/>
    <n v="0"/>
  </r>
  <r>
    <s v="PO-00190"/>
    <x v="3"/>
    <x v="157"/>
    <m/>
    <x v="2"/>
    <x v="1"/>
    <n v="941"/>
    <n v="28.4"/>
    <n v="27.21"/>
    <n v="0"/>
    <x v="1"/>
    <n v="25604.61"/>
    <s v=""/>
    <n v="0"/>
    <n v="1119.7899999999979"/>
    <n v="4.3733921352443875E-2"/>
    <x v="1"/>
    <n v="26724.399999999998"/>
    <n v="0"/>
    <n v="1"/>
  </r>
  <r>
    <s v="PO-00191"/>
    <x v="2"/>
    <x v="97"/>
    <d v="2023-08-06T00:00:00"/>
    <x v="1"/>
    <x v="1"/>
    <n v="1534"/>
    <n v="14.98"/>
    <n v="12.79"/>
    <n v="0"/>
    <x v="0"/>
    <n v="19619.859999999997"/>
    <n v="2"/>
    <n v="0"/>
    <n v="3359.4600000000019"/>
    <n v="0.1712275215011729"/>
    <x v="0"/>
    <n v="22979.32"/>
    <n v="1"/>
    <n v="0"/>
  </r>
  <r>
    <s v="PO-00192"/>
    <x v="0"/>
    <x v="49"/>
    <d v="2022-04-03T00:00:00"/>
    <x v="3"/>
    <x v="1"/>
    <n v="1764"/>
    <n v="25.46"/>
    <n v="24.52"/>
    <n v="46"/>
    <x v="0"/>
    <n v="43253.279999999999"/>
    <n v="12"/>
    <n v="2.6077097505668934E-2"/>
    <n v="1658.1600000000024"/>
    <n v="3.8336052202283907E-2"/>
    <x v="0"/>
    <n v="44911.44"/>
    <n v="1"/>
    <n v="0"/>
  </r>
  <r>
    <s v="PO-00193"/>
    <x v="1"/>
    <x v="158"/>
    <d v="2022-04-06T00:00:00"/>
    <x v="4"/>
    <x v="1"/>
    <n v="1648"/>
    <n v="35.42"/>
    <n v="31.46"/>
    <n v="0"/>
    <x v="1"/>
    <n v="51846.080000000002"/>
    <n v="8"/>
    <n v="0"/>
    <n v="6526.0800000000017"/>
    <n v="0.12587412587412591"/>
    <x v="0"/>
    <n v="58372.160000000003"/>
    <n v="0"/>
    <n v="1"/>
  </r>
  <r>
    <s v="PO-00194"/>
    <x v="2"/>
    <x v="159"/>
    <d v="2023-06-01T00:00:00"/>
    <x v="2"/>
    <x v="1"/>
    <n v="913"/>
    <n v="28.01"/>
    <n v="24.06"/>
    <n v="53"/>
    <x v="0"/>
    <n v="21966.78"/>
    <n v="19"/>
    <n v="5.8050383351588172E-2"/>
    <n v="3606.3500000000026"/>
    <n v="0.16417290108063187"/>
    <x v="1"/>
    <n v="25573.13"/>
    <n v="1"/>
    <n v="0"/>
  </r>
  <r>
    <s v="PO-00195"/>
    <x v="0"/>
    <x v="160"/>
    <d v="2022-03-18T00:00:00"/>
    <x v="2"/>
    <x v="0"/>
    <n v="792"/>
    <n v="18.16"/>
    <n v="17.25"/>
    <n v="17"/>
    <x v="0"/>
    <n v="13662"/>
    <n v="6"/>
    <n v="2.1464646464646464E-2"/>
    <n v="720.72000000000014"/>
    <n v="5.2753623188405804E-2"/>
    <x v="0"/>
    <n v="14382.72"/>
    <n v="1"/>
    <n v="0"/>
  </r>
  <r>
    <s v="PO-00196"/>
    <x v="4"/>
    <x v="161"/>
    <d v="2023-07-03T00:00:00"/>
    <x v="0"/>
    <x v="2"/>
    <n v="1314"/>
    <n v="22.63"/>
    <n v="21.06"/>
    <n v="44"/>
    <x v="0"/>
    <n v="27672.839999999997"/>
    <n v="3"/>
    <n v="3.3485540334855401E-2"/>
    <n v="2062.9800000000005"/>
    <n v="7.4548907882241236E-2"/>
    <x v="0"/>
    <n v="29735.82"/>
    <n v="1"/>
    <n v="0"/>
  </r>
  <r>
    <s v="PO-00197"/>
    <x v="3"/>
    <x v="162"/>
    <d v="2022-05-22T00:00:00"/>
    <x v="1"/>
    <x v="1"/>
    <n v="613"/>
    <n v="52.5"/>
    <n v="45.19"/>
    <n v="70"/>
    <x v="0"/>
    <n v="27701.469999999998"/>
    <n v="13"/>
    <n v="0.11419249592169657"/>
    <n v="4481.0300000000016"/>
    <n v="0.1617614516485949"/>
    <x v="0"/>
    <n v="32182.5"/>
    <n v="1"/>
    <n v="0"/>
  </r>
  <r>
    <s v="PO-00198"/>
    <x v="0"/>
    <x v="163"/>
    <d v="2022-05-20T00:00:00"/>
    <x v="0"/>
    <x v="1"/>
    <n v="1070"/>
    <n v="29.14"/>
    <n v="26.63"/>
    <n v="24"/>
    <x v="0"/>
    <n v="28494.1"/>
    <n v="8"/>
    <n v="2.2429906542056073E-2"/>
    <n v="2685.7000000000016"/>
    <n v="9.4254600075103334E-2"/>
    <x v="0"/>
    <n v="31179.8"/>
    <n v="1"/>
    <n v="0"/>
  </r>
  <r>
    <s v="PO-00199"/>
    <x v="2"/>
    <x v="164"/>
    <d v="2023-11-26T00:00:00"/>
    <x v="3"/>
    <x v="2"/>
    <n v="145"/>
    <n v="47.49"/>
    <n v="42.76"/>
    <n v="6"/>
    <x v="0"/>
    <n v="6200.2"/>
    <n v="19"/>
    <n v="4.1379310344827586E-2"/>
    <n v="685.85000000000059"/>
    <n v="0.11061739943872788"/>
    <x v="1"/>
    <n v="6886.05"/>
    <n v="1"/>
    <n v="0"/>
  </r>
  <r>
    <s v="PO-00200"/>
    <x v="1"/>
    <x v="165"/>
    <d v="2023-05-17T00:00:00"/>
    <x v="3"/>
    <x v="1"/>
    <n v="1973"/>
    <n v="59.73"/>
    <n v="54.95"/>
    <n v="291"/>
    <x v="0"/>
    <n v="108416.35"/>
    <n v="15"/>
    <n v="0.14749113025848962"/>
    <n v="9430.9399999999878"/>
    <n v="8.6988171064604075E-2"/>
    <x v="1"/>
    <n v="117847.29"/>
    <n v="1"/>
    <n v="0"/>
  </r>
  <r>
    <s v="PO-00201"/>
    <x v="4"/>
    <x v="166"/>
    <d v="2023-08-01T00:00:00"/>
    <x v="0"/>
    <x v="1"/>
    <n v="1807"/>
    <n v="78.63"/>
    <n v="73.08"/>
    <n v="100"/>
    <x v="0"/>
    <n v="132055.56"/>
    <n v="15"/>
    <n v="5.5340343110127282E-2"/>
    <n v="10028.849999999995"/>
    <n v="7.5944170771756941E-2"/>
    <x v="1"/>
    <n v="142084.41"/>
    <n v="1"/>
    <n v="0"/>
  </r>
  <r>
    <s v="PO-00202"/>
    <x v="4"/>
    <x v="167"/>
    <d v="2022-06-20T00:00:00"/>
    <x v="4"/>
    <x v="1"/>
    <n v="534"/>
    <n v="13.88"/>
    <n v="12.51"/>
    <n v="100"/>
    <x v="0"/>
    <n v="6680.34"/>
    <n v="1"/>
    <n v="0.18726591760299627"/>
    <n v="731.5800000000005"/>
    <n v="0.10951239008792973"/>
    <x v="0"/>
    <n v="7411.92"/>
    <n v="1"/>
    <n v="0"/>
  </r>
  <r>
    <s v="PO-00203"/>
    <x v="0"/>
    <x v="106"/>
    <d v="2022-10-14T00:00:00"/>
    <x v="4"/>
    <x v="1"/>
    <n v="1480"/>
    <n v="85.22"/>
    <n v="75.48"/>
    <n v="100"/>
    <x v="0"/>
    <n v="111710.40000000001"/>
    <n v="15"/>
    <n v="6.7567567567567571E-2"/>
    <n v="14415.199999999992"/>
    <n v="0.12904080551139366"/>
    <x v="1"/>
    <n v="126125.59999999999"/>
    <n v="1"/>
    <n v="0"/>
  </r>
  <r>
    <s v="PO-00204"/>
    <x v="0"/>
    <x v="168"/>
    <m/>
    <x v="0"/>
    <x v="1"/>
    <n v="280"/>
    <n v="72.16"/>
    <n v="62.38"/>
    <n v="100"/>
    <x v="0"/>
    <n v="17466.400000000001"/>
    <s v=""/>
    <n v="0.35714285714285715"/>
    <n v="2738.3999999999983"/>
    <n v="0.15678101955755039"/>
    <x v="1"/>
    <n v="20204.8"/>
    <n v="1"/>
    <n v="0"/>
  </r>
  <r>
    <s v="PO-00205"/>
    <x v="3"/>
    <x v="169"/>
    <d v="2023-09-20T00:00:00"/>
    <x v="0"/>
    <x v="0"/>
    <n v="798"/>
    <n v="19.09"/>
    <n v="17.760000000000002"/>
    <n v="100"/>
    <x v="0"/>
    <n v="14172.480000000001"/>
    <n v="6"/>
    <n v="0.12531328320802004"/>
    <n v="1061.3399999999986"/>
    <n v="7.4887387387387275E-2"/>
    <x v="0"/>
    <n v="15233.82"/>
    <n v="1"/>
    <n v="0"/>
  </r>
  <r>
    <s v="PO-00206"/>
    <x v="4"/>
    <x v="170"/>
    <d v="2023-03-22T00:00:00"/>
    <x v="4"/>
    <x v="1"/>
    <n v="1728"/>
    <n v="94.83"/>
    <n v="90.2"/>
    <n v="100"/>
    <x v="0"/>
    <n v="155865.60000000001"/>
    <n v="12"/>
    <n v="5.7870370370370371E-2"/>
    <n v="8000.6399999999921"/>
    <n v="5.1330376940132982E-2"/>
    <x v="0"/>
    <n v="163866.23999999999"/>
    <n v="1"/>
    <n v="0"/>
  </r>
  <r>
    <s v="PO-00207"/>
    <x v="4"/>
    <x v="96"/>
    <m/>
    <x v="1"/>
    <x v="1"/>
    <n v="1244"/>
    <n v="96.13"/>
    <n v="84.78"/>
    <n v="43"/>
    <x v="0"/>
    <n v="105466.32"/>
    <s v=""/>
    <n v="3.4565916398713828E-2"/>
    <n v="14119.399999999992"/>
    <n v="0.13387591413069111"/>
    <x v="1"/>
    <n v="119585.72"/>
    <n v="1"/>
    <n v="0"/>
  </r>
  <r>
    <s v="PO-00208"/>
    <x v="3"/>
    <x v="146"/>
    <d v="2023-07-21T00:00:00"/>
    <x v="0"/>
    <x v="1"/>
    <n v="590"/>
    <n v="16.89"/>
    <n v="15.56"/>
    <n v="46"/>
    <x v="1"/>
    <n v="9180.4"/>
    <n v="14"/>
    <n v="7.796610169491526E-2"/>
    <n v="784.7"/>
    <n v="8.5475578406169678E-2"/>
    <x v="0"/>
    <n v="9965.1"/>
    <n v="0"/>
    <n v="1"/>
  </r>
  <r>
    <s v="PO-00209"/>
    <x v="1"/>
    <x v="171"/>
    <d v="2023-12-23T00:00:00"/>
    <x v="2"/>
    <x v="1"/>
    <n v="1109"/>
    <n v="38.93"/>
    <n v="33.33"/>
    <n v="152"/>
    <x v="0"/>
    <n v="36962.97"/>
    <n v="15"/>
    <n v="0.13706041478809738"/>
    <n v="6210.4000000000015"/>
    <n v="0.16801680168016805"/>
    <x v="1"/>
    <n v="43173.37"/>
    <n v="1"/>
    <n v="0"/>
  </r>
  <r>
    <s v="PO-00210"/>
    <x v="3"/>
    <x v="172"/>
    <d v="2022-08-01T00:00:00"/>
    <x v="1"/>
    <x v="1"/>
    <n v="574"/>
    <n v="85.03"/>
    <n v="82.55"/>
    <n v="54"/>
    <x v="0"/>
    <n v="47383.7"/>
    <n v="7"/>
    <n v="9.4076655052264813E-2"/>
    <n v="1423.5200000000023"/>
    <n v="3.0042398546335603E-2"/>
    <x v="0"/>
    <n v="48807.22"/>
    <n v="1"/>
    <n v="0"/>
  </r>
  <r>
    <s v="PO-00211"/>
    <x v="2"/>
    <x v="173"/>
    <m/>
    <x v="0"/>
    <x v="1"/>
    <n v="1233"/>
    <n v="86.62"/>
    <n v="76.59"/>
    <n v="65"/>
    <x v="0"/>
    <n v="94435.47"/>
    <s v=""/>
    <n v="5.2716950527169508E-2"/>
    <n v="12366.990000000002"/>
    <n v="0.13095704400052227"/>
    <x v="1"/>
    <n v="106802.46"/>
    <n v="1"/>
    <n v="0"/>
  </r>
  <r>
    <s v="PO-00212"/>
    <x v="2"/>
    <x v="174"/>
    <d v="2022-11-20T00:00:00"/>
    <x v="2"/>
    <x v="1"/>
    <n v="1912"/>
    <n v="27.94"/>
    <n v="25.59"/>
    <n v="83"/>
    <x v="1"/>
    <n v="48928.08"/>
    <n v="4"/>
    <n v="4.3410041841004186E-2"/>
    <n v="4493.2000000000025"/>
    <n v="9.18327471668621E-2"/>
    <x v="0"/>
    <n v="53421.279999999999"/>
    <n v="0"/>
    <n v="1"/>
  </r>
  <r>
    <s v="PO-00213"/>
    <x v="0"/>
    <x v="113"/>
    <d v="2023-03-04T00:00:00"/>
    <x v="2"/>
    <x v="1"/>
    <n v="1772"/>
    <n v="30.72"/>
    <n v="27.76"/>
    <n v="46"/>
    <x v="1"/>
    <n v="49190.720000000001"/>
    <n v="19"/>
    <n v="2.5959367945823927E-2"/>
    <n v="5245.1199999999953"/>
    <n v="0.10662824207492785"/>
    <x v="1"/>
    <n v="54435.839999999997"/>
    <n v="0"/>
    <n v="1"/>
  </r>
  <r>
    <s v="PO-00214"/>
    <x v="3"/>
    <x v="175"/>
    <d v="2023-11-29T00:00:00"/>
    <x v="0"/>
    <x v="1"/>
    <n v="1316"/>
    <n v="48.11"/>
    <n v="41.9"/>
    <n v="135"/>
    <x v="0"/>
    <n v="55140.4"/>
    <n v="10"/>
    <n v="0.10258358662613981"/>
    <n v="8172.3600000000015"/>
    <n v="0.14821002386634846"/>
    <x v="0"/>
    <n v="63312.76"/>
    <n v="1"/>
    <n v="0"/>
  </r>
  <r>
    <s v="PO-00215"/>
    <x v="3"/>
    <x v="23"/>
    <m/>
    <x v="0"/>
    <x v="1"/>
    <n v="1159"/>
    <n v="59.24"/>
    <n v="58.08"/>
    <n v="0"/>
    <x v="0"/>
    <n v="67314.720000000001"/>
    <s v=""/>
    <n v="0"/>
    <n v="1344.4400000000044"/>
    <n v="1.9972451790633672E-2"/>
    <x v="1"/>
    <n v="68659.16"/>
    <n v="1"/>
    <n v="0"/>
  </r>
  <r>
    <s v="PO-00216"/>
    <x v="0"/>
    <x v="144"/>
    <d v="2023-01-31T00:00:00"/>
    <x v="0"/>
    <x v="1"/>
    <n v="1869"/>
    <n v="69.58"/>
    <n v="67.5"/>
    <n v="31"/>
    <x v="0"/>
    <n v="126157.5"/>
    <n v="13"/>
    <n v="1.6586409844836811E-2"/>
    <n v="3887.5199999999968"/>
    <n v="3.0814814814814788E-2"/>
    <x v="0"/>
    <n v="130045.02"/>
    <n v="1"/>
    <n v="0"/>
  </r>
  <r>
    <s v="PO-00217"/>
    <x v="1"/>
    <x v="176"/>
    <d v="2023-04-13T00:00:00"/>
    <x v="2"/>
    <x v="1"/>
    <n v="627"/>
    <n v="46.23"/>
    <n v="42.87"/>
    <n v="0"/>
    <x v="0"/>
    <n v="26879.489999999998"/>
    <n v="19"/>
    <n v="0"/>
    <n v="2106.7199999999998"/>
    <n v="7.8376487053883837E-2"/>
    <x v="1"/>
    <n v="28986.21"/>
    <n v="1"/>
    <n v="0"/>
  </r>
  <r>
    <s v="PO-00218"/>
    <x v="3"/>
    <x v="177"/>
    <d v="2023-06-16T00:00:00"/>
    <x v="3"/>
    <x v="3"/>
    <n v="731"/>
    <n v="56.02"/>
    <n v="54.78"/>
    <n v="70"/>
    <x v="1"/>
    <n v="40044.18"/>
    <n v="2"/>
    <n v="9.575923392612859E-2"/>
    <n v="906.44000000000142"/>
    <n v="2.2635998539613032E-2"/>
    <x v="0"/>
    <n v="40950.620000000003"/>
    <n v="0"/>
    <n v="1"/>
  </r>
  <r>
    <s v="PO-00219"/>
    <x v="4"/>
    <x v="178"/>
    <m/>
    <x v="0"/>
    <x v="0"/>
    <n v="606"/>
    <n v="83.07"/>
    <n v="79.22"/>
    <n v="16"/>
    <x v="0"/>
    <n v="48007.32"/>
    <s v=""/>
    <n v="2.6402640264026403E-2"/>
    <n v="2333.0999999999967"/>
    <n v="4.8598838677101672E-2"/>
    <x v="1"/>
    <n v="50340.42"/>
    <n v="1"/>
    <n v="0"/>
  </r>
  <r>
    <s v="PO-00220"/>
    <x v="3"/>
    <x v="179"/>
    <d v="2022-05-14T00:00:00"/>
    <x v="0"/>
    <x v="1"/>
    <n v="1647"/>
    <n v="13.57"/>
    <n v="12.33"/>
    <n v="157"/>
    <x v="0"/>
    <n v="20307.509999999998"/>
    <n v="10"/>
    <n v="9.532483302975106E-2"/>
    <n v="2042.2800000000004"/>
    <n v="0.10056772100567724"/>
    <x v="0"/>
    <n v="22349.79"/>
    <n v="1"/>
    <n v="0"/>
  </r>
  <r>
    <s v="PO-00221"/>
    <x v="1"/>
    <x v="180"/>
    <d v="2022-09-19T00:00:00"/>
    <x v="1"/>
    <x v="1"/>
    <n v="1062"/>
    <n v="34.03"/>
    <n v="30.46"/>
    <n v="0"/>
    <x v="0"/>
    <n v="32348.52"/>
    <n v="8"/>
    <n v="0"/>
    <n v="3791.34"/>
    <n v="0.11720288903479974"/>
    <x v="0"/>
    <n v="36139.86"/>
    <n v="1"/>
    <n v="0"/>
  </r>
  <r>
    <s v="PO-00222"/>
    <x v="3"/>
    <x v="181"/>
    <d v="2022-08-31T00:00:00"/>
    <x v="0"/>
    <x v="1"/>
    <n v="695"/>
    <n v="76.8"/>
    <n v="69.760000000000005"/>
    <n v="0"/>
    <x v="1"/>
    <n v="48483.200000000004"/>
    <n v="12"/>
    <n v="0"/>
    <n v="4892.7999999999947"/>
    <n v="0.10091743119266043"/>
    <x v="0"/>
    <n v="53376"/>
    <n v="0"/>
    <n v="1"/>
  </r>
  <r>
    <s v="PO-00223"/>
    <x v="4"/>
    <x v="124"/>
    <d v="2022-03-14T00:00:00"/>
    <x v="1"/>
    <x v="1"/>
    <n v="845"/>
    <n v="91.47"/>
    <n v="86.97"/>
    <n v="0"/>
    <x v="0"/>
    <n v="73489.649999999994"/>
    <n v="7"/>
    <n v="0"/>
    <n v="3802.5"/>
    <n v="5.1741979993101074E-2"/>
    <x v="0"/>
    <n v="77292.149999999994"/>
    <n v="1"/>
    <n v="0"/>
  </r>
  <r>
    <s v="PO-00224"/>
    <x v="2"/>
    <x v="182"/>
    <d v="2022-12-18T00:00:00"/>
    <x v="1"/>
    <x v="1"/>
    <n v="1101"/>
    <n v="59.13"/>
    <n v="52.51"/>
    <n v="54"/>
    <x v="0"/>
    <n v="57813.509999999995"/>
    <n v="5"/>
    <n v="4.9046321525885561E-2"/>
    <n v="7288.6200000000053"/>
    <n v="0.12607122452866132"/>
    <x v="0"/>
    <n v="65102.130000000005"/>
    <n v="1"/>
    <n v="0"/>
  </r>
  <r>
    <s v="PO-00225"/>
    <x v="2"/>
    <x v="183"/>
    <d v="2022-01-24T00:00:00"/>
    <x v="3"/>
    <x v="1"/>
    <n v="1693"/>
    <n v="57.89"/>
    <n v="49.84"/>
    <n v="88"/>
    <x v="0"/>
    <n v="84379.12000000001"/>
    <n v="2"/>
    <n v="5.1978735971647962E-2"/>
    <n v="13628.649999999996"/>
    <n v="0.16151685393258419"/>
    <x v="0"/>
    <n v="98007.77"/>
    <n v="1"/>
    <n v="0"/>
  </r>
  <r>
    <s v="PO-00226"/>
    <x v="1"/>
    <x v="184"/>
    <d v="2023-09-10T00:00:00"/>
    <x v="0"/>
    <x v="0"/>
    <n v="1629"/>
    <n v="21.51"/>
    <n v="19.41"/>
    <n v="250"/>
    <x v="1"/>
    <n v="31618.89"/>
    <n v="15"/>
    <n v="0.1534683855125844"/>
    <n v="3420.9000000000024"/>
    <n v="0.10819165378670796"/>
    <x v="1"/>
    <n v="35039.79"/>
    <n v="0"/>
    <n v="1"/>
  </r>
  <r>
    <s v="PO-00227"/>
    <x v="1"/>
    <x v="185"/>
    <d v="2023-08-03T00:00:00"/>
    <x v="3"/>
    <x v="1"/>
    <n v="1413"/>
    <n v="54.79"/>
    <n v="50.42"/>
    <n v="0"/>
    <x v="0"/>
    <n v="71243.460000000006"/>
    <n v="12"/>
    <n v="0"/>
    <n v="6174.8099999999968"/>
    <n v="8.6671955573185189E-2"/>
    <x v="0"/>
    <n v="77418.27"/>
    <n v="1"/>
    <n v="0"/>
  </r>
  <r>
    <s v="PO-00228"/>
    <x v="4"/>
    <x v="186"/>
    <d v="2022-08-27T00:00:00"/>
    <x v="2"/>
    <x v="1"/>
    <n v="1871"/>
    <n v="59.96"/>
    <n v="58.54"/>
    <n v="47"/>
    <x v="0"/>
    <n v="109528.34"/>
    <n v="3"/>
    <n v="2.512025654730091E-2"/>
    <n v="2656.8200000000033"/>
    <n v="2.4256918346429825E-2"/>
    <x v="0"/>
    <n v="112185.16"/>
    <n v="1"/>
    <n v="0"/>
  </r>
  <r>
    <s v="PO-00229"/>
    <x v="2"/>
    <x v="184"/>
    <m/>
    <x v="3"/>
    <x v="1"/>
    <n v="1404"/>
    <n v="34.85"/>
    <n v="30.5"/>
    <n v="78"/>
    <x v="0"/>
    <n v="42822"/>
    <s v=""/>
    <n v="5.5555555555555552E-2"/>
    <n v="6107.4000000000024"/>
    <n v="0.14262295081967219"/>
    <x v="1"/>
    <n v="48929.4"/>
    <n v="1"/>
    <n v="0"/>
  </r>
  <r>
    <s v="PO-00230"/>
    <x v="2"/>
    <x v="26"/>
    <d v="2022-08-28T00:00:00"/>
    <x v="4"/>
    <x v="1"/>
    <n v="1713"/>
    <n v="35.43"/>
    <n v="34.11"/>
    <n v="74"/>
    <x v="0"/>
    <n v="58430.43"/>
    <n v="14"/>
    <n v="4.3199065966141273E-2"/>
    <n v="2261.1600000000003"/>
    <n v="3.8698328935795959E-2"/>
    <x v="0"/>
    <n v="60691.59"/>
    <n v="1"/>
    <n v="0"/>
  </r>
  <r>
    <s v="PO-00231"/>
    <x v="2"/>
    <x v="187"/>
    <d v="2022-01-13T00:00:00"/>
    <x v="4"/>
    <x v="1"/>
    <n v="1579"/>
    <n v="43.96"/>
    <n v="43.41"/>
    <n v="74"/>
    <x v="0"/>
    <n v="68544.39"/>
    <n v="5"/>
    <n v="4.6865104496516784E-2"/>
    <n v="868.45000000000675"/>
    <n v="1.2669891730016224E-2"/>
    <x v="0"/>
    <n v="69412.84"/>
    <n v="1"/>
    <n v="0"/>
  </r>
  <r>
    <s v="PO-00232"/>
    <x v="2"/>
    <x v="188"/>
    <d v="2022-03-26T00:00:00"/>
    <x v="4"/>
    <x v="1"/>
    <n v="1421"/>
    <n v="11.92"/>
    <n v="11.72"/>
    <n v="76"/>
    <x v="0"/>
    <n v="16654.120000000003"/>
    <n v="12"/>
    <n v="5.3483462350457422E-2"/>
    <n v="284.19999999999897"/>
    <n v="1.7064846416382187E-2"/>
    <x v="0"/>
    <n v="16938.32"/>
    <n v="1"/>
    <n v="0"/>
  </r>
  <r>
    <s v="PO-00233"/>
    <x v="4"/>
    <x v="189"/>
    <d v="2024-01-04T00:00:00"/>
    <x v="1"/>
    <x v="1"/>
    <n v="1546"/>
    <n v="43.47"/>
    <n v="37.369999999999997"/>
    <n v="53"/>
    <x v="0"/>
    <n v="57774.02"/>
    <n v="9"/>
    <n v="3.428201811125485E-2"/>
    <n v="9430.6000000000022"/>
    <n v="0.16323253947016328"/>
    <x v="0"/>
    <n v="67204.62"/>
    <n v="1"/>
    <n v="0"/>
  </r>
  <r>
    <s v="PO-00234"/>
    <x v="1"/>
    <x v="190"/>
    <d v="2023-10-18T00:00:00"/>
    <x v="4"/>
    <x v="1"/>
    <n v="1304"/>
    <n v="32.08"/>
    <n v="29.36"/>
    <n v="0"/>
    <x v="0"/>
    <n v="38285.440000000002"/>
    <n v="9"/>
    <n v="0"/>
    <n v="3546.8799999999983"/>
    <n v="9.2643051771117119E-2"/>
    <x v="0"/>
    <n v="41832.32"/>
    <n v="1"/>
    <n v="0"/>
  </r>
  <r>
    <s v="PO-00235"/>
    <x v="1"/>
    <x v="191"/>
    <m/>
    <x v="3"/>
    <x v="1"/>
    <n v="239"/>
    <n v="39.869999999999997"/>
    <n v="35.47"/>
    <n v="32"/>
    <x v="0"/>
    <n v="8477.33"/>
    <s v=""/>
    <n v="0.13389121338912133"/>
    <n v="1051.5999999999997"/>
    <n v="0.12404849168311245"/>
    <x v="1"/>
    <n v="9528.93"/>
    <n v="1"/>
    <n v="0"/>
  </r>
  <r>
    <s v="PO-00236"/>
    <x v="0"/>
    <x v="91"/>
    <m/>
    <x v="0"/>
    <x v="1"/>
    <n v="1298"/>
    <n v="21.51"/>
    <n v="20.83"/>
    <n v="0"/>
    <x v="0"/>
    <n v="27037.339999999997"/>
    <s v=""/>
    <n v="0"/>
    <n v="882.64000000000419"/>
    <n v="3.2645223235717877E-2"/>
    <x v="1"/>
    <n v="27919.980000000003"/>
    <n v="1"/>
    <n v="0"/>
  </r>
  <r>
    <s v="PO-00237"/>
    <x v="1"/>
    <x v="192"/>
    <m/>
    <x v="1"/>
    <x v="1"/>
    <n v="1458"/>
    <n v="91.05"/>
    <n v="81.56"/>
    <n v="220"/>
    <x v="0"/>
    <n v="118914.48000000001"/>
    <s v=""/>
    <n v="0.15089163237311384"/>
    <n v="13836.419999999993"/>
    <n v="0.11635605689063259"/>
    <x v="1"/>
    <n v="132750.9"/>
    <n v="1"/>
    <n v="0"/>
  </r>
  <r>
    <s v="PO-00238"/>
    <x v="2"/>
    <x v="13"/>
    <d v="2022-02-13T00:00:00"/>
    <x v="1"/>
    <x v="1"/>
    <n v="1450"/>
    <n v="63.74"/>
    <n v="59.11"/>
    <n v="71"/>
    <x v="0"/>
    <n v="85709.5"/>
    <n v="11"/>
    <n v="4.8965517241379312E-2"/>
    <n v="6713.5000000000036"/>
    <n v="7.8328540010150605E-2"/>
    <x v="0"/>
    <n v="92423"/>
    <n v="1"/>
    <n v="0"/>
  </r>
  <r>
    <s v="PO-00239"/>
    <x v="3"/>
    <x v="193"/>
    <d v="2022-12-20T00:00:00"/>
    <x v="4"/>
    <x v="1"/>
    <n v="1356"/>
    <n v="75.03"/>
    <n v="63.86"/>
    <n v="131"/>
    <x v="0"/>
    <n v="86594.16"/>
    <n v="15"/>
    <n v="9.6607669616519176E-2"/>
    <n v="15146.520000000002"/>
    <n v="0.17491387409959289"/>
    <x v="1"/>
    <n v="101740.68000000001"/>
    <n v="1"/>
    <n v="0"/>
  </r>
  <r>
    <s v="PO-00240"/>
    <x v="2"/>
    <x v="188"/>
    <m/>
    <x v="2"/>
    <x v="1"/>
    <n v="682"/>
    <n v="81.84"/>
    <n v="71.86"/>
    <n v="40"/>
    <x v="0"/>
    <n v="49008.52"/>
    <s v=""/>
    <n v="5.865102639296188E-2"/>
    <n v="6806.3600000000024"/>
    <n v="0.13888115780684671"/>
    <x v="1"/>
    <n v="55814.880000000005"/>
    <n v="1"/>
    <n v="0"/>
  </r>
  <r>
    <s v="PO-00241"/>
    <x v="2"/>
    <x v="194"/>
    <d v="2023-06-19T00:00:00"/>
    <x v="2"/>
    <x v="1"/>
    <n v="677"/>
    <n v="59.52"/>
    <n v="55.29"/>
    <n v="39"/>
    <x v="0"/>
    <n v="37431.33"/>
    <n v="8"/>
    <n v="5.7607090103397339E-2"/>
    <n v="2863.7100000000028"/>
    <n v="7.6505697232772729E-2"/>
    <x v="0"/>
    <n v="40295.040000000001"/>
    <n v="1"/>
    <n v="0"/>
  </r>
  <r>
    <s v="PO-00242"/>
    <x v="1"/>
    <x v="195"/>
    <d v="2022-09-14T00:00:00"/>
    <x v="0"/>
    <x v="1"/>
    <n v="1022"/>
    <n v="18.54"/>
    <n v="16.55"/>
    <n v="150"/>
    <x v="0"/>
    <n v="16914.100000000002"/>
    <n v="13"/>
    <n v="0.14677103718199608"/>
    <n v="2033.7799999999984"/>
    <n v="0.12024169184290019"/>
    <x v="0"/>
    <n v="18947.879999999997"/>
    <n v="1"/>
    <n v="0"/>
  </r>
  <r>
    <s v="PO-00243"/>
    <x v="0"/>
    <x v="196"/>
    <m/>
    <x v="3"/>
    <x v="1"/>
    <n v="1818"/>
    <n v="60.96"/>
    <n v="57.13"/>
    <n v="41"/>
    <x v="0"/>
    <n v="103862.34000000001"/>
    <s v=""/>
    <n v="2.2552255225522552E-2"/>
    <n v="6962.9399999999969"/>
    <n v="6.7040084018904211E-2"/>
    <x v="1"/>
    <n v="110825.28"/>
    <n v="1"/>
    <n v="0"/>
  </r>
  <r>
    <s v="PO-00244"/>
    <x v="4"/>
    <x v="197"/>
    <d v="2023-11-29T00:00:00"/>
    <x v="4"/>
    <x v="1"/>
    <n v="1332"/>
    <n v="69.73"/>
    <n v="63.8"/>
    <n v="41"/>
    <x v="0"/>
    <n v="84981.599999999991"/>
    <n v="12"/>
    <n v="3.0780780780780781E-2"/>
    <n v="7898.7600000000093"/>
    <n v="9.2946708463949965E-2"/>
    <x v="0"/>
    <n v="92880.36"/>
    <n v="1"/>
    <n v="0"/>
  </r>
  <r>
    <s v="PO-00245"/>
    <x v="3"/>
    <x v="159"/>
    <d v="2023-05-26T00:00:00"/>
    <x v="3"/>
    <x v="1"/>
    <n v="1432"/>
    <n v="83.26"/>
    <n v="77.67"/>
    <n v="174"/>
    <x v="0"/>
    <n v="111223.44"/>
    <n v="13"/>
    <n v="0.12150837988826815"/>
    <n v="8004.8800000000047"/>
    <n v="7.1971160036049989E-2"/>
    <x v="0"/>
    <n v="119228.32"/>
    <n v="1"/>
    <n v="0"/>
  </r>
  <r>
    <s v="PO-00246"/>
    <x v="3"/>
    <x v="198"/>
    <d v="2022-08-26T00:00:00"/>
    <x v="2"/>
    <x v="3"/>
    <n v="759"/>
    <n v="50.56"/>
    <n v="46.47"/>
    <n v="63"/>
    <x v="1"/>
    <n v="35270.729999999996"/>
    <n v="18"/>
    <n v="8.3003952569169967E-2"/>
    <n v="3104.3100000000027"/>
    <n v="8.8013772326232059E-2"/>
    <x v="1"/>
    <n v="38375.040000000001"/>
    <n v="0"/>
    <n v="1"/>
  </r>
  <r>
    <s v="PO-00247"/>
    <x v="0"/>
    <x v="146"/>
    <d v="2023-07-19T00:00:00"/>
    <x v="2"/>
    <x v="1"/>
    <n v="1529"/>
    <n v="23.42"/>
    <n v="22.44"/>
    <n v="30"/>
    <x v="0"/>
    <n v="34310.76"/>
    <n v="12"/>
    <n v="1.962066710268149E-2"/>
    <n v="1498.4200000000008"/>
    <n v="4.3672014260249574E-2"/>
    <x v="0"/>
    <n v="35809.18"/>
    <n v="1"/>
    <n v="0"/>
  </r>
  <r>
    <s v="PO-00248"/>
    <x v="2"/>
    <x v="199"/>
    <d v="2022-05-25T00:00:00"/>
    <x v="4"/>
    <x v="1"/>
    <n v="1484"/>
    <n v="36.25"/>
    <n v="31.8"/>
    <n v="61"/>
    <x v="0"/>
    <n v="47191.200000000004"/>
    <n v="9"/>
    <n v="4.1105121293800541E-2"/>
    <n v="6603.7999999999993"/>
    <n v="0.13993710691823896"/>
    <x v="0"/>
    <n v="53795"/>
    <n v="1"/>
    <n v="0"/>
  </r>
  <r>
    <s v="PO-00249"/>
    <x v="4"/>
    <x v="200"/>
    <d v="2023-08-20T00:00:00"/>
    <x v="2"/>
    <x v="1"/>
    <n v="698"/>
    <n v="46.73"/>
    <n v="45.61"/>
    <n v="15"/>
    <x v="0"/>
    <n v="31835.78"/>
    <n v="12"/>
    <n v="2.148997134670487E-2"/>
    <n v="781.75999999999817"/>
    <n v="2.4556018417013756E-2"/>
    <x v="0"/>
    <n v="32617.539999999997"/>
    <n v="1"/>
    <n v="0"/>
  </r>
  <r>
    <s v="PO-00250"/>
    <x v="4"/>
    <x v="201"/>
    <d v="2023-08-22T00:00:00"/>
    <x v="2"/>
    <x v="3"/>
    <n v="367"/>
    <n v="74.61"/>
    <n v="71.36"/>
    <n v="13"/>
    <x v="0"/>
    <n v="26189.119999999999"/>
    <n v="8"/>
    <n v="3.5422343324250684E-2"/>
    <n v="1192.75"/>
    <n v="4.554372197309417E-2"/>
    <x v="0"/>
    <n v="27381.87"/>
    <n v="1"/>
    <n v="0"/>
  </r>
  <r>
    <s v="PO-00251"/>
    <x v="4"/>
    <x v="202"/>
    <d v="2023-05-20T00:00:00"/>
    <x v="0"/>
    <x v="2"/>
    <n v="1750"/>
    <n v="65.97"/>
    <n v="58.34"/>
    <n v="50"/>
    <x v="0"/>
    <n v="102095"/>
    <n v="20"/>
    <n v="2.8571428571428571E-2"/>
    <n v="13352.499999999993"/>
    <n v="0.13078505313678429"/>
    <x v="1"/>
    <n v="115447.5"/>
    <n v="1"/>
    <n v="0"/>
  </r>
  <r>
    <s v="PO-00252"/>
    <x v="1"/>
    <x v="203"/>
    <d v="2022-09-24T00:00:00"/>
    <x v="0"/>
    <x v="2"/>
    <n v="1298"/>
    <n v="43.73"/>
    <n v="37.21"/>
    <n v="0"/>
    <x v="1"/>
    <n v="48298.58"/>
    <n v="18"/>
    <n v="0"/>
    <n v="8462.9599999999955"/>
    <n v="0.1752217145928513"/>
    <x v="1"/>
    <n v="56761.539999999994"/>
    <n v="0"/>
    <n v="1"/>
  </r>
  <r>
    <s v="PO-00253"/>
    <x v="2"/>
    <x v="202"/>
    <d v="2023-05-20T00:00:00"/>
    <x v="2"/>
    <x v="1"/>
    <n v="1892"/>
    <n v="106.2"/>
    <n v="96.37"/>
    <n v="93"/>
    <x v="0"/>
    <n v="182332.04"/>
    <n v="20"/>
    <n v="4.915433403805497E-2"/>
    <n v="18598.359999999997"/>
    <n v="0.10200269793504201"/>
    <x v="1"/>
    <n v="200930.4"/>
    <n v="1"/>
    <n v="0"/>
  </r>
  <r>
    <s v="PO-00254"/>
    <x v="3"/>
    <x v="204"/>
    <d v="2023-02-24T00:00:00"/>
    <x v="4"/>
    <x v="1"/>
    <n v="1307"/>
    <n v="68.709999999999994"/>
    <n v="60.64"/>
    <n v="141"/>
    <x v="0"/>
    <n v="79256.479999999996"/>
    <n v="3"/>
    <n v="0.10788064269319052"/>
    <n v="10547.489999999991"/>
    <n v="0.13308047493403682"/>
    <x v="0"/>
    <n v="89803.969999999987"/>
    <n v="1"/>
    <n v="0"/>
  </r>
  <r>
    <s v="PO-00255"/>
    <x v="3"/>
    <x v="205"/>
    <d v="2022-07-29T00:00:00"/>
    <x v="4"/>
    <x v="1"/>
    <n v="733"/>
    <n v="32.29"/>
    <n v="29.01"/>
    <n v="78"/>
    <x v="0"/>
    <n v="21264.33"/>
    <n v="15"/>
    <n v="0.10641200545702592"/>
    <n v="2404.2399999999984"/>
    <n v="0.11306446053085134"/>
    <x v="1"/>
    <n v="23668.57"/>
    <n v="1"/>
    <n v="0"/>
  </r>
  <r>
    <s v="PO-00256"/>
    <x v="2"/>
    <x v="206"/>
    <m/>
    <x v="2"/>
    <x v="1"/>
    <n v="713"/>
    <n v="19.45"/>
    <n v="18.82"/>
    <n v="31"/>
    <x v="0"/>
    <n v="13418.66"/>
    <s v=""/>
    <n v="4.3478260869565216E-2"/>
    <n v="449.18999999999932"/>
    <n v="3.3475026567481352E-2"/>
    <x v="1"/>
    <n v="13867.85"/>
    <n v="1"/>
    <n v="0"/>
  </r>
  <r>
    <s v="PO-00257"/>
    <x v="3"/>
    <x v="39"/>
    <d v="2022-04-24T00:00:00"/>
    <x v="2"/>
    <x v="1"/>
    <n v="1900"/>
    <n v="24.11"/>
    <n v="23.45"/>
    <n v="188"/>
    <x v="0"/>
    <n v="44555"/>
    <n v="14"/>
    <n v="9.8947368421052631E-2"/>
    <n v="1254.0000000000002"/>
    <n v="2.8144989339019193E-2"/>
    <x v="0"/>
    <n v="45809"/>
    <n v="1"/>
    <n v="0"/>
  </r>
  <r>
    <s v="PO-00258"/>
    <x v="1"/>
    <x v="207"/>
    <d v="2023-11-08T00:00:00"/>
    <x v="1"/>
    <x v="0"/>
    <n v="1447"/>
    <n v="35.67"/>
    <n v="35.07"/>
    <n v="224"/>
    <x v="1"/>
    <n v="50746.29"/>
    <n v="2"/>
    <n v="0.15480304077401522"/>
    <n v="868.20000000000209"/>
    <n v="1.7108639863130923E-2"/>
    <x v="0"/>
    <n v="51614.490000000005"/>
    <n v="0"/>
    <n v="1"/>
  </r>
  <r>
    <s v="PO-00259"/>
    <x v="4"/>
    <x v="208"/>
    <m/>
    <x v="0"/>
    <x v="1"/>
    <n v="1745"/>
    <n v="26.17"/>
    <n v="22.25"/>
    <n v="55"/>
    <x v="0"/>
    <n v="38826.25"/>
    <s v=""/>
    <n v="3.151862464183381E-2"/>
    <n v="6840.4000000000033"/>
    <n v="0.17617977528089895"/>
    <x v="1"/>
    <n v="45666.65"/>
    <n v="1"/>
    <n v="0"/>
  </r>
  <r>
    <s v="PO-00260"/>
    <x v="3"/>
    <x v="209"/>
    <d v="2023-01-14T00:00:00"/>
    <x v="0"/>
    <x v="1"/>
    <n v="1681"/>
    <n v="28.26"/>
    <n v="26.62"/>
    <n v="143"/>
    <x v="0"/>
    <n v="44748.22"/>
    <n v="16"/>
    <n v="8.5068411659726353E-2"/>
    <n v="2756.8400000000011"/>
    <n v="6.1607813673929396E-2"/>
    <x v="1"/>
    <n v="47505.060000000005"/>
    <n v="1"/>
    <n v="0"/>
  </r>
  <r>
    <s v="PO-00261"/>
    <x v="1"/>
    <x v="170"/>
    <d v="2023-03-18T00:00:00"/>
    <x v="4"/>
    <x v="1"/>
    <n v="1545"/>
    <n v="38.15"/>
    <n v="36.96"/>
    <n v="214"/>
    <x v="0"/>
    <n v="57103.200000000004"/>
    <n v="8"/>
    <n v="0.13851132686084142"/>
    <n v="1838.5499999999965"/>
    <n v="3.2196969696969634E-2"/>
    <x v="0"/>
    <n v="58941.75"/>
    <n v="1"/>
    <n v="0"/>
  </r>
  <r>
    <s v="PO-00262"/>
    <x v="4"/>
    <x v="210"/>
    <d v="2023-03-02T00:00:00"/>
    <x v="3"/>
    <x v="1"/>
    <n v="1306"/>
    <n v="27.27"/>
    <n v="25.96"/>
    <n v="39"/>
    <x v="0"/>
    <n v="33903.760000000002"/>
    <n v="5"/>
    <n v="2.9862174578866769E-2"/>
    <n v="1710.8599999999983"/>
    <n v="5.0462249614791933E-2"/>
    <x v="0"/>
    <n v="35614.620000000003"/>
    <n v="1"/>
    <n v="0"/>
  </r>
  <r>
    <s v="PO-00263"/>
    <x v="2"/>
    <x v="211"/>
    <d v="2023-05-06T00:00:00"/>
    <x v="3"/>
    <x v="1"/>
    <n v="1765"/>
    <n v="97.51"/>
    <n v="84.3"/>
    <n v="65"/>
    <x v="0"/>
    <n v="148789.5"/>
    <n v="12"/>
    <n v="3.6827195467422094E-2"/>
    <n v="23315.650000000012"/>
    <n v="0.15670225385527886"/>
    <x v="0"/>
    <n v="172105.15000000002"/>
    <n v="1"/>
    <n v="0"/>
  </r>
  <r>
    <s v="PO-00264"/>
    <x v="2"/>
    <x v="212"/>
    <d v="2022-03-15T00:00:00"/>
    <x v="2"/>
    <x v="0"/>
    <n v="1186"/>
    <n v="17.309999999999999"/>
    <n v="16"/>
    <n v="64"/>
    <x v="0"/>
    <n v="18976"/>
    <n v="18"/>
    <n v="5.3962900505902189E-2"/>
    <n v="1553.6599999999985"/>
    <n v="8.187499999999992E-2"/>
    <x v="1"/>
    <n v="20529.66"/>
    <n v="1"/>
    <n v="0"/>
  </r>
  <r>
    <s v="PO-00265"/>
    <x v="1"/>
    <x v="213"/>
    <d v="2023-11-26T00:00:00"/>
    <x v="2"/>
    <x v="1"/>
    <n v="1903"/>
    <n v="63.5"/>
    <n v="56.09"/>
    <n v="254"/>
    <x v="0"/>
    <n v="106739.27"/>
    <n v="5"/>
    <n v="0.13347346295323173"/>
    <n v="14101.229999999994"/>
    <n v="0.1321091103583526"/>
    <x v="0"/>
    <n v="120840.5"/>
    <n v="1"/>
    <n v="0"/>
  </r>
  <r>
    <s v="PO-00266"/>
    <x v="1"/>
    <x v="214"/>
    <d v="2023-11-05T00:00:00"/>
    <x v="1"/>
    <x v="1"/>
    <n v="1570"/>
    <n v="52.1"/>
    <n v="47.87"/>
    <n v="0"/>
    <x v="1"/>
    <n v="75155.899999999994"/>
    <n v="4"/>
    <n v="0"/>
    <n v="6641.1000000000058"/>
    <n v="8.836432003342394E-2"/>
    <x v="0"/>
    <n v="81797"/>
    <n v="0"/>
    <n v="1"/>
  </r>
  <r>
    <s v="PO-00267"/>
    <x v="1"/>
    <x v="215"/>
    <d v="2023-11-13T00:00:00"/>
    <x v="1"/>
    <x v="1"/>
    <n v="491"/>
    <n v="108.75"/>
    <n v="93.35"/>
    <n v="0"/>
    <x v="1"/>
    <n v="45834.85"/>
    <n v="20"/>
    <n v="0"/>
    <n v="7561.4000000000024"/>
    <n v="0.16497054097482597"/>
    <x v="1"/>
    <n v="53396.25"/>
    <n v="0"/>
    <n v="1"/>
  </r>
  <r>
    <s v="PO-00268"/>
    <x v="3"/>
    <x v="216"/>
    <d v="2022-04-20T00:00:00"/>
    <x v="4"/>
    <x v="2"/>
    <n v="613"/>
    <n v="20.38"/>
    <n v="20.170000000000002"/>
    <n v="58"/>
    <x v="0"/>
    <n v="12364.210000000001"/>
    <n v="9"/>
    <n v="9.461663947797716E-2"/>
    <n v="128.72999999999834"/>
    <n v="1.0411502231036058E-2"/>
    <x v="0"/>
    <n v="12492.939999999999"/>
    <n v="1"/>
    <n v="0"/>
  </r>
  <r>
    <s v="PO-00269"/>
    <x v="2"/>
    <x v="217"/>
    <d v="2022-03-16T00:00:00"/>
    <x v="3"/>
    <x v="2"/>
    <n v="1341"/>
    <n v="46.27"/>
    <n v="43.94"/>
    <n v="63"/>
    <x v="0"/>
    <n v="58923.539999999994"/>
    <n v="12"/>
    <n v="4.6979865771812082E-2"/>
    <n v="3124.530000000007"/>
    <n v="5.3026854802002858E-2"/>
    <x v="0"/>
    <n v="62048.070000000007"/>
    <n v="1"/>
    <n v="0"/>
  </r>
  <r>
    <s v="PO-00270"/>
    <x v="3"/>
    <x v="218"/>
    <d v="2023-03-04T00:00:00"/>
    <x v="1"/>
    <x v="2"/>
    <n v="1583"/>
    <n v="103.57"/>
    <n v="89.38"/>
    <n v="164"/>
    <x v="0"/>
    <n v="141488.53999999998"/>
    <n v="15"/>
    <n v="0.10360075805432722"/>
    <n v="22462.769999999997"/>
    <n v="0.15876034907138062"/>
    <x v="1"/>
    <n v="163951.31"/>
    <n v="1"/>
    <n v="0"/>
  </r>
  <r>
    <s v="PO-00271"/>
    <x v="3"/>
    <x v="219"/>
    <m/>
    <x v="3"/>
    <x v="0"/>
    <n v="1880"/>
    <n v="92.73"/>
    <n v="90.78"/>
    <n v="173"/>
    <x v="0"/>
    <n v="170666.4"/>
    <s v=""/>
    <n v="9.2021276595744675E-2"/>
    <n v="3666.0000000000055"/>
    <n v="2.1480502313284897E-2"/>
    <x v="1"/>
    <n v="174332.4"/>
    <n v="1"/>
    <n v="0"/>
  </r>
  <r>
    <s v="PO-00272"/>
    <x v="4"/>
    <x v="220"/>
    <d v="2022-04-26T00:00:00"/>
    <x v="1"/>
    <x v="1"/>
    <n v="1459"/>
    <n v="84.79"/>
    <n v="82.72"/>
    <n v="47"/>
    <x v="0"/>
    <n v="120688.48"/>
    <n v="4"/>
    <n v="3.2213845099383139E-2"/>
    <n v="3020.1300000000106"/>
    <n v="2.5024177949709955E-2"/>
    <x v="0"/>
    <n v="123708.61000000002"/>
    <n v="1"/>
    <n v="0"/>
  </r>
  <r>
    <s v="PO-00273"/>
    <x v="1"/>
    <x v="221"/>
    <m/>
    <x v="0"/>
    <x v="1"/>
    <n v="1460"/>
    <n v="34.54"/>
    <n v="31.87"/>
    <n v="208"/>
    <x v="1"/>
    <n v="46530.200000000004"/>
    <s v=""/>
    <n v="0.14246575342465753"/>
    <n v="3898.1999999999971"/>
    <n v="8.3777847505490985E-2"/>
    <x v="1"/>
    <n v="50428.4"/>
    <n v="0"/>
    <n v="1"/>
  </r>
  <r>
    <s v="PO-00274"/>
    <x v="3"/>
    <x v="56"/>
    <d v="2022-07-28T00:00:00"/>
    <x v="2"/>
    <x v="2"/>
    <n v="1186"/>
    <n v="26.14"/>
    <n v="24.78"/>
    <n v="112"/>
    <x v="0"/>
    <n v="29389.08"/>
    <n v="12"/>
    <n v="9.4435075885328831E-2"/>
    <n v="1612.9599999999994"/>
    <n v="5.4882970137207401E-2"/>
    <x v="0"/>
    <n v="31002.04"/>
    <n v="1"/>
    <n v="0"/>
  </r>
  <r>
    <s v="PO-00275"/>
    <x v="4"/>
    <x v="205"/>
    <d v="2022-07-23T00:00:00"/>
    <x v="1"/>
    <x v="3"/>
    <n v="1686"/>
    <n v="72.28"/>
    <n v="65.209999999999994"/>
    <n v="53"/>
    <x v="0"/>
    <n v="109944.05999999998"/>
    <n v="9"/>
    <n v="3.1435349940688022E-2"/>
    <n v="11920.020000000013"/>
    <n v="0.10841895414813693"/>
    <x v="0"/>
    <n v="121864.08"/>
    <n v="1"/>
    <n v="0"/>
  </r>
  <r>
    <s v="PO-00276"/>
    <x v="0"/>
    <x v="46"/>
    <d v="2023-07-08T00:00:00"/>
    <x v="1"/>
    <x v="1"/>
    <n v="1698"/>
    <n v="102.07"/>
    <n v="100.69"/>
    <n v="28"/>
    <x v="0"/>
    <n v="170971.62"/>
    <n v="4"/>
    <n v="1.6489988221436984E-2"/>
    <n v="2343.2399999999925"/>
    <n v="1.3705432515642026E-2"/>
    <x v="0"/>
    <n v="173314.86"/>
    <n v="1"/>
    <n v="0"/>
  </r>
  <r>
    <s v="PO-00277"/>
    <x v="4"/>
    <x v="27"/>
    <m/>
    <x v="4"/>
    <x v="1"/>
    <n v="1001"/>
    <n v="64.62"/>
    <n v="55.7"/>
    <n v="32"/>
    <x v="0"/>
    <n v="55755.700000000004"/>
    <s v=""/>
    <n v="3.1968031968031968E-2"/>
    <n v="8928.9200000000019"/>
    <n v="0.16014362657091563"/>
    <x v="1"/>
    <n v="64684.62"/>
    <n v="1"/>
    <n v="0"/>
  </r>
  <r>
    <s v="PO-00278"/>
    <x v="0"/>
    <x v="222"/>
    <d v="2022-05-27T00:00:00"/>
    <x v="0"/>
    <x v="1"/>
    <n v="1154"/>
    <n v="62.67"/>
    <n v="54.11"/>
    <n v="25"/>
    <x v="0"/>
    <n v="62442.94"/>
    <n v="3"/>
    <n v="2.1663778162911613E-2"/>
    <n v="9878.2400000000034"/>
    <n v="0.15819626686379601"/>
    <x v="0"/>
    <n v="72321.180000000008"/>
    <n v="1"/>
    <n v="0"/>
  </r>
  <r>
    <s v="PO-00279"/>
    <x v="0"/>
    <x v="12"/>
    <d v="2023-03-29T00:00:00"/>
    <x v="2"/>
    <x v="0"/>
    <n v="748"/>
    <n v="37.659999999999997"/>
    <n v="32.71"/>
    <n v="0"/>
    <x v="1"/>
    <n v="24467.08"/>
    <n v="20"/>
    <n v="0"/>
    <n v="3702.5999999999967"/>
    <n v="0.15132986854173022"/>
    <x v="1"/>
    <n v="28169.679999999997"/>
    <n v="0"/>
    <n v="1"/>
  </r>
  <r>
    <s v="PO-00280"/>
    <x v="0"/>
    <x v="223"/>
    <m/>
    <x v="0"/>
    <x v="1"/>
    <n v="162"/>
    <n v="81.63"/>
    <n v="78.760000000000005"/>
    <n v="2"/>
    <x v="0"/>
    <n v="12759.12"/>
    <s v=""/>
    <n v="1.2345679012345678E-2"/>
    <n v="464.93999999999846"/>
    <n v="3.6439817166074029E-2"/>
    <x v="1"/>
    <n v="13224.06"/>
    <n v="1"/>
    <n v="0"/>
  </r>
  <r>
    <s v="PO-00281"/>
    <x v="0"/>
    <x v="196"/>
    <d v="2022-10-24T00:00:00"/>
    <x v="2"/>
    <x v="1"/>
    <n v="51"/>
    <n v="28.04"/>
    <n v="24.13"/>
    <n v="0"/>
    <x v="0"/>
    <n v="1230.6299999999999"/>
    <n v="11"/>
    <n v="0"/>
    <n v="199.41"/>
    <n v="0.16203895565685869"/>
    <x v="0"/>
    <n v="1430.04"/>
    <n v="1"/>
    <n v="0"/>
  </r>
  <r>
    <s v="PO-00282"/>
    <x v="1"/>
    <x v="81"/>
    <d v="2023-04-24T00:00:00"/>
    <x v="0"/>
    <x v="1"/>
    <n v="691"/>
    <n v="42.07"/>
    <n v="39.1"/>
    <n v="106"/>
    <x v="0"/>
    <n v="27018.100000000002"/>
    <n v="5"/>
    <n v="0.15340086830680175"/>
    <n v="2052.2699999999991"/>
    <n v="7.5959079283887426E-2"/>
    <x v="0"/>
    <n v="29070.37"/>
    <n v="1"/>
    <n v="0"/>
  </r>
  <r>
    <s v="PO-00283"/>
    <x v="3"/>
    <x v="224"/>
    <d v="2022-09-20T00:00:00"/>
    <x v="0"/>
    <x v="1"/>
    <n v="269"/>
    <n v="50.22"/>
    <n v="45.75"/>
    <n v="32"/>
    <x v="1"/>
    <n v="12306.75"/>
    <n v="7"/>
    <n v="0.11895910780669144"/>
    <n v="1202.4299999999996"/>
    <n v="9.7704918032786858E-2"/>
    <x v="0"/>
    <n v="13509.18"/>
    <n v="0"/>
    <n v="1"/>
  </r>
  <r>
    <s v="PO-00284"/>
    <x v="3"/>
    <x v="225"/>
    <d v="2022-04-06T00:00:00"/>
    <x v="4"/>
    <x v="3"/>
    <n v="1639"/>
    <n v="56.24"/>
    <n v="55.4"/>
    <n v="147"/>
    <x v="0"/>
    <n v="90800.599999999991"/>
    <n v="18"/>
    <n v="8.9688834655277605E-2"/>
    <n v="1376.7600000000057"/>
    <n v="1.5162454873646274E-2"/>
    <x v="1"/>
    <n v="92177.36"/>
    <n v="1"/>
    <n v="0"/>
  </r>
  <r>
    <s v="PO-00285"/>
    <x v="0"/>
    <x v="226"/>
    <d v="2023-04-06T00:00:00"/>
    <x v="3"/>
    <x v="1"/>
    <n v="904"/>
    <n v="34.04"/>
    <n v="30.06"/>
    <n v="26"/>
    <x v="0"/>
    <n v="27174.239999999998"/>
    <n v="7"/>
    <n v="2.8761061946902654E-2"/>
    <n v="3597.9200000000005"/>
    <n v="0.13240186294078513"/>
    <x v="0"/>
    <n v="30772.16"/>
    <n v="1"/>
    <n v="0"/>
  </r>
  <r>
    <s v="PO-00286"/>
    <x v="3"/>
    <x v="227"/>
    <d v="2023-07-26T00:00:00"/>
    <x v="0"/>
    <x v="1"/>
    <n v="1809"/>
    <n v="22.17"/>
    <n v="19.649999999999999"/>
    <n v="0"/>
    <x v="0"/>
    <n v="35546.85"/>
    <n v="8"/>
    <n v="0"/>
    <n v="4558.6800000000057"/>
    <n v="0.12824427480916048"/>
    <x v="0"/>
    <n v="40105.530000000006"/>
    <n v="1"/>
    <n v="0"/>
  </r>
  <r>
    <s v="PO-00287"/>
    <x v="0"/>
    <x v="216"/>
    <d v="2022-04-16T00:00:00"/>
    <x v="2"/>
    <x v="1"/>
    <n v="1298"/>
    <n v="65.930000000000007"/>
    <n v="58.95"/>
    <n v="0"/>
    <x v="0"/>
    <n v="76517.100000000006"/>
    <n v="5"/>
    <n v="0"/>
    <n v="9060.0400000000045"/>
    <n v="0.1184054283290925"/>
    <x v="0"/>
    <n v="85577.140000000014"/>
    <n v="1"/>
    <n v="0"/>
  </r>
  <r>
    <s v="PO-00288"/>
    <x v="3"/>
    <x v="228"/>
    <d v="2022-03-13T00:00:00"/>
    <x v="2"/>
    <x v="1"/>
    <n v="434"/>
    <n v="36.159999999999997"/>
    <n v="34.79"/>
    <n v="41"/>
    <x v="0"/>
    <n v="15098.859999999999"/>
    <n v="20"/>
    <n v="9.4470046082949302E-2"/>
    <n v="594.5799999999989"/>
    <n v="3.9379131934463858E-2"/>
    <x v="1"/>
    <n v="15693.439999999999"/>
    <n v="1"/>
    <n v="0"/>
  </r>
  <r>
    <s v="PO-00289"/>
    <x v="4"/>
    <x v="229"/>
    <d v="2023-11-04T00:00:00"/>
    <x v="4"/>
    <x v="1"/>
    <n v="1476"/>
    <n v="68.849999999999994"/>
    <n v="65.28"/>
    <n v="43"/>
    <x v="0"/>
    <n v="96353.279999999999"/>
    <n v="5"/>
    <n v="2.9132791327913278E-2"/>
    <n v="5269.3199999999897"/>
    <n v="5.4687499999999896E-2"/>
    <x v="0"/>
    <n v="101622.59999999999"/>
    <n v="1"/>
    <n v="0"/>
  </r>
  <r>
    <s v="PO-00290"/>
    <x v="1"/>
    <x v="230"/>
    <m/>
    <x v="3"/>
    <x v="2"/>
    <n v="1711"/>
    <n v="26.04"/>
    <n v="24.81"/>
    <n v="290"/>
    <x v="0"/>
    <n v="42449.909999999996"/>
    <s v=""/>
    <n v="0.16949152542372881"/>
    <n v="2104.5300000000007"/>
    <n v="4.9576783555018156E-2"/>
    <x v="1"/>
    <n v="44554.439999999995"/>
    <n v="1"/>
    <n v="0"/>
  </r>
  <r>
    <s v="PO-00291"/>
    <x v="2"/>
    <x v="231"/>
    <d v="2022-01-22T00:00:00"/>
    <x v="2"/>
    <x v="1"/>
    <n v="1203"/>
    <n v="53.3"/>
    <n v="47.68"/>
    <n v="49"/>
    <x v="0"/>
    <n v="57359.040000000001"/>
    <n v="6"/>
    <n v="4.0731504571903575E-2"/>
    <n v="6760.8599999999969"/>
    <n v="0.11786912751677847"/>
    <x v="0"/>
    <n v="64119.899999999994"/>
    <n v="1"/>
    <n v="0"/>
  </r>
  <r>
    <s v="PO-00292"/>
    <x v="0"/>
    <x v="15"/>
    <d v="2022-04-07T00:00:00"/>
    <x v="4"/>
    <x v="1"/>
    <n v="1126"/>
    <n v="58.8"/>
    <n v="52.22"/>
    <n v="0"/>
    <x v="0"/>
    <n v="58799.72"/>
    <n v="1"/>
    <n v="0"/>
    <n v="7409.0799999999981"/>
    <n v="0.12600536193029488"/>
    <x v="0"/>
    <n v="66208.800000000003"/>
    <n v="1"/>
    <n v="0"/>
  </r>
  <r>
    <s v="PO-00293"/>
    <x v="4"/>
    <x v="232"/>
    <d v="2022-09-12T00:00:00"/>
    <x v="2"/>
    <x v="1"/>
    <n v="1757"/>
    <n v="15.18"/>
    <n v="13.06"/>
    <n v="63"/>
    <x v="0"/>
    <n v="22946.420000000002"/>
    <n v="12"/>
    <n v="3.5856573705179286E-2"/>
    <n v="3724.8399999999988"/>
    <n v="0.16232771822358338"/>
    <x v="0"/>
    <n v="26671.26"/>
    <n v="1"/>
    <n v="0"/>
  </r>
  <r>
    <s v="PO-00294"/>
    <x v="4"/>
    <x v="233"/>
    <d v="2022-06-28T00:00:00"/>
    <x v="1"/>
    <x v="1"/>
    <n v="779"/>
    <n v="41.3"/>
    <n v="36.28"/>
    <n v="20"/>
    <x v="0"/>
    <n v="28262.120000000003"/>
    <n v="8"/>
    <n v="2.5673940949935817E-2"/>
    <n v="3910.5799999999967"/>
    <n v="0.13836824696802633"/>
    <x v="0"/>
    <n v="32172.699999999997"/>
    <n v="1"/>
    <n v="0"/>
  </r>
  <r>
    <s v="PO-00295"/>
    <x v="1"/>
    <x v="204"/>
    <d v="2023-02-22T00:00:00"/>
    <x v="0"/>
    <x v="1"/>
    <n v="1745"/>
    <n v="23.53"/>
    <n v="22.57"/>
    <n v="282"/>
    <x v="1"/>
    <n v="39384.65"/>
    <n v="1"/>
    <n v="0.16160458452722062"/>
    <n v="1675.2000000000014"/>
    <n v="4.2534337616304867E-2"/>
    <x v="0"/>
    <n v="41059.85"/>
    <n v="0"/>
    <n v="1"/>
  </r>
  <r>
    <s v="PO-00296"/>
    <x v="1"/>
    <x v="159"/>
    <d v="2023-05-15T00:00:00"/>
    <x v="3"/>
    <x v="1"/>
    <n v="1783"/>
    <n v="16.96"/>
    <n v="15.8"/>
    <n v="295"/>
    <x v="0"/>
    <n v="28171.4"/>
    <n v="2"/>
    <n v="0.16545148625911385"/>
    <n v="2068.2800000000002"/>
    <n v="7.3417721518987344E-2"/>
    <x v="0"/>
    <n v="30239.68"/>
    <n v="1"/>
    <n v="0"/>
  </r>
  <r>
    <s v="PO-00297"/>
    <x v="0"/>
    <x v="234"/>
    <d v="2023-05-22T00:00:00"/>
    <x v="0"/>
    <x v="2"/>
    <n v="1489"/>
    <n v="107.02"/>
    <n v="93.3"/>
    <n v="0"/>
    <x v="0"/>
    <n v="138923.69999999998"/>
    <n v="14"/>
    <n v="0"/>
    <n v="20429.079999999998"/>
    <n v="0.14705251875669884"/>
    <x v="0"/>
    <n v="159352.78"/>
    <n v="1"/>
    <n v="0"/>
  </r>
  <r>
    <s v="PO-00298"/>
    <x v="0"/>
    <x v="235"/>
    <d v="2022-08-10T00:00:00"/>
    <x v="0"/>
    <x v="1"/>
    <n v="296"/>
    <n v="40.380000000000003"/>
    <n v="35.25"/>
    <n v="0"/>
    <x v="0"/>
    <n v="10434"/>
    <n v="3"/>
    <n v="0"/>
    <n v="1518.4800000000007"/>
    <n v="0.14553191489361708"/>
    <x v="0"/>
    <n v="11952.480000000001"/>
    <n v="1"/>
    <n v="0"/>
  </r>
  <r>
    <s v="PO-00299"/>
    <x v="4"/>
    <x v="93"/>
    <d v="2023-02-27T00:00:00"/>
    <x v="1"/>
    <x v="1"/>
    <n v="885"/>
    <n v="88.28"/>
    <n v="80.8"/>
    <n v="31"/>
    <x v="0"/>
    <n v="71508"/>
    <n v="12"/>
    <n v="3.5028248587570622E-2"/>
    <n v="6619.8000000000038"/>
    <n v="9.2574257425742629E-2"/>
    <x v="0"/>
    <n v="78127.8"/>
    <n v="1"/>
    <n v="0"/>
  </r>
  <r>
    <s v="PO-00300"/>
    <x v="4"/>
    <x v="191"/>
    <d v="2022-03-06T00:00:00"/>
    <x v="3"/>
    <x v="3"/>
    <n v="1512"/>
    <n v="33.25"/>
    <n v="30.15"/>
    <n v="53"/>
    <x v="0"/>
    <n v="45586.799999999996"/>
    <n v="4"/>
    <n v="3.5052910052910051E-2"/>
    <n v="4687.2000000000025"/>
    <n v="0.10281923714759542"/>
    <x v="0"/>
    <n v="50274"/>
    <n v="1"/>
    <n v="0"/>
  </r>
  <r>
    <s v="PO-00301"/>
    <x v="1"/>
    <x v="236"/>
    <d v="2022-06-26T00:00:00"/>
    <x v="0"/>
    <x v="1"/>
    <n v="252"/>
    <n v="73.12"/>
    <n v="67.64"/>
    <n v="0"/>
    <x v="1"/>
    <n v="17045.28"/>
    <n v="8"/>
    <n v="0"/>
    <n v="1380.9600000000009"/>
    <n v="8.1017149615612127E-2"/>
    <x v="0"/>
    <n v="18426.240000000002"/>
    <n v="0"/>
    <n v="1"/>
  </r>
  <r>
    <s v="PO-00302"/>
    <x v="0"/>
    <x v="82"/>
    <m/>
    <x v="4"/>
    <x v="0"/>
    <n v="1257"/>
    <n v="83.13"/>
    <n v="81.89"/>
    <n v="30"/>
    <x v="0"/>
    <n v="102935.73"/>
    <s v=""/>
    <n v="2.386634844868735E-2"/>
    <n v="1558.6799999999935"/>
    <n v="1.5142264012699901E-2"/>
    <x v="1"/>
    <n v="104494.40999999999"/>
    <n v="1"/>
    <n v="0"/>
  </r>
  <r>
    <s v="PO-00303"/>
    <x v="0"/>
    <x v="237"/>
    <d v="2022-01-20T00:00:00"/>
    <x v="2"/>
    <x v="1"/>
    <n v="172"/>
    <n v="63.61"/>
    <n v="55.92"/>
    <n v="4"/>
    <x v="0"/>
    <n v="9618.24"/>
    <n v="17"/>
    <n v="2.3255813953488372E-2"/>
    <n v="1322.6799999999996"/>
    <n v="0.13751788268955648"/>
    <x v="1"/>
    <n v="10940.92"/>
    <n v="1"/>
    <n v="0"/>
  </r>
  <r>
    <s v="PO-00304"/>
    <x v="4"/>
    <x v="238"/>
    <d v="2023-02-05T00:00:00"/>
    <x v="2"/>
    <x v="3"/>
    <n v="450"/>
    <n v="55.85"/>
    <n v="49.88"/>
    <n v="9"/>
    <x v="0"/>
    <n v="22446"/>
    <n v="1"/>
    <n v="0.02"/>
    <n v="2686.4999999999995"/>
    <n v="0.11968724939855652"/>
    <x v="0"/>
    <n v="25132.5"/>
    <n v="1"/>
    <n v="0"/>
  </r>
  <r>
    <s v="PO-00305"/>
    <x v="2"/>
    <x v="106"/>
    <d v="2022-10-15T00:00:00"/>
    <x v="4"/>
    <x v="1"/>
    <n v="816"/>
    <n v="48.95"/>
    <n v="43.42"/>
    <n v="45"/>
    <x v="0"/>
    <n v="35430.720000000001"/>
    <n v="16"/>
    <n v="5.514705882352941E-2"/>
    <n v="4512.4800000000014"/>
    <n v="0.12736066328880705"/>
    <x v="1"/>
    <n v="39943.200000000004"/>
    <n v="1"/>
    <n v="0"/>
  </r>
  <r>
    <s v="PO-00306"/>
    <x v="4"/>
    <x v="239"/>
    <d v="2023-04-25T00:00:00"/>
    <x v="2"/>
    <x v="1"/>
    <n v="343"/>
    <n v="44.5"/>
    <n v="38.57"/>
    <n v="7"/>
    <x v="0"/>
    <n v="13229.51"/>
    <n v="14"/>
    <n v="2.0408163265306121E-2"/>
    <n v="2033.99"/>
    <n v="0.15374643505315011"/>
    <x v="0"/>
    <n v="15263.5"/>
    <n v="1"/>
    <n v="0"/>
  </r>
  <r>
    <s v="PO-00307"/>
    <x v="2"/>
    <x v="240"/>
    <d v="2022-11-05T00:00:00"/>
    <x v="1"/>
    <x v="1"/>
    <n v="329"/>
    <n v="97.87"/>
    <n v="85.35"/>
    <n v="21"/>
    <x v="1"/>
    <n v="28080.149999999998"/>
    <n v="16"/>
    <n v="6.3829787234042548E-2"/>
    <n v="4119.0800000000036"/>
    <n v="0.14669009958992399"/>
    <x v="1"/>
    <n v="32199.230000000003"/>
    <n v="0"/>
    <n v="1"/>
  </r>
  <r>
    <s v="PO-00308"/>
    <x v="0"/>
    <x v="170"/>
    <d v="2023-03-25T00:00:00"/>
    <x v="4"/>
    <x v="1"/>
    <n v="1910"/>
    <n v="90.69"/>
    <n v="85.8"/>
    <n v="0"/>
    <x v="0"/>
    <n v="163878"/>
    <n v="15"/>
    <n v="0"/>
    <n v="9339.9000000000015"/>
    <n v="5.6993006993007002E-2"/>
    <x v="1"/>
    <n v="173217.9"/>
    <n v="1"/>
    <n v="0"/>
  </r>
  <r>
    <s v="PO-00309"/>
    <x v="4"/>
    <x v="241"/>
    <d v="2023-12-18T00:00:00"/>
    <x v="1"/>
    <x v="1"/>
    <n v="933"/>
    <n v="107.99"/>
    <n v="104.29"/>
    <n v="29"/>
    <x v="0"/>
    <n v="97302.57"/>
    <n v="3"/>
    <n v="3.1082529474812434E-2"/>
    <n v="3452.0999999999894"/>
    <n v="3.5477994055038722E-2"/>
    <x v="0"/>
    <n v="100754.67"/>
    <n v="1"/>
    <n v="0"/>
  </r>
  <r>
    <s v="PO-00310"/>
    <x v="1"/>
    <x v="242"/>
    <d v="2023-07-29T00:00:00"/>
    <x v="3"/>
    <x v="1"/>
    <n v="1683"/>
    <n v="23.09"/>
    <n v="21.88"/>
    <n v="253"/>
    <x v="0"/>
    <n v="36824.04"/>
    <n v="5"/>
    <n v="0.15032679738562091"/>
    <n v="2036.4300000000014"/>
    <n v="5.5301645338208444E-2"/>
    <x v="0"/>
    <n v="38860.47"/>
    <n v="1"/>
    <n v="0"/>
  </r>
  <r>
    <s v="PO-00311"/>
    <x v="3"/>
    <x v="60"/>
    <d v="2023-11-18T00:00:00"/>
    <x v="2"/>
    <x v="3"/>
    <n v="247"/>
    <n v="84.11"/>
    <n v="71.97"/>
    <n v="0"/>
    <x v="0"/>
    <n v="17776.59"/>
    <n v="9"/>
    <n v="0"/>
    <n v="2998.58"/>
    <n v="0.16868139502570514"/>
    <x v="0"/>
    <n v="20775.169999999998"/>
    <n v="1"/>
    <n v="0"/>
  </r>
  <r>
    <s v="PO-00312"/>
    <x v="0"/>
    <x v="243"/>
    <d v="2023-06-02T00:00:00"/>
    <x v="1"/>
    <x v="1"/>
    <n v="1031"/>
    <n v="102.01"/>
    <n v="98.65"/>
    <n v="0"/>
    <x v="0"/>
    <n v="101708.15000000001"/>
    <n v="19"/>
    <n v="0"/>
    <n v="3464.1599999999994"/>
    <n v="3.4059807399898626E-2"/>
    <x v="1"/>
    <n v="105172.31000000001"/>
    <n v="1"/>
    <n v="0"/>
  </r>
  <r>
    <s v="PO-00313"/>
    <x v="0"/>
    <x v="244"/>
    <d v="2022-06-19T00:00:00"/>
    <x v="2"/>
    <x v="1"/>
    <n v="1980"/>
    <n v="26.97"/>
    <n v="24.16"/>
    <n v="41"/>
    <x v="0"/>
    <n v="47836.800000000003"/>
    <n v="11"/>
    <n v="2.0707070707070709E-2"/>
    <n v="5563.7999999999975"/>
    <n v="0.11630794701986749"/>
    <x v="0"/>
    <n v="53400.6"/>
    <n v="1"/>
    <n v="0"/>
  </r>
  <r>
    <s v="PO-00314"/>
    <x v="4"/>
    <x v="205"/>
    <d v="2022-08-03T00:00:00"/>
    <x v="3"/>
    <x v="1"/>
    <n v="1584"/>
    <n v="16.46"/>
    <n v="14.2"/>
    <n v="57"/>
    <x v="0"/>
    <n v="22492.799999999999"/>
    <n v="20"/>
    <n v="3.5984848484848488E-2"/>
    <n v="3579.8400000000024"/>
    <n v="0.15915492957746491"/>
    <x v="1"/>
    <n v="26072.640000000003"/>
    <n v="1"/>
    <n v="0"/>
  </r>
  <r>
    <s v="PO-00315"/>
    <x v="3"/>
    <x v="245"/>
    <d v="2022-11-15T00:00:00"/>
    <x v="0"/>
    <x v="1"/>
    <n v="801"/>
    <n v="80.150000000000006"/>
    <n v="70.91"/>
    <n v="0"/>
    <x v="0"/>
    <n v="56798.909999999996"/>
    <n v="15"/>
    <n v="0"/>
    <n v="7401.2400000000071"/>
    <n v="0.13030602171767042"/>
    <x v="1"/>
    <n v="64200.15"/>
    <n v="1"/>
    <n v="0"/>
  </r>
  <r>
    <s v="PO-00316"/>
    <x v="3"/>
    <x v="246"/>
    <d v="2022-08-25T00:00:00"/>
    <x v="2"/>
    <x v="1"/>
    <n v="193"/>
    <n v="63.86"/>
    <n v="57.46"/>
    <n v="0"/>
    <x v="0"/>
    <n v="11089.78"/>
    <n v="14"/>
    <n v="0"/>
    <n v="1235.1999999999998"/>
    <n v="0.11138183083884438"/>
    <x v="0"/>
    <n v="12324.98"/>
    <n v="1"/>
    <n v="0"/>
  </r>
  <r>
    <s v="PO-00317"/>
    <x v="3"/>
    <x v="156"/>
    <d v="2022-03-05T00:00:00"/>
    <x v="3"/>
    <x v="1"/>
    <n v="658"/>
    <n v="86.62"/>
    <n v="79.849999999999994"/>
    <n v="72"/>
    <x v="0"/>
    <n v="52541.299999999996"/>
    <n v="4"/>
    <n v="0.10942249240121581"/>
    <n v="4454.6600000000071"/>
    <n v="8.4783969943644483E-2"/>
    <x v="0"/>
    <n v="56995.960000000006"/>
    <n v="1"/>
    <n v="0"/>
  </r>
  <r>
    <s v="PO-00318"/>
    <x v="4"/>
    <x v="247"/>
    <d v="2023-09-04T00:00:00"/>
    <x v="4"/>
    <x v="1"/>
    <n v="1274"/>
    <n v="24.72"/>
    <n v="23.36"/>
    <n v="37"/>
    <x v="0"/>
    <n v="29760.639999999999"/>
    <n v="18"/>
    <n v="2.9042386185243328E-2"/>
    <n v="1732.6399999999992"/>
    <n v="5.8219178082191757E-2"/>
    <x v="1"/>
    <n v="31493.279999999999"/>
    <n v="1"/>
    <n v="0"/>
  </r>
  <r>
    <s v="PO-00319"/>
    <x v="4"/>
    <x v="248"/>
    <d v="2023-07-17T00:00:00"/>
    <x v="2"/>
    <x v="2"/>
    <n v="1197"/>
    <n v="88.92"/>
    <n v="78.819999999999993"/>
    <n v="31"/>
    <x v="0"/>
    <n v="94347.54"/>
    <n v="7"/>
    <n v="2.5898078529657476E-2"/>
    <n v="12089.70000000001"/>
    <n v="0.12814006597310337"/>
    <x v="0"/>
    <n v="106437.24"/>
    <n v="1"/>
    <n v="0"/>
  </r>
  <r>
    <s v="PO-00320"/>
    <x v="2"/>
    <x v="217"/>
    <d v="2022-03-12T00:00:00"/>
    <x v="4"/>
    <x v="1"/>
    <n v="236"/>
    <n v="28.43"/>
    <n v="28.11"/>
    <n v="11"/>
    <x v="0"/>
    <n v="6633.96"/>
    <n v="8"/>
    <n v="4.6610169491525424E-2"/>
    <n v="75.520000000000067"/>
    <n v="1.1383849163998587E-2"/>
    <x v="0"/>
    <n v="6709.48"/>
    <n v="1"/>
    <n v="0"/>
  </r>
  <r>
    <s v="PO-00321"/>
    <x v="2"/>
    <x v="249"/>
    <d v="2022-12-03T00:00:00"/>
    <x v="3"/>
    <x v="2"/>
    <n v="1399"/>
    <n v="25.97"/>
    <n v="22.19"/>
    <n v="62"/>
    <x v="0"/>
    <n v="31043.81"/>
    <n v="15"/>
    <n v="4.431736954967834E-2"/>
    <n v="5288.2199999999966"/>
    <n v="0.17034700315457402"/>
    <x v="1"/>
    <n v="36332.03"/>
    <n v="1"/>
    <n v="0"/>
  </r>
  <r>
    <s v="PO-00322"/>
    <x v="2"/>
    <x v="250"/>
    <d v="2022-03-04T00:00:00"/>
    <x v="4"/>
    <x v="1"/>
    <n v="513"/>
    <n v="24.91"/>
    <n v="22.58"/>
    <n v="29"/>
    <x v="0"/>
    <n v="11583.539999999999"/>
    <n v="4"/>
    <n v="5.6530214424951264E-2"/>
    <n v="1195.2900000000009"/>
    <n v="0.10318866253321532"/>
    <x v="0"/>
    <n v="12778.83"/>
    <n v="1"/>
    <n v="0"/>
  </r>
  <r>
    <s v="PO-00323"/>
    <x v="1"/>
    <x v="228"/>
    <d v="2022-03-04T00:00:00"/>
    <x v="1"/>
    <x v="1"/>
    <n v="1422"/>
    <n v="83.73"/>
    <n v="76.47"/>
    <n v="198"/>
    <x v="0"/>
    <n v="108740.34"/>
    <n v="11"/>
    <n v="0.13924050632911392"/>
    <n v="10323.720000000007"/>
    <n v="9.4939191839937292E-2"/>
    <x v="0"/>
    <n v="119064.06000000001"/>
    <n v="1"/>
    <n v="0"/>
  </r>
  <r>
    <s v="PO-00324"/>
    <x v="0"/>
    <x v="110"/>
    <d v="2023-09-03T00:00:00"/>
    <x v="0"/>
    <x v="1"/>
    <n v="1844"/>
    <n v="76.510000000000005"/>
    <n v="73.05"/>
    <n v="0"/>
    <x v="0"/>
    <n v="134704.19999999998"/>
    <n v="12"/>
    <n v="0"/>
    <n v="6380.2400000000143"/>
    <n v="4.7364818617385465E-2"/>
    <x v="0"/>
    <n v="141084.44"/>
    <n v="1"/>
    <n v="0"/>
  </r>
  <r>
    <s v="PO-00325"/>
    <x v="2"/>
    <x v="251"/>
    <m/>
    <x v="4"/>
    <x v="1"/>
    <n v="709"/>
    <n v="61.64"/>
    <n v="54.55"/>
    <n v="41"/>
    <x v="0"/>
    <n v="38675.949999999997"/>
    <s v=""/>
    <n v="5.7827926657263752E-2"/>
    <n v="5026.8100000000022"/>
    <n v="0.12997250229147578"/>
    <x v="1"/>
    <n v="43702.76"/>
    <n v="1"/>
    <n v="0"/>
  </r>
  <r>
    <s v="PO-00326"/>
    <x v="1"/>
    <x v="252"/>
    <d v="2023-06-15T00:00:00"/>
    <x v="1"/>
    <x v="1"/>
    <n v="813"/>
    <n v="45.68"/>
    <n v="41.78"/>
    <n v="0"/>
    <x v="1"/>
    <n v="33967.14"/>
    <n v="16"/>
    <n v="0"/>
    <n v="3170.6999999999989"/>
    <n v="9.3346098611775938E-2"/>
    <x v="1"/>
    <n v="37137.839999999997"/>
    <n v="0"/>
    <n v="1"/>
  </r>
  <r>
    <s v="PO-00327"/>
    <x v="1"/>
    <x v="147"/>
    <d v="2023-07-01T00:00:00"/>
    <x v="0"/>
    <x v="1"/>
    <n v="1004"/>
    <n v="96.51"/>
    <n v="92.9"/>
    <n v="146"/>
    <x v="1"/>
    <n v="93271.6"/>
    <n v="3"/>
    <n v="0.1454183266932271"/>
    <n v="3624.4399999999996"/>
    <n v="3.8858988159311082E-2"/>
    <x v="0"/>
    <n v="96896.040000000008"/>
    <n v="0"/>
    <n v="1"/>
  </r>
  <r>
    <s v="PO-00328"/>
    <x v="4"/>
    <x v="136"/>
    <d v="2022-06-15T00:00:00"/>
    <x v="3"/>
    <x v="1"/>
    <n v="452"/>
    <n v="46.45"/>
    <n v="40.39"/>
    <n v="9"/>
    <x v="0"/>
    <n v="18256.28"/>
    <n v="4"/>
    <n v="1.9911504424778761E-2"/>
    <n v="2739.1200000000008"/>
    <n v="0.1500371379054222"/>
    <x v="0"/>
    <n v="20995.4"/>
    <n v="1"/>
    <n v="0"/>
  </r>
  <r>
    <s v="PO-00329"/>
    <x v="3"/>
    <x v="250"/>
    <d v="2022-03-12T00:00:00"/>
    <x v="3"/>
    <x v="3"/>
    <n v="1419"/>
    <n v="83.91"/>
    <n v="71.459999999999994"/>
    <n v="137"/>
    <x v="0"/>
    <n v="101401.73999999999"/>
    <n v="12"/>
    <n v="9.654686398872446E-2"/>
    <n v="17666.550000000003"/>
    <n v="0.17422334172963899"/>
    <x v="0"/>
    <n v="119068.29"/>
    <n v="1"/>
    <n v="0"/>
  </r>
  <r>
    <s v="PO-00330"/>
    <x v="3"/>
    <x v="253"/>
    <d v="2023-06-23T00:00:00"/>
    <x v="2"/>
    <x v="1"/>
    <n v="1584"/>
    <n v="53.73"/>
    <n v="51.92"/>
    <n v="167"/>
    <x v="1"/>
    <n v="82241.279999999999"/>
    <n v="18"/>
    <n v="0.10542929292929293"/>
    <n v="2867.0399999999922"/>
    <n v="3.4861325115562308E-2"/>
    <x v="1"/>
    <n v="85108.319999999992"/>
    <n v="0"/>
    <n v="1"/>
  </r>
  <r>
    <s v="PO-00331"/>
    <x v="2"/>
    <x v="254"/>
    <d v="2022-04-11T00:00:00"/>
    <x v="1"/>
    <x v="3"/>
    <n v="196"/>
    <n v="44.36"/>
    <n v="43.81"/>
    <n v="6"/>
    <x v="0"/>
    <n v="8586.76"/>
    <n v="18"/>
    <n v="3.0612244897959183E-2"/>
    <n v="107.79999999999944"/>
    <n v="1.2554211367267682E-2"/>
    <x v="1"/>
    <n v="8694.56"/>
    <n v="1"/>
    <n v="0"/>
  </r>
  <r>
    <s v="PO-00332"/>
    <x v="0"/>
    <x v="255"/>
    <d v="2022-07-14T00:00:00"/>
    <x v="0"/>
    <x v="1"/>
    <n v="1221"/>
    <n v="53.19"/>
    <n v="46.18"/>
    <n v="29"/>
    <x v="0"/>
    <n v="56385.78"/>
    <n v="4"/>
    <n v="2.375102375102375E-2"/>
    <n v="8559.2099999999973"/>
    <n v="0.15179731485491552"/>
    <x v="0"/>
    <n v="64944.99"/>
    <n v="1"/>
    <n v="0"/>
  </r>
  <r>
    <s v="PO-00333"/>
    <x v="0"/>
    <x v="160"/>
    <d v="2022-03-26T00:00:00"/>
    <x v="2"/>
    <x v="1"/>
    <n v="913"/>
    <n v="37.5"/>
    <n v="36.200000000000003"/>
    <n v="0"/>
    <x v="0"/>
    <n v="33050.600000000006"/>
    <n v="14"/>
    <n v="0"/>
    <n v="1186.8999999999974"/>
    <n v="3.5911602209944667E-2"/>
    <x v="0"/>
    <n v="34237.5"/>
    <n v="1"/>
    <n v="0"/>
  </r>
  <r>
    <s v="PO-00334"/>
    <x v="0"/>
    <x v="256"/>
    <d v="2023-09-04T00:00:00"/>
    <x v="2"/>
    <x v="1"/>
    <n v="1784"/>
    <n v="85.01"/>
    <n v="76.69"/>
    <n v="37"/>
    <x v="0"/>
    <n v="136814.96"/>
    <n v="2"/>
    <n v="2.0739910313901346E-2"/>
    <n v="14842.880000000014"/>
    <n v="0.10848872082409712"/>
    <x v="0"/>
    <n v="151657.84"/>
    <n v="1"/>
    <n v="0"/>
  </r>
  <r>
    <s v="PO-00335"/>
    <x v="1"/>
    <x v="192"/>
    <m/>
    <x v="3"/>
    <x v="1"/>
    <n v="1893"/>
    <n v="55.8"/>
    <n v="52.35"/>
    <n v="0"/>
    <x v="0"/>
    <n v="99098.55"/>
    <s v=""/>
    <n v="0"/>
    <n v="6530.8499999999922"/>
    <n v="6.5902578796561528E-2"/>
    <x v="1"/>
    <n v="105629.4"/>
    <n v="1"/>
    <n v="0"/>
  </r>
  <r>
    <s v="PO-00336"/>
    <x v="1"/>
    <x v="257"/>
    <d v="2023-12-05T00:00:00"/>
    <x v="4"/>
    <x v="3"/>
    <n v="538"/>
    <n v="34.299999999999997"/>
    <n v="32.25"/>
    <n v="84"/>
    <x v="1"/>
    <n v="17350.5"/>
    <n v="12"/>
    <n v="0.15613382899628253"/>
    <n v="1102.8999999999985"/>
    <n v="6.3565891472868133E-2"/>
    <x v="0"/>
    <n v="18453.399999999998"/>
    <n v="0"/>
    <n v="1"/>
  </r>
  <r>
    <s v="PO-00337"/>
    <x v="1"/>
    <x v="258"/>
    <d v="2022-09-15T00:00:00"/>
    <x v="0"/>
    <x v="3"/>
    <n v="978"/>
    <n v="94.15"/>
    <n v="87.7"/>
    <n v="149"/>
    <x v="1"/>
    <n v="85770.6"/>
    <n v="17"/>
    <n v="0.15235173824130879"/>
    <n v="6308.1000000000031"/>
    <n v="7.3546180159635155E-2"/>
    <x v="1"/>
    <n v="92078.700000000012"/>
    <n v="0"/>
    <n v="1"/>
  </r>
  <r>
    <s v="PO-00338"/>
    <x v="4"/>
    <x v="259"/>
    <d v="2023-03-06T00:00:00"/>
    <x v="3"/>
    <x v="0"/>
    <n v="1713"/>
    <n v="47.45"/>
    <n v="42.05"/>
    <n v="53"/>
    <x v="0"/>
    <n v="72031.649999999994"/>
    <n v="16"/>
    <n v="3.0939871570344425E-2"/>
    <n v="9250.2000000000098"/>
    <n v="0.12841854934601679"/>
    <x v="1"/>
    <n v="81281.850000000006"/>
    <n v="1"/>
    <n v="0"/>
  </r>
  <r>
    <s v="PO-00339"/>
    <x v="1"/>
    <x v="260"/>
    <d v="2022-05-07T00:00:00"/>
    <x v="3"/>
    <x v="3"/>
    <n v="600"/>
    <n v="60.1"/>
    <n v="57.92"/>
    <n v="95"/>
    <x v="1"/>
    <n v="34752"/>
    <n v="4"/>
    <n v="0.15833333333333333"/>
    <n v="1307.9999999999998"/>
    <n v="3.763812154696132E-2"/>
    <x v="0"/>
    <n v="36060"/>
    <n v="0"/>
    <n v="1"/>
  </r>
  <r>
    <s v="PO-00340"/>
    <x v="0"/>
    <x v="261"/>
    <d v="2023-08-25T00:00:00"/>
    <x v="4"/>
    <x v="3"/>
    <n v="387"/>
    <n v="100.28"/>
    <n v="85.54"/>
    <n v="5"/>
    <x v="0"/>
    <n v="33103.980000000003"/>
    <n v="18"/>
    <n v="1.2919896640826873E-2"/>
    <n v="5704.3799999999983"/>
    <n v="0.17231704465747011"/>
    <x v="1"/>
    <n v="38808.36"/>
    <n v="1"/>
    <n v="0"/>
  </r>
  <r>
    <s v="PO-00341"/>
    <x v="0"/>
    <x v="107"/>
    <d v="2022-09-19T00:00:00"/>
    <x v="1"/>
    <x v="3"/>
    <n v="921"/>
    <n v="68.83"/>
    <n v="59.13"/>
    <n v="22"/>
    <x v="0"/>
    <n v="54458.73"/>
    <n v="9"/>
    <n v="2.3887079261672096E-2"/>
    <n v="8933.6999999999953"/>
    <n v="0.16404532386267537"/>
    <x v="0"/>
    <n v="63392.43"/>
    <n v="1"/>
    <n v="0"/>
  </r>
  <r>
    <s v="PO-00342"/>
    <x v="3"/>
    <x v="262"/>
    <d v="2023-08-30T00:00:00"/>
    <x v="1"/>
    <x v="1"/>
    <n v="690"/>
    <n v="22.47"/>
    <n v="21.94"/>
    <n v="77"/>
    <x v="0"/>
    <n v="15138.6"/>
    <n v="14"/>
    <n v="0.11159420289855072"/>
    <n v="365.69999999999834"/>
    <n v="2.4156791248860419E-2"/>
    <x v="0"/>
    <n v="15504.3"/>
    <n v="1"/>
    <n v="0"/>
  </r>
  <r>
    <s v="PO-00343"/>
    <x v="0"/>
    <x v="263"/>
    <d v="2023-09-21T00:00:00"/>
    <x v="0"/>
    <x v="0"/>
    <n v="1852"/>
    <n v="104.04"/>
    <n v="94.89"/>
    <n v="36"/>
    <x v="0"/>
    <n v="175736.28"/>
    <n v="20"/>
    <n v="1.9438444924406047E-2"/>
    <n v="16945.80000000001"/>
    <n v="9.6427442301612445E-2"/>
    <x v="1"/>
    <n v="192682.08000000002"/>
    <n v="1"/>
    <n v="0"/>
  </r>
  <r>
    <s v="PO-00344"/>
    <x v="1"/>
    <x v="264"/>
    <d v="2022-02-28T00:00:00"/>
    <x v="4"/>
    <x v="1"/>
    <n v="522"/>
    <n v="66.83"/>
    <n v="58.01"/>
    <n v="74"/>
    <x v="0"/>
    <n v="30281.219999999998"/>
    <n v="18"/>
    <n v="0.1417624521072797"/>
    <n v="4604.04"/>
    <n v="0.15204275124978453"/>
    <x v="1"/>
    <n v="34885.26"/>
    <n v="1"/>
    <n v="0"/>
  </r>
  <r>
    <s v="PO-00345"/>
    <x v="1"/>
    <x v="265"/>
    <d v="2023-10-06T00:00:00"/>
    <x v="4"/>
    <x v="1"/>
    <n v="200"/>
    <n v="44.16"/>
    <n v="43.13"/>
    <n v="21"/>
    <x v="0"/>
    <n v="8626"/>
    <n v="9"/>
    <n v="0.105"/>
    <n v="205.99999999999881"/>
    <n v="2.3881289125898309E-2"/>
    <x v="0"/>
    <n v="8832"/>
    <n v="1"/>
    <n v="0"/>
  </r>
  <r>
    <s v="PO-00346"/>
    <x v="2"/>
    <x v="266"/>
    <d v="2022-04-03T00:00:00"/>
    <x v="2"/>
    <x v="1"/>
    <n v="1488"/>
    <n v="22.76"/>
    <n v="21.99"/>
    <n v="0"/>
    <x v="0"/>
    <n v="32721.119999999999"/>
    <n v="9"/>
    <n v="0"/>
    <n v="1145.7600000000048"/>
    <n v="3.5015916325602692E-2"/>
    <x v="0"/>
    <n v="33866.880000000005"/>
    <n v="1"/>
    <n v="0"/>
  </r>
  <r>
    <s v="PO-00347"/>
    <x v="4"/>
    <x v="25"/>
    <d v="2023-03-16T00:00:00"/>
    <x v="4"/>
    <x v="1"/>
    <n v="1371"/>
    <n v="87.16"/>
    <n v="78.13"/>
    <n v="43"/>
    <x v="0"/>
    <n v="107116.23"/>
    <n v="10"/>
    <n v="3.1363967906637494E-2"/>
    <n v="12380.130000000001"/>
    <n v="0.11557660309740178"/>
    <x v="0"/>
    <n v="119496.36"/>
    <n v="1"/>
    <n v="0"/>
  </r>
  <r>
    <s v="PO-00348"/>
    <x v="0"/>
    <x v="267"/>
    <m/>
    <x v="0"/>
    <x v="1"/>
    <n v="1684"/>
    <n v="73.05"/>
    <n v="62.53"/>
    <n v="0"/>
    <x v="0"/>
    <n v="105300.52"/>
    <s v=""/>
    <n v="0"/>
    <n v="17715.679999999993"/>
    <n v="0.16823924516232203"/>
    <x v="1"/>
    <n v="123016.2"/>
    <n v="1"/>
    <n v="0"/>
  </r>
  <r>
    <s v="PO-00349"/>
    <x v="4"/>
    <x v="112"/>
    <d v="2023-08-27T00:00:00"/>
    <x v="4"/>
    <x v="1"/>
    <n v="312"/>
    <n v="63.52"/>
    <n v="58.09"/>
    <n v="0"/>
    <x v="0"/>
    <n v="18124.080000000002"/>
    <n v="6"/>
    <n v="0"/>
    <n v="1694.1599999999999"/>
    <n v="9.3475641246341862E-2"/>
    <x v="0"/>
    <n v="19818.240000000002"/>
    <n v="1"/>
    <n v="0"/>
  </r>
  <r>
    <s v="PO-00350"/>
    <x v="0"/>
    <x v="268"/>
    <d v="2023-08-21T00:00:00"/>
    <x v="2"/>
    <x v="0"/>
    <n v="1837"/>
    <n v="99.04"/>
    <n v="86.51"/>
    <n v="39"/>
    <x v="0"/>
    <n v="158918.87"/>
    <n v="19"/>
    <n v="2.1230266739248774E-2"/>
    <n v="23017.61"/>
    <n v="0.14483874696566873"/>
    <x v="1"/>
    <n v="181936.48"/>
    <n v="1"/>
    <n v="0"/>
  </r>
  <r>
    <s v="PO-00351"/>
    <x v="3"/>
    <x v="269"/>
    <d v="2023-06-23T00:00:00"/>
    <x v="1"/>
    <x v="1"/>
    <n v="193"/>
    <n v="87.86"/>
    <n v="81.739999999999995"/>
    <n v="21"/>
    <x v="0"/>
    <n v="15775.82"/>
    <n v="3"/>
    <n v="0.10880829015544041"/>
    <n v="1181.1600000000008"/>
    <n v="7.4871543919745584E-2"/>
    <x v="0"/>
    <n v="16956.98"/>
    <n v="1"/>
    <n v="0"/>
  </r>
  <r>
    <s v="PO-00352"/>
    <x v="3"/>
    <x v="92"/>
    <d v="2022-11-21T00:00:00"/>
    <x v="4"/>
    <x v="1"/>
    <n v="395"/>
    <n v="24.83"/>
    <n v="23.96"/>
    <n v="31"/>
    <x v="0"/>
    <n v="9464.2000000000007"/>
    <n v="1"/>
    <n v="7.848101265822785E-2"/>
    <n v="343.64999999999901"/>
    <n v="3.6310517529215249E-2"/>
    <x v="0"/>
    <n v="9807.8499999999985"/>
    <n v="1"/>
    <n v="0"/>
  </r>
  <r>
    <s v="PO-00353"/>
    <x v="4"/>
    <x v="270"/>
    <d v="2022-10-12T00:00:00"/>
    <x v="4"/>
    <x v="0"/>
    <n v="673"/>
    <n v="39.58"/>
    <n v="35.83"/>
    <n v="25"/>
    <x v="0"/>
    <n v="24113.59"/>
    <n v="17"/>
    <n v="3.7147102526002972E-2"/>
    <n v="2523.75"/>
    <n v="0.10466089868825007"/>
    <x v="1"/>
    <n v="26637.34"/>
    <n v="1"/>
    <n v="0"/>
  </r>
  <r>
    <s v="PO-00354"/>
    <x v="1"/>
    <x v="271"/>
    <d v="2022-08-12T00:00:00"/>
    <x v="0"/>
    <x v="0"/>
    <n v="1066"/>
    <n v="33.33"/>
    <n v="28.47"/>
    <n v="162"/>
    <x v="1"/>
    <n v="30349.02"/>
    <n v="14"/>
    <n v="0.15196998123827393"/>
    <n v="5180.7599999999993"/>
    <n v="0.17070600632244465"/>
    <x v="0"/>
    <n v="35529.78"/>
    <n v="0"/>
    <n v="1"/>
  </r>
  <r>
    <s v="PO-00355"/>
    <x v="2"/>
    <x v="197"/>
    <d v="2023-11-23T00:00:00"/>
    <x v="2"/>
    <x v="1"/>
    <n v="1645"/>
    <n v="85.42"/>
    <n v="80.78"/>
    <n v="73"/>
    <x v="1"/>
    <n v="132883.1"/>
    <n v="6"/>
    <n v="4.4376899696048633E-2"/>
    <n v="7632.8000000000011"/>
    <n v="5.7439960386234223E-2"/>
    <x v="0"/>
    <n v="140515.9"/>
    <n v="0"/>
    <n v="1"/>
  </r>
  <r>
    <s v="PO-00356"/>
    <x v="0"/>
    <x v="249"/>
    <d v="2022-11-29T00:00:00"/>
    <x v="4"/>
    <x v="1"/>
    <n v="930"/>
    <n v="13.67"/>
    <n v="11.95"/>
    <n v="16"/>
    <x v="0"/>
    <n v="11113.5"/>
    <n v="11"/>
    <n v="1.7204301075268817E-2"/>
    <n v="1599.6000000000006"/>
    <n v="0.1439330543933055"/>
    <x v="0"/>
    <n v="12713.1"/>
    <n v="1"/>
    <n v="0"/>
  </r>
  <r>
    <s v="PO-00357"/>
    <x v="0"/>
    <x v="272"/>
    <d v="2022-09-21T00:00:00"/>
    <x v="0"/>
    <x v="1"/>
    <n v="51"/>
    <n v="63.74"/>
    <n v="56.1"/>
    <n v="0"/>
    <x v="0"/>
    <n v="2861.1"/>
    <n v="19"/>
    <n v="0"/>
    <n v="389.64000000000004"/>
    <n v="0.13618538324420679"/>
    <x v="1"/>
    <n v="3250.7400000000002"/>
    <n v="1"/>
    <n v="0"/>
  </r>
  <r>
    <s v="PO-00358"/>
    <x v="2"/>
    <x v="106"/>
    <d v="2022-10-01T00:00:00"/>
    <x v="2"/>
    <x v="1"/>
    <n v="946"/>
    <n v="81.77"/>
    <n v="71.650000000000006"/>
    <n v="55"/>
    <x v="0"/>
    <n v="67780.900000000009"/>
    <n v="2"/>
    <n v="5.8139534883720929E-2"/>
    <n v="9573.5199999999913"/>
    <n v="0.14124214933705498"/>
    <x v="0"/>
    <n v="77354.42"/>
    <n v="1"/>
    <n v="0"/>
  </r>
  <r>
    <s v="PO-00359"/>
    <x v="4"/>
    <x v="102"/>
    <d v="2023-03-02T00:00:00"/>
    <x v="3"/>
    <x v="2"/>
    <n v="1377"/>
    <n v="94.69"/>
    <n v="84.2"/>
    <n v="0"/>
    <x v="0"/>
    <n v="115943.40000000001"/>
    <n v="20"/>
    <n v="0"/>
    <n v="14444.729999999992"/>
    <n v="0.12458432304037997"/>
    <x v="1"/>
    <n v="130388.12999999999"/>
    <n v="1"/>
    <n v="0"/>
  </r>
  <r>
    <s v="PO-00360"/>
    <x v="4"/>
    <x v="273"/>
    <d v="2022-05-18T00:00:00"/>
    <x v="2"/>
    <x v="0"/>
    <n v="303"/>
    <n v="41.6"/>
    <n v="40.51"/>
    <n v="11"/>
    <x v="0"/>
    <n v="12274.529999999999"/>
    <n v="3"/>
    <n v="3.6303630363036306E-2"/>
    <n v="330.270000000001"/>
    <n v="2.6906936558874436E-2"/>
    <x v="0"/>
    <n v="12604.800000000001"/>
    <n v="1"/>
    <n v="0"/>
  </r>
  <r>
    <s v="PO-00361"/>
    <x v="0"/>
    <x v="175"/>
    <d v="2023-12-03T00:00:00"/>
    <x v="3"/>
    <x v="1"/>
    <n v="1725"/>
    <n v="93.14"/>
    <n v="79.62"/>
    <n v="24"/>
    <x v="0"/>
    <n v="137344.5"/>
    <n v="14"/>
    <n v="1.391304347826087E-2"/>
    <n v="23321.999999999993"/>
    <n v="0.16980658126098966"/>
    <x v="0"/>
    <n v="160666.5"/>
    <n v="1"/>
    <n v="0"/>
  </r>
  <r>
    <s v="PO-00362"/>
    <x v="3"/>
    <x v="274"/>
    <d v="2023-11-07T00:00:00"/>
    <x v="3"/>
    <x v="0"/>
    <n v="502"/>
    <n v="22.05"/>
    <n v="20.65"/>
    <n v="50"/>
    <x v="1"/>
    <n v="10366.299999999999"/>
    <n v="15"/>
    <n v="9.9601593625498003E-2"/>
    <n v="702.80000000000109"/>
    <n v="6.7796610169491636E-2"/>
    <x v="1"/>
    <n v="11069.1"/>
    <n v="0"/>
    <n v="1"/>
  </r>
  <r>
    <s v="PO-00363"/>
    <x v="2"/>
    <x v="275"/>
    <d v="2022-11-11T00:00:00"/>
    <x v="2"/>
    <x v="1"/>
    <n v="1110"/>
    <n v="90.49"/>
    <n v="80.03"/>
    <n v="61"/>
    <x v="0"/>
    <n v="88833.3"/>
    <n v="7"/>
    <n v="5.4954954954954956E-2"/>
    <n v="11610.599999999993"/>
    <n v="0.13070098712982622"/>
    <x v="0"/>
    <n v="100443.9"/>
    <n v="1"/>
    <n v="0"/>
  </r>
  <r>
    <s v="PO-00364"/>
    <x v="0"/>
    <x v="276"/>
    <d v="2023-04-18T00:00:00"/>
    <x v="2"/>
    <x v="1"/>
    <n v="1233"/>
    <n v="23.08"/>
    <n v="20.57"/>
    <n v="0"/>
    <x v="0"/>
    <n v="25362.81"/>
    <n v="4"/>
    <n v="0"/>
    <n v="3094.8299999999977"/>
    <n v="0.12202236266407379"/>
    <x v="0"/>
    <n v="28457.64"/>
    <n v="1"/>
    <n v="0"/>
  </r>
  <r>
    <s v="PO-00365"/>
    <x v="3"/>
    <x v="92"/>
    <d v="2022-11-24T00:00:00"/>
    <x v="0"/>
    <x v="1"/>
    <n v="1064"/>
    <n v="48.04"/>
    <n v="43.6"/>
    <n v="94"/>
    <x v="0"/>
    <n v="46390.400000000001"/>
    <n v="4"/>
    <n v="8.834586466165413E-2"/>
    <n v="4724.159999999998"/>
    <n v="0.10183486238532105"/>
    <x v="0"/>
    <n v="51114.559999999998"/>
    <n v="1"/>
    <n v="0"/>
  </r>
  <r>
    <s v="PO-00366"/>
    <x v="4"/>
    <x v="277"/>
    <d v="2022-04-04T00:00:00"/>
    <x v="2"/>
    <x v="2"/>
    <n v="58"/>
    <n v="82.57"/>
    <n v="76.55"/>
    <n v="0"/>
    <x v="0"/>
    <n v="4439.8999999999996"/>
    <n v="19"/>
    <n v="0"/>
    <n v="349.15999999999974"/>
    <n v="7.8641410842586495E-2"/>
    <x v="1"/>
    <n v="4789.0599999999995"/>
    <n v="1"/>
    <n v="0"/>
  </r>
  <r>
    <s v="PO-00367"/>
    <x v="3"/>
    <x v="278"/>
    <d v="2022-01-20T00:00:00"/>
    <x v="1"/>
    <x v="1"/>
    <n v="1306"/>
    <n v="23.49"/>
    <n v="20.170000000000002"/>
    <n v="116"/>
    <x v="1"/>
    <n v="26342.02"/>
    <n v="10"/>
    <n v="8.8820826952526799E-2"/>
    <n v="4335.9199999999955"/>
    <n v="0.16460089241447678"/>
    <x v="0"/>
    <n v="30677.94"/>
    <n v="0"/>
    <n v="1"/>
  </r>
  <r>
    <s v="PO-00368"/>
    <x v="1"/>
    <x v="104"/>
    <d v="2023-04-28T00:00:00"/>
    <x v="4"/>
    <x v="1"/>
    <n v="1172"/>
    <n v="32.93"/>
    <n v="29.28"/>
    <n v="0"/>
    <x v="1"/>
    <n v="34316.160000000003"/>
    <n v="13"/>
    <n v="0"/>
    <n v="4277.7999999999984"/>
    <n v="0.12465846994535514"/>
    <x v="0"/>
    <n v="38593.96"/>
    <n v="0"/>
    <n v="1"/>
  </r>
  <r>
    <s v="PO-00369"/>
    <x v="0"/>
    <x v="279"/>
    <m/>
    <x v="2"/>
    <x v="1"/>
    <n v="1732"/>
    <n v="82.5"/>
    <n v="71.709999999999994"/>
    <n v="24"/>
    <x v="0"/>
    <n v="124201.71999999999"/>
    <s v=""/>
    <n v="1.3856812933025405E-2"/>
    <n v="18688.28000000001"/>
    <n v="0.15046715939199562"/>
    <x v="1"/>
    <n v="142890"/>
    <n v="1"/>
    <n v="0"/>
  </r>
  <r>
    <s v="PO-00370"/>
    <x v="2"/>
    <x v="280"/>
    <d v="2023-08-07T00:00:00"/>
    <x v="3"/>
    <x v="1"/>
    <n v="865"/>
    <n v="81.540000000000006"/>
    <n v="71.59"/>
    <n v="39"/>
    <x v="0"/>
    <n v="61925.350000000006"/>
    <n v="7"/>
    <n v="4.5086705202312137E-2"/>
    <n v="8606.7500000000018"/>
    <n v="0.13898589188434141"/>
    <x v="0"/>
    <n v="70532.100000000006"/>
    <n v="1"/>
    <n v="0"/>
  </r>
  <r>
    <s v="PO-00371"/>
    <x v="3"/>
    <x v="281"/>
    <d v="2022-04-20T00:00:00"/>
    <x v="3"/>
    <x v="1"/>
    <n v="257"/>
    <n v="68.72"/>
    <n v="66.92"/>
    <n v="22"/>
    <x v="0"/>
    <n v="17198.439999999999"/>
    <n v="7"/>
    <n v="8.5603112840466927E-2"/>
    <n v="462.59999999999928"/>
    <n v="2.6897788404064517E-2"/>
    <x v="0"/>
    <n v="17661.04"/>
    <n v="1"/>
    <n v="0"/>
  </r>
  <r>
    <s v="PO-00372"/>
    <x v="4"/>
    <x v="282"/>
    <d v="2022-03-26T00:00:00"/>
    <x v="2"/>
    <x v="1"/>
    <n v="1204"/>
    <n v="73.180000000000007"/>
    <n v="67.59"/>
    <n v="31"/>
    <x v="0"/>
    <n v="81378.36"/>
    <n v="9"/>
    <n v="2.5747508305647839E-2"/>
    <n v="6730.3600000000042"/>
    <n v="8.2704542092025504E-2"/>
    <x v="0"/>
    <n v="88108.72"/>
    <n v="1"/>
    <n v="0"/>
  </r>
  <r>
    <s v="PO-00373"/>
    <x v="3"/>
    <x v="283"/>
    <d v="2023-07-09T00:00:00"/>
    <x v="4"/>
    <x v="2"/>
    <n v="453"/>
    <n v="64.14"/>
    <n v="60.18"/>
    <n v="51"/>
    <x v="0"/>
    <n v="27261.54"/>
    <n v="4"/>
    <n v="0.11258278145695365"/>
    <n v="1793.8800000000003"/>
    <n v="6.5802592223330014E-2"/>
    <x v="0"/>
    <n v="29055.420000000002"/>
    <n v="1"/>
    <n v="0"/>
  </r>
  <r>
    <s v="PO-00374"/>
    <x v="4"/>
    <x v="235"/>
    <d v="2022-08-21T00:00:00"/>
    <x v="4"/>
    <x v="1"/>
    <n v="201"/>
    <n v="33.81"/>
    <n v="32.54"/>
    <n v="3"/>
    <x v="0"/>
    <n v="6540.54"/>
    <n v="14"/>
    <n v="1.4925373134328358E-2"/>
    <n v="255.27000000000064"/>
    <n v="3.9028887523048651E-2"/>
    <x v="0"/>
    <n v="6795.81"/>
    <n v="1"/>
    <n v="0"/>
  </r>
  <r>
    <s v="PO-00375"/>
    <x v="1"/>
    <x v="284"/>
    <d v="2023-06-16T00:00:00"/>
    <x v="0"/>
    <x v="1"/>
    <n v="103"/>
    <n v="44.61"/>
    <n v="42.88"/>
    <n v="10"/>
    <x v="0"/>
    <n v="4416.6400000000003"/>
    <n v="13"/>
    <n v="9.7087378640776698E-2"/>
    <n v="178.18999999999969"/>
    <n v="4.0345149253731269E-2"/>
    <x v="0"/>
    <n v="4594.83"/>
    <n v="1"/>
    <n v="0"/>
  </r>
  <r>
    <s v="PO-00376"/>
    <x v="4"/>
    <x v="106"/>
    <d v="2022-10-07T00:00:00"/>
    <x v="0"/>
    <x v="1"/>
    <n v="1193"/>
    <n v="27.4"/>
    <n v="27.09"/>
    <n v="0"/>
    <x v="0"/>
    <n v="32318.37"/>
    <n v="8"/>
    <n v="0"/>
    <n v="369.82999999999845"/>
    <n v="1.1443337024732325E-2"/>
    <x v="0"/>
    <n v="32688.199999999997"/>
    <n v="1"/>
    <n v="0"/>
  </r>
  <r>
    <s v="PO-00377"/>
    <x v="2"/>
    <x v="199"/>
    <d v="2022-05-28T00:00:00"/>
    <x v="0"/>
    <x v="2"/>
    <n v="1746"/>
    <n v="93.6"/>
    <n v="89.81"/>
    <n v="85"/>
    <x v="0"/>
    <n v="156808.26"/>
    <n v="12"/>
    <n v="4.868270332187858E-2"/>
    <n v="6617.3399999999865"/>
    <n v="4.2200200423115376E-2"/>
    <x v="0"/>
    <n v="163425.59999999998"/>
    <n v="1"/>
    <n v="0"/>
  </r>
  <r>
    <s v="PO-00378"/>
    <x v="1"/>
    <x v="285"/>
    <d v="2022-12-26T00:00:00"/>
    <x v="4"/>
    <x v="1"/>
    <n v="1993"/>
    <n v="65.94"/>
    <n v="59.36"/>
    <n v="0"/>
    <x v="0"/>
    <n v="118304.48"/>
    <n v="2"/>
    <n v="0"/>
    <n v="13113.939999999997"/>
    <n v="0.11084905660377356"/>
    <x v="0"/>
    <n v="131418.41999999998"/>
    <n v="1"/>
    <n v="0"/>
  </r>
  <r>
    <s v="PO-00379"/>
    <x v="3"/>
    <x v="160"/>
    <d v="2022-03-27T00:00:00"/>
    <x v="3"/>
    <x v="1"/>
    <n v="677"/>
    <n v="46.54"/>
    <n v="43.11"/>
    <n v="0"/>
    <x v="1"/>
    <n v="29185.47"/>
    <n v="15"/>
    <n v="0"/>
    <n v="2322.1099999999997"/>
    <n v="7.9563906286244476E-2"/>
    <x v="1"/>
    <n v="31507.579999999998"/>
    <n v="0"/>
    <n v="1"/>
  </r>
  <r>
    <s v="PO-00380"/>
    <x v="0"/>
    <x v="4"/>
    <m/>
    <x v="0"/>
    <x v="3"/>
    <n v="636"/>
    <n v="53.64"/>
    <n v="49.23"/>
    <n v="18"/>
    <x v="0"/>
    <n v="31310.28"/>
    <s v=""/>
    <n v="2.8301886792452831E-2"/>
    <n v="2804.7600000000025"/>
    <n v="8.9579524680073214E-2"/>
    <x v="1"/>
    <n v="34115.040000000001"/>
    <n v="1"/>
    <n v="0"/>
  </r>
  <r>
    <s v="PO-00381"/>
    <x v="4"/>
    <x v="286"/>
    <d v="2023-02-02T00:00:00"/>
    <x v="2"/>
    <x v="1"/>
    <n v="1698"/>
    <n v="100.97"/>
    <n v="98.73"/>
    <n v="52"/>
    <x v="0"/>
    <n v="167643.54"/>
    <n v="19"/>
    <n v="3.0624263839811542E-2"/>
    <n v="3803.5199999999913"/>
    <n v="2.2688139369998934E-2"/>
    <x v="1"/>
    <n v="171447.06"/>
    <n v="1"/>
    <n v="0"/>
  </r>
  <r>
    <s v="PO-00382"/>
    <x v="2"/>
    <x v="287"/>
    <d v="2022-11-01T00:00:00"/>
    <x v="0"/>
    <x v="1"/>
    <n v="1493"/>
    <n v="24.87"/>
    <n v="22.89"/>
    <n v="56"/>
    <x v="0"/>
    <n v="34174.770000000004"/>
    <n v="13"/>
    <n v="3.7508372404554589E-2"/>
    <n v="2956.1400000000008"/>
    <n v="8.6500655307994764E-2"/>
    <x v="0"/>
    <n v="37130.910000000003"/>
    <n v="1"/>
    <n v="0"/>
  </r>
  <r>
    <s v="PO-00383"/>
    <x v="0"/>
    <x v="136"/>
    <d v="2022-06-25T00:00:00"/>
    <x v="2"/>
    <x v="1"/>
    <n v="1495"/>
    <n v="64.33"/>
    <n v="58.18"/>
    <n v="26"/>
    <x v="0"/>
    <n v="86979.1"/>
    <n v="14"/>
    <n v="1.7391304347826087E-2"/>
    <n v="9194.2499999999982"/>
    <n v="0.10570642832588516"/>
    <x v="0"/>
    <n v="96173.349999999991"/>
    <n v="1"/>
    <n v="0"/>
  </r>
  <r>
    <s v="PO-00384"/>
    <x v="0"/>
    <x v="176"/>
    <d v="2023-04-07T00:00:00"/>
    <x v="2"/>
    <x v="0"/>
    <n v="153"/>
    <n v="59.42"/>
    <n v="52"/>
    <n v="3"/>
    <x v="0"/>
    <n v="7956"/>
    <n v="13"/>
    <n v="1.9607843137254902E-2"/>
    <n v="1135.2600000000002"/>
    <n v="0.14269230769230773"/>
    <x v="0"/>
    <n v="9091.26"/>
    <n v="1"/>
    <n v="0"/>
  </r>
  <r>
    <s v="PO-00385"/>
    <x v="1"/>
    <x v="288"/>
    <d v="2023-07-22T00:00:00"/>
    <x v="3"/>
    <x v="0"/>
    <n v="1925"/>
    <n v="70.88"/>
    <n v="63.41"/>
    <n v="292"/>
    <x v="0"/>
    <n v="122064.25"/>
    <n v="11"/>
    <n v="0.15168831168831168"/>
    <n v="14379.749999999998"/>
    <n v="0.11780476265573252"/>
    <x v="0"/>
    <n v="136444"/>
    <n v="1"/>
    <n v="0"/>
  </r>
  <r>
    <s v="PO-00386"/>
    <x v="3"/>
    <x v="289"/>
    <d v="2024-01-11T00:00:00"/>
    <x v="2"/>
    <x v="1"/>
    <n v="303"/>
    <n v="12.97"/>
    <n v="11.42"/>
    <n v="0"/>
    <x v="1"/>
    <n v="3460.2599999999998"/>
    <n v="20"/>
    <n v="0"/>
    <n v="469.6500000000002"/>
    <n v="0.13572679509632232"/>
    <x v="1"/>
    <n v="3929.9100000000003"/>
    <n v="0"/>
    <n v="1"/>
  </r>
  <r>
    <s v="PO-00387"/>
    <x v="0"/>
    <x v="290"/>
    <d v="2022-11-18T00:00:00"/>
    <x v="0"/>
    <x v="1"/>
    <n v="1300"/>
    <n v="92.92"/>
    <n v="90.63"/>
    <n v="0"/>
    <x v="0"/>
    <n v="117819"/>
    <n v="12"/>
    <n v="0"/>
    <n v="2977.0000000000082"/>
    <n v="2.5267571444334176E-2"/>
    <x v="0"/>
    <n v="120796"/>
    <n v="1"/>
    <n v="0"/>
  </r>
  <r>
    <s v="PO-00388"/>
    <x v="2"/>
    <x v="291"/>
    <d v="2023-09-23T00:00:00"/>
    <x v="3"/>
    <x v="1"/>
    <n v="1185"/>
    <n v="103.28"/>
    <n v="99.05"/>
    <n v="0"/>
    <x v="0"/>
    <n v="117374.25"/>
    <n v="4"/>
    <n v="0"/>
    <n v="5012.5500000000047"/>
    <n v="4.270570418980317E-2"/>
    <x v="0"/>
    <n v="122386.8"/>
    <n v="1"/>
    <n v="0"/>
  </r>
  <r>
    <s v="PO-00389"/>
    <x v="4"/>
    <x v="214"/>
    <d v="2023-11-20T00:00:00"/>
    <x v="3"/>
    <x v="1"/>
    <n v="559"/>
    <n v="67.56"/>
    <n v="57.98"/>
    <n v="15"/>
    <x v="0"/>
    <n v="32410.82"/>
    <n v="19"/>
    <n v="2.6833631484794274E-2"/>
    <n v="5355.220000000003"/>
    <n v="0.16522938944463617"/>
    <x v="1"/>
    <n v="37766.04"/>
    <n v="1"/>
    <n v="0"/>
  </r>
  <r>
    <s v="PO-00390"/>
    <x v="4"/>
    <x v="128"/>
    <d v="2023-06-29T00:00:00"/>
    <x v="4"/>
    <x v="3"/>
    <n v="1546"/>
    <n v="78.88"/>
    <n v="78"/>
    <n v="38"/>
    <x v="0"/>
    <n v="120588"/>
    <n v="3"/>
    <n v="2.4579560155239329E-2"/>
    <n v="1360.479999999993"/>
    <n v="1.1282051282051224E-2"/>
    <x v="0"/>
    <n v="121948.48"/>
    <n v="1"/>
    <n v="0"/>
  </r>
  <r>
    <s v="PO-00391"/>
    <x v="4"/>
    <x v="292"/>
    <d v="2022-01-19T00:00:00"/>
    <x v="2"/>
    <x v="1"/>
    <n v="148"/>
    <n v="93.02"/>
    <n v="85.96"/>
    <n v="4"/>
    <x v="0"/>
    <n v="12722.08"/>
    <n v="10"/>
    <n v="2.7027027027027029E-2"/>
    <n v="1044.8800000000003"/>
    <n v="8.2131223825034932E-2"/>
    <x v="0"/>
    <n v="13766.96"/>
    <n v="1"/>
    <n v="0"/>
  </r>
  <r>
    <s v="PO-00392"/>
    <x v="1"/>
    <x v="293"/>
    <d v="2023-11-23T00:00:00"/>
    <x v="0"/>
    <x v="1"/>
    <n v="202"/>
    <n v="81.75"/>
    <n v="78.260000000000005"/>
    <n v="37"/>
    <x v="1"/>
    <n v="15808.52"/>
    <n v="8"/>
    <n v="0.18316831683168316"/>
    <n v="704.979999999999"/>
    <n v="4.4594939943777091E-2"/>
    <x v="0"/>
    <n v="16513.5"/>
    <n v="0"/>
    <n v="1"/>
  </r>
  <r>
    <s v="PO-00393"/>
    <x v="2"/>
    <x v="185"/>
    <d v="2023-07-28T00:00:00"/>
    <x v="2"/>
    <x v="1"/>
    <n v="1934"/>
    <n v="25.86"/>
    <n v="25.6"/>
    <n v="78"/>
    <x v="0"/>
    <n v="49510.400000000001"/>
    <n v="6"/>
    <n v="4.0330920372285417E-2"/>
    <n v="502.83999999999617"/>
    <n v="1.0156249999999922E-2"/>
    <x v="0"/>
    <n v="50013.24"/>
    <n v="1"/>
    <n v="0"/>
  </r>
  <r>
    <s v="PO-00394"/>
    <x v="0"/>
    <x v="294"/>
    <d v="2022-11-07T00:00:00"/>
    <x v="0"/>
    <x v="1"/>
    <n v="963"/>
    <n v="64.959999999999994"/>
    <n v="64.069999999999993"/>
    <n v="20"/>
    <x v="0"/>
    <n v="61699.409999999996"/>
    <n v="4"/>
    <n v="2.0768431983385256E-2"/>
    <n v="857.0700000000005"/>
    <n v="1.3891056656781654E-2"/>
    <x v="0"/>
    <n v="62556.479999999996"/>
    <n v="1"/>
    <n v="0"/>
  </r>
  <r>
    <s v="PO-00395"/>
    <x v="2"/>
    <x v="295"/>
    <d v="2023-11-18T00:00:00"/>
    <x v="1"/>
    <x v="1"/>
    <n v="1969"/>
    <n v="71.709999999999994"/>
    <n v="61.96"/>
    <n v="0"/>
    <x v="0"/>
    <n v="121999.24"/>
    <n v="7"/>
    <n v="0"/>
    <n v="19197.749999999985"/>
    <n v="0.15735958683021292"/>
    <x v="0"/>
    <n v="141196.99"/>
    <n v="1"/>
    <n v="0"/>
  </r>
  <r>
    <s v="PO-00396"/>
    <x v="1"/>
    <x v="296"/>
    <m/>
    <x v="4"/>
    <x v="1"/>
    <n v="927"/>
    <n v="48.89"/>
    <n v="46.05"/>
    <n v="138"/>
    <x v="0"/>
    <n v="42688.35"/>
    <s v=""/>
    <n v="0.14886731391585761"/>
    <n v="2632.680000000003"/>
    <n v="6.1672095548317117E-2"/>
    <x v="1"/>
    <n v="45321.03"/>
    <n v="1"/>
    <n v="0"/>
  </r>
  <r>
    <s v="PO-00397"/>
    <x v="1"/>
    <x v="297"/>
    <d v="2022-05-23T00:00:00"/>
    <x v="3"/>
    <x v="0"/>
    <n v="387"/>
    <n v="77.81"/>
    <n v="69.040000000000006"/>
    <n v="67"/>
    <x v="0"/>
    <n v="26718.480000000003"/>
    <n v="5"/>
    <n v="0.1731266149870801"/>
    <n v="3393.9899999999984"/>
    <n v="0.12702780996523746"/>
    <x v="0"/>
    <n v="30112.47"/>
    <n v="1"/>
    <n v="0"/>
  </r>
  <r>
    <s v="PO-00398"/>
    <x v="3"/>
    <x v="43"/>
    <d v="2022-10-03T00:00:00"/>
    <x v="4"/>
    <x v="1"/>
    <n v="1779"/>
    <n v="97.86"/>
    <n v="94.36"/>
    <n v="176"/>
    <x v="0"/>
    <n v="167866.44"/>
    <n v="5"/>
    <n v="9.8931984260820685E-2"/>
    <n v="6226.5"/>
    <n v="3.7091988130563795E-2"/>
    <x v="0"/>
    <n v="174092.94"/>
    <n v="1"/>
    <n v="0"/>
  </r>
  <r>
    <s v="PO-00399"/>
    <x v="2"/>
    <x v="298"/>
    <d v="2022-05-05T00:00:00"/>
    <x v="1"/>
    <x v="3"/>
    <n v="871"/>
    <n v="94.7"/>
    <n v="92.66"/>
    <n v="46"/>
    <x v="0"/>
    <n v="80706.86"/>
    <n v="6"/>
    <n v="5.2812858783008038E-2"/>
    <n v="1776.8400000000054"/>
    <n v="2.2015972372113168E-2"/>
    <x v="0"/>
    <n v="82483.7"/>
    <n v="1"/>
    <n v="0"/>
  </r>
  <r>
    <s v="PO-00400"/>
    <x v="4"/>
    <x v="299"/>
    <d v="2022-04-23T00:00:00"/>
    <x v="4"/>
    <x v="1"/>
    <n v="1236"/>
    <n v="51.33"/>
    <n v="44.03"/>
    <n v="25"/>
    <x v="0"/>
    <n v="54421.08"/>
    <n v="3"/>
    <n v="2.0226537216828478E-2"/>
    <n v="9022.7999999999956"/>
    <n v="0.16579604814898924"/>
    <x v="0"/>
    <n v="63443.88"/>
    <n v="1"/>
    <n v="0"/>
  </r>
  <r>
    <s v="PO-00401"/>
    <x v="1"/>
    <x v="130"/>
    <d v="2023-08-06T00:00:00"/>
    <x v="4"/>
    <x v="1"/>
    <n v="1793"/>
    <n v="22.01"/>
    <n v="21.78"/>
    <n v="285"/>
    <x v="0"/>
    <n v="39051.54"/>
    <n v="16"/>
    <n v="0.15895147796988288"/>
    <n v="412.39000000000078"/>
    <n v="1.0560146923783308E-2"/>
    <x v="1"/>
    <n v="39463.93"/>
    <n v="1"/>
    <n v="0"/>
  </r>
  <r>
    <s v="PO-00402"/>
    <x v="1"/>
    <x v="34"/>
    <d v="2022-06-28T00:00:00"/>
    <x v="1"/>
    <x v="1"/>
    <n v="1006"/>
    <n v="101.1"/>
    <n v="89.04"/>
    <n v="139"/>
    <x v="0"/>
    <n v="89574.24"/>
    <n v="19"/>
    <n v="0.13817097415506957"/>
    <n v="12132.359999999988"/>
    <n v="0.13544474393530984"/>
    <x v="1"/>
    <n v="101706.59999999999"/>
    <n v="1"/>
    <n v="0"/>
  </r>
  <r>
    <s v="PO-00403"/>
    <x v="3"/>
    <x v="300"/>
    <d v="2022-10-21T00:00:00"/>
    <x v="4"/>
    <x v="0"/>
    <n v="1754"/>
    <n v="89.35"/>
    <n v="86.54"/>
    <n v="161"/>
    <x v="1"/>
    <n v="151791.16"/>
    <n v="15"/>
    <n v="9.1790193842645376E-2"/>
    <n v="4928.7399999999789"/>
    <n v="3.2470533857175729E-2"/>
    <x v="1"/>
    <n v="156719.9"/>
    <n v="0"/>
    <n v="1"/>
  </r>
  <r>
    <s v="PO-00404"/>
    <x v="4"/>
    <x v="301"/>
    <d v="2022-11-04T00:00:00"/>
    <x v="4"/>
    <x v="1"/>
    <n v="210"/>
    <n v="22.17"/>
    <n v="21.32"/>
    <n v="10"/>
    <x v="0"/>
    <n v="4477.2"/>
    <n v="19"/>
    <n v="4.7619047619047616E-2"/>
    <n v="178.50000000000028"/>
    <n v="3.9868667917448468E-2"/>
    <x v="1"/>
    <n v="4655.7000000000007"/>
    <n v="1"/>
    <n v="0"/>
  </r>
  <r>
    <s v="PO-00405"/>
    <x v="1"/>
    <x v="302"/>
    <d v="2023-10-02T00:00:00"/>
    <x v="1"/>
    <x v="1"/>
    <n v="1653"/>
    <n v="102.16"/>
    <n v="91.91"/>
    <n v="217"/>
    <x v="0"/>
    <n v="151927.22999999998"/>
    <n v="20"/>
    <n v="0.13127646702964307"/>
    <n v="16943.25"/>
    <n v="0.11152214122511153"/>
    <x v="1"/>
    <n v="168870.47999999998"/>
    <n v="1"/>
    <n v="0"/>
  </r>
  <r>
    <s v="PO-00406"/>
    <x v="0"/>
    <x v="303"/>
    <d v="2022-08-15T00:00:00"/>
    <x v="1"/>
    <x v="2"/>
    <n v="850"/>
    <n v="91.38"/>
    <n v="88.41"/>
    <n v="24"/>
    <x v="0"/>
    <n v="75148.5"/>
    <n v="11"/>
    <n v="2.823529411764706E-2"/>
    <n v="2524.4999999999991"/>
    <n v="3.3593484899898191E-2"/>
    <x v="0"/>
    <n v="77673"/>
    <n v="1"/>
    <n v="0"/>
  </r>
  <r>
    <s v="PO-00407"/>
    <x v="4"/>
    <x v="304"/>
    <d v="2022-12-21T00:00:00"/>
    <x v="3"/>
    <x v="1"/>
    <n v="447"/>
    <n v="59.81"/>
    <n v="57.92"/>
    <n v="13"/>
    <x v="0"/>
    <n v="25890.240000000002"/>
    <n v="3"/>
    <n v="2.9082774049217001E-2"/>
    <n v="844.83000000000027"/>
    <n v="3.263121546961327E-2"/>
    <x v="0"/>
    <n v="26735.07"/>
    <n v="1"/>
    <n v="0"/>
  </r>
  <r>
    <s v="PO-00408"/>
    <x v="2"/>
    <x v="305"/>
    <d v="2022-08-07T00:00:00"/>
    <x v="0"/>
    <x v="1"/>
    <n v="1350"/>
    <n v="65.11"/>
    <n v="56.95"/>
    <n v="71"/>
    <x v="0"/>
    <n v="76882.5"/>
    <n v="10"/>
    <n v="5.2592592592592594E-2"/>
    <n v="11015.999999999995"/>
    <n v="0.14328358208955216"/>
    <x v="0"/>
    <n v="87898.5"/>
    <n v="1"/>
    <n v="0"/>
  </r>
  <r>
    <s v="PO-00409"/>
    <x v="3"/>
    <x v="306"/>
    <d v="2023-12-24T00:00:00"/>
    <x v="0"/>
    <x v="1"/>
    <n v="865"/>
    <n v="51.19"/>
    <n v="47.76"/>
    <n v="83"/>
    <x v="0"/>
    <n v="41312.400000000001"/>
    <n v="19"/>
    <n v="9.595375722543352E-2"/>
    <n v="2966.95"/>
    <n v="7.1817420435510884E-2"/>
    <x v="1"/>
    <n v="44279.35"/>
    <n v="1"/>
    <n v="0"/>
  </r>
  <r>
    <s v="PO-00410"/>
    <x v="0"/>
    <x v="307"/>
    <d v="2023-10-29T00:00:00"/>
    <x v="1"/>
    <x v="1"/>
    <n v="1989"/>
    <n v="16.5"/>
    <n v="15.89"/>
    <n v="57"/>
    <x v="0"/>
    <n v="31605.210000000003"/>
    <n v="17"/>
    <n v="2.8657616892911009E-2"/>
    <n v="1213.2899999999988"/>
    <n v="3.8388923851478879E-2"/>
    <x v="1"/>
    <n v="32818.5"/>
    <n v="1"/>
    <n v="0"/>
  </r>
  <r>
    <s v="PO-00411"/>
    <x v="0"/>
    <x v="43"/>
    <d v="2022-10-13T00:00:00"/>
    <x v="0"/>
    <x v="1"/>
    <n v="1577"/>
    <n v="41.77"/>
    <n v="39.58"/>
    <n v="32"/>
    <x v="0"/>
    <n v="62417.659999999996"/>
    <n v="15"/>
    <n v="2.0291693088142042E-2"/>
    <n v="3453.6300000000078"/>
    <n v="5.5330975240020341E-2"/>
    <x v="1"/>
    <n v="65871.290000000008"/>
    <n v="1"/>
    <n v="0"/>
  </r>
  <r>
    <s v="PO-00412"/>
    <x v="2"/>
    <x v="18"/>
    <d v="2023-06-04T00:00:00"/>
    <x v="2"/>
    <x v="3"/>
    <n v="1969"/>
    <n v="89.25"/>
    <n v="87.28"/>
    <n v="108"/>
    <x v="1"/>
    <n v="171854.32"/>
    <n v="2"/>
    <n v="5.485017775520569E-2"/>
    <n v="3878.9299999999976"/>
    <n v="2.2571035747021066E-2"/>
    <x v="0"/>
    <n v="175733.25"/>
    <n v="0"/>
    <n v="1"/>
  </r>
  <r>
    <s v="PO-00413"/>
    <x v="3"/>
    <x v="151"/>
    <d v="2023-05-26T00:00:00"/>
    <x v="2"/>
    <x v="2"/>
    <n v="1465"/>
    <n v="11.25"/>
    <n v="9.61"/>
    <n v="151"/>
    <x v="0"/>
    <n v="14078.65"/>
    <n v="10"/>
    <n v="0.10307167235494881"/>
    <n v="2402.6000000000008"/>
    <n v="0.17065556711758592"/>
    <x v="0"/>
    <n v="16481.25"/>
    <n v="1"/>
    <n v="0"/>
  </r>
  <r>
    <s v="PO-00414"/>
    <x v="1"/>
    <x v="129"/>
    <d v="2022-09-18T00:00:00"/>
    <x v="2"/>
    <x v="3"/>
    <n v="1208"/>
    <n v="41.62"/>
    <n v="39.46"/>
    <n v="0"/>
    <x v="0"/>
    <n v="47667.68"/>
    <n v="3"/>
    <n v="0"/>
    <n v="2609.2799999999961"/>
    <n v="5.4738976178408436E-2"/>
    <x v="0"/>
    <n v="50276.959999999999"/>
    <n v="1"/>
    <n v="0"/>
  </r>
  <r>
    <s v="PO-00415"/>
    <x v="3"/>
    <x v="308"/>
    <d v="2022-03-11T00:00:00"/>
    <x v="3"/>
    <x v="1"/>
    <n v="1268"/>
    <n v="46.06"/>
    <n v="45.26"/>
    <n v="123"/>
    <x v="0"/>
    <n v="57389.68"/>
    <n v="17"/>
    <n v="9.7003154574132486E-2"/>
    <n v="1014.4000000000054"/>
    <n v="1.7675651789659838E-2"/>
    <x v="1"/>
    <n v="58404.08"/>
    <n v="1"/>
    <n v="0"/>
  </r>
  <r>
    <s v="PO-00416"/>
    <x v="1"/>
    <x v="37"/>
    <d v="2022-04-24T00:00:00"/>
    <x v="0"/>
    <x v="1"/>
    <n v="450"/>
    <n v="59.24"/>
    <n v="55.03"/>
    <n v="68"/>
    <x v="1"/>
    <n v="24763.5"/>
    <n v="19"/>
    <n v="0.15111111111111111"/>
    <n v="1894.5000000000005"/>
    <n v="7.6503725240777781E-2"/>
    <x v="1"/>
    <n v="26658"/>
    <n v="0"/>
    <n v="1"/>
  </r>
  <r>
    <s v="PO-00417"/>
    <x v="2"/>
    <x v="307"/>
    <d v="2023-10-14T00:00:00"/>
    <x v="4"/>
    <x v="2"/>
    <n v="689"/>
    <n v="102.53"/>
    <n v="95.23"/>
    <n v="38"/>
    <x v="0"/>
    <n v="65613.47"/>
    <n v="2"/>
    <n v="5.5152394775036286E-2"/>
    <n v="5029.699999999998"/>
    <n v="7.6656515803843292E-2"/>
    <x v="0"/>
    <n v="70643.17"/>
    <n v="1"/>
    <n v="0"/>
  </r>
  <r>
    <s v="PO-00418"/>
    <x v="2"/>
    <x v="170"/>
    <d v="2023-03-29T00:00:00"/>
    <x v="1"/>
    <x v="1"/>
    <n v="1106"/>
    <n v="44.05"/>
    <n v="38.6"/>
    <n v="51"/>
    <x v="0"/>
    <n v="42691.6"/>
    <n v="19"/>
    <n v="4.6112115732368897E-2"/>
    <n v="6027.6999999999953"/>
    <n v="0.14119170984455948"/>
    <x v="1"/>
    <n v="48719.299999999996"/>
    <n v="1"/>
    <n v="0"/>
  </r>
  <r>
    <s v="PO-00419"/>
    <x v="0"/>
    <x v="309"/>
    <d v="2022-10-22T00:00:00"/>
    <x v="0"/>
    <x v="1"/>
    <n v="737"/>
    <n v="43.08"/>
    <n v="42.58"/>
    <n v="21"/>
    <x v="0"/>
    <n v="31381.46"/>
    <n v="11"/>
    <n v="2.8493894165535955E-2"/>
    <n v="368.5"/>
    <n v="1.1742602160638799E-2"/>
    <x v="0"/>
    <n v="31749.96"/>
    <n v="1"/>
    <n v="0"/>
  </r>
  <r>
    <s v="PO-00420"/>
    <x v="0"/>
    <x v="310"/>
    <d v="2022-03-04T00:00:00"/>
    <x v="3"/>
    <x v="1"/>
    <n v="509"/>
    <n v="76.760000000000005"/>
    <n v="74.72"/>
    <n v="7"/>
    <x v="1"/>
    <n v="38032.479999999996"/>
    <n v="17"/>
    <n v="1.37524557956778E-2"/>
    <n v="1038.3600000000031"/>
    <n v="2.7301927194860898E-2"/>
    <x v="1"/>
    <n v="39070.840000000004"/>
    <n v="0"/>
    <n v="1"/>
  </r>
  <r>
    <s v="PO-00421"/>
    <x v="0"/>
    <x v="137"/>
    <d v="2022-01-06T00:00:00"/>
    <x v="4"/>
    <x v="1"/>
    <n v="1004"/>
    <n v="50.7"/>
    <n v="46.59"/>
    <n v="27"/>
    <x v="0"/>
    <n v="46776.36"/>
    <n v="2"/>
    <n v="2.6892430278884463E-2"/>
    <n v="4126.4399999999996"/>
    <n v="8.8216355441081765E-2"/>
    <x v="0"/>
    <n v="50902.8"/>
    <n v="1"/>
    <n v="0"/>
  </r>
  <r>
    <s v="PO-00422"/>
    <x v="2"/>
    <x v="311"/>
    <d v="2022-12-19T00:00:00"/>
    <x v="1"/>
    <x v="3"/>
    <n v="1956"/>
    <n v="31.88"/>
    <n v="28.48"/>
    <n v="86"/>
    <x v="0"/>
    <n v="55706.879999999997"/>
    <n v="11"/>
    <n v="4.396728016359918E-2"/>
    <n v="6650.3999999999969"/>
    <n v="0.11938202247191006"/>
    <x v="0"/>
    <n v="62357.279999999999"/>
    <n v="1"/>
    <n v="0"/>
  </r>
  <r>
    <s v="PO-00423"/>
    <x v="1"/>
    <x v="312"/>
    <m/>
    <x v="4"/>
    <x v="1"/>
    <n v="519"/>
    <n v="51.73"/>
    <n v="47.52"/>
    <n v="81"/>
    <x v="1"/>
    <n v="24662.880000000001"/>
    <s v=""/>
    <n v="0.15606936416184972"/>
    <n v="2184.9899999999966"/>
    <n v="8.8594276094275948E-2"/>
    <x v="1"/>
    <n v="26847.87"/>
    <n v="0"/>
    <n v="1"/>
  </r>
  <r>
    <s v="PO-00424"/>
    <x v="2"/>
    <x v="313"/>
    <d v="2023-10-21T00:00:00"/>
    <x v="1"/>
    <x v="2"/>
    <n v="1448"/>
    <n v="25.06"/>
    <n v="21.62"/>
    <n v="84"/>
    <x v="0"/>
    <n v="31305.760000000002"/>
    <n v="6"/>
    <n v="5.8011049723756904E-2"/>
    <n v="4981.1199999999972"/>
    <n v="0.15911193339500451"/>
    <x v="0"/>
    <n v="36286.879999999997"/>
    <n v="1"/>
    <n v="0"/>
  </r>
  <r>
    <s v="PO-00425"/>
    <x v="2"/>
    <x v="314"/>
    <d v="2022-10-11T00:00:00"/>
    <x v="2"/>
    <x v="1"/>
    <n v="1095"/>
    <n v="26.91"/>
    <n v="23.75"/>
    <n v="53"/>
    <x v="0"/>
    <n v="26006.25"/>
    <n v="15"/>
    <n v="4.8401826484018265E-2"/>
    <n v="3460.2000000000003"/>
    <n v="0.13305263157894737"/>
    <x v="1"/>
    <n v="29466.45"/>
    <n v="1"/>
    <n v="0"/>
  </r>
  <r>
    <s v="PO-00426"/>
    <x v="0"/>
    <x v="145"/>
    <m/>
    <x v="1"/>
    <x v="1"/>
    <n v="799"/>
    <n v="56.22"/>
    <n v="49.51"/>
    <n v="18"/>
    <x v="0"/>
    <n v="39558.49"/>
    <s v=""/>
    <n v="2.2528160200250311E-2"/>
    <n v="5361.2900000000009"/>
    <n v="0.13552817612603518"/>
    <x v="1"/>
    <n v="44919.78"/>
    <n v="1"/>
    <n v="0"/>
  </r>
  <r>
    <s v="PO-00427"/>
    <x v="3"/>
    <x v="315"/>
    <d v="2023-04-18T00:00:00"/>
    <x v="1"/>
    <x v="2"/>
    <n v="1743"/>
    <n v="51.04"/>
    <n v="47.15"/>
    <n v="160"/>
    <x v="0"/>
    <n v="82182.45"/>
    <n v="20"/>
    <n v="9.1795754446356861E-2"/>
    <n v="6780.2700000000013"/>
    <n v="8.2502651113467676E-2"/>
    <x v="1"/>
    <n v="88962.72"/>
    <n v="1"/>
    <n v="0"/>
  </r>
  <r>
    <s v="PO-00428"/>
    <x v="0"/>
    <x v="316"/>
    <d v="2023-07-31T00:00:00"/>
    <x v="3"/>
    <x v="1"/>
    <n v="87"/>
    <n v="100.65"/>
    <n v="85.56"/>
    <n v="1"/>
    <x v="0"/>
    <n v="7443.72"/>
    <n v="12"/>
    <n v="1.1494252873563218E-2"/>
    <n v="1312.8300000000004"/>
    <n v="0.17636746143057508"/>
    <x v="0"/>
    <n v="8756.5500000000011"/>
    <n v="1"/>
    <n v="0"/>
  </r>
  <r>
    <s v="PO-00429"/>
    <x v="3"/>
    <x v="317"/>
    <m/>
    <x v="3"/>
    <x v="1"/>
    <n v="279"/>
    <n v="47.52"/>
    <n v="46.5"/>
    <n v="28"/>
    <x v="1"/>
    <n v="12973.5"/>
    <s v=""/>
    <n v="0.1003584229390681"/>
    <n v="284.58000000000089"/>
    <n v="2.193548387096781E-2"/>
    <x v="1"/>
    <n v="13258.080000000002"/>
    <n v="0"/>
    <n v="1"/>
  </r>
  <r>
    <s v="PO-00430"/>
    <x v="1"/>
    <x v="318"/>
    <d v="2023-03-25T00:00:00"/>
    <x v="3"/>
    <x v="1"/>
    <n v="1438"/>
    <n v="66.61"/>
    <n v="58.5"/>
    <n v="237"/>
    <x v="0"/>
    <n v="84123"/>
    <n v="11"/>
    <n v="0.16481223922114047"/>
    <n v="11662.179999999998"/>
    <n v="0.1386324786324786"/>
    <x v="0"/>
    <n v="95785.18"/>
    <n v="1"/>
    <n v="0"/>
  </r>
  <r>
    <s v="PO-00431"/>
    <x v="1"/>
    <x v="21"/>
    <d v="2023-07-31T00:00:00"/>
    <x v="0"/>
    <x v="2"/>
    <n v="612"/>
    <n v="72.930000000000007"/>
    <n v="63.32"/>
    <n v="99"/>
    <x v="0"/>
    <n v="38751.840000000004"/>
    <n v="2"/>
    <n v="0.16176470588235295"/>
    <n v="5881.3200000000043"/>
    <n v="0.15176879343019592"/>
    <x v="0"/>
    <n v="44633.16"/>
    <n v="1"/>
    <n v="0"/>
  </r>
  <r>
    <s v="PO-00432"/>
    <x v="4"/>
    <x v="278"/>
    <d v="2022-01-21T00:00:00"/>
    <x v="2"/>
    <x v="3"/>
    <n v="487"/>
    <n v="11.18"/>
    <n v="10.63"/>
    <n v="15"/>
    <x v="0"/>
    <n v="5176.8100000000004"/>
    <n v="11"/>
    <n v="3.0800821355236138E-2"/>
    <n v="267.84999999999945"/>
    <n v="5.1740357478833383E-2"/>
    <x v="0"/>
    <n v="5444.66"/>
    <n v="1"/>
    <n v="0"/>
  </r>
  <r>
    <s v="PO-00433"/>
    <x v="4"/>
    <x v="1"/>
    <d v="2022-04-29T00:00:00"/>
    <x v="2"/>
    <x v="2"/>
    <n v="1849"/>
    <n v="70.760000000000005"/>
    <n v="69.25"/>
    <n v="51"/>
    <x v="0"/>
    <n v="128043.25"/>
    <n v="4"/>
    <n v="2.7582477014602487E-2"/>
    <n v="2791.9900000000093"/>
    <n v="2.180505415162462E-2"/>
    <x v="0"/>
    <n v="130835.24"/>
    <n v="1"/>
    <n v="0"/>
  </r>
  <r>
    <s v="PO-00434"/>
    <x v="4"/>
    <x v="225"/>
    <d v="2022-04-01T00:00:00"/>
    <x v="1"/>
    <x v="2"/>
    <n v="1356"/>
    <n v="26.28"/>
    <n v="25.44"/>
    <n v="47"/>
    <x v="0"/>
    <n v="34496.639999999999"/>
    <n v="13"/>
    <n v="3.466076696165192E-2"/>
    <n v="1139.0399999999997"/>
    <n v="3.3018867924528295E-2"/>
    <x v="0"/>
    <n v="35635.68"/>
    <n v="1"/>
    <n v="0"/>
  </r>
  <r>
    <s v="PO-00435"/>
    <x v="1"/>
    <x v="319"/>
    <d v="2023-12-29T00:00:00"/>
    <x v="3"/>
    <x v="1"/>
    <n v="76"/>
    <n v="107.59"/>
    <n v="96.33"/>
    <n v="10"/>
    <x v="0"/>
    <n v="7321.08"/>
    <n v="20"/>
    <n v="0.13157894736842105"/>
    <n v="855.76000000000045"/>
    <n v="0.1168898577805461"/>
    <x v="1"/>
    <n v="8176.84"/>
    <n v="1"/>
    <n v="0"/>
  </r>
  <r>
    <s v="PO-00436"/>
    <x v="0"/>
    <x v="320"/>
    <d v="2022-06-13T00:00:00"/>
    <x v="2"/>
    <x v="2"/>
    <n v="275"/>
    <n v="23.96"/>
    <n v="20.440000000000001"/>
    <n v="0"/>
    <x v="0"/>
    <n v="5621"/>
    <n v="11"/>
    <n v="0"/>
    <n v="967.99999999999989"/>
    <n v="0.17221135029354206"/>
    <x v="0"/>
    <n v="6589"/>
    <n v="1"/>
    <n v="0"/>
  </r>
  <r>
    <s v="PO-00437"/>
    <x v="0"/>
    <x v="9"/>
    <d v="2023-07-18T00:00:00"/>
    <x v="2"/>
    <x v="1"/>
    <n v="1350"/>
    <n v="51.57"/>
    <n v="48.07"/>
    <n v="0"/>
    <x v="0"/>
    <n v="64894.5"/>
    <n v="5"/>
    <n v="0"/>
    <n v="4725"/>
    <n v="7.2810484709798215E-2"/>
    <x v="0"/>
    <n v="69619.5"/>
    <n v="1"/>
    <n v="0"/>
  </r>
  <r>
    <s v="PO-00438"/>
    <x v="0"/>
    <x v="321"/>
    <m/>
    <x v="1"/>
    <x v="1"/>
    <n v="847"/>
    <n v="17.77"/>
    <n v="17.39"/>
    <n v="0"/>
    <x v="0"/>
    <n v="14729.33"/>
    <s v=""/>
    <n v="0"/>
    <n v="321.85999999999916"/>
    <n v="2.1851638872915413E-2"/>
    <x v="1"/>
    <n v="15051.19"/>
    <n v="1"/>
    <n v="0"/>
  </r>
  <r>
    <s v="PO-00439"/>
    <x v="2"/>
    <x v="286"/>
    <d v="2023-01-27T00:00:00"/>
    <x v="1"/>
    <x v="1"/>
    <n v="1682"/>
    <n v="105.7"/>
    <n v="101.3"/>
    <n v="94"/>
    <x v="0"/>
    <n v="170386.6"/>
    <n v="13"/>
    <n v="5.5885850178359099E-2"/>
    <n v="7400.8000000000093"/>
    <n v="4.3435340572556817E-2"/>
    <x v="0"/>
    <n v="177787.4"/>
    <n v="1"/>
    <n v="0"/>
  </r>
  <r>
    <s v="PO-00440"/>
    <x v="4"/>
    <x v="322"/>
    <d v="2023-08-23T00:00:00"/>
    <x v="4"/>
    <x v="1"/>
    <n v="333"/>
    <n v="60.44"/>
    <n v="58.54"/>
    <n v="8"/>
    <x v="0"/>
    <n v="19493.82"/>
    <n v="3"/>
    <n v="2.4024024024024024E-2"/>
    <n v="632.69999999999948"/>
    <n v="3.2456440040997583E-2"/>
    <x v="0"/>
    <n v="20126.52"/>
    <n v="1"/>
    <n v="0"/>
  </r>
  <r>
    <s v="PO-00441"/>
    <x v="0"/>
    <x v="50"/>
    <d v="2023-08-02T00:00:00"/>
    <x v="4"/>
    <x v="0"/>
    <n v="928"/>
    <n v="69.31"/>
    <n v="67.260000000000005"/>
    <n v="20"/>
    <x v="0"/>
    <n v="62417.280000000006"/>
    <n v="13"/>
    <n v="2.1551724137931036E-2"/>
    <n v="1902.3999999999974"/>
    <n v="3.0478739220933644E-2"/>
    <x v="0"/>
    <n v="64319.68"/>
    <n v="1"/>
    <n v="0"/>
  </r>
  <r>
    <s v="PO-00442"/>
    <x v="4"/>
    <x v="323"/>
    <d v="2022-06-12T00:00:00"/>
    <x v="1"/>
    <x v="2"/>
    <n v="1009"/>
    <n v="16.440000000000001"/>
    <n v="16.18"/>
    <n v="0"/>
    <x v="0"/>
    <n v="16325.619999999999"/>
    <n v="11"/>
    <n v="0"/>
    <n v="262.34000000000157"/>
    <n v="1.6069221260815919E-2"/>
    <x v="0"/>
    <n v="16587.960000000003"/>
    <n v="1"/>
    <n v="0"/>
  </r>
  <r>
    <s v="PO-00443"/>
    <x v="4"/>
    <x v="324"/>
    <d v="2023-04-03T00:00:00"/>
    <x v="4"/>
    <x v="3"/>
    <n v="1554"/>
    <n v="82.92"/>
    <n v="74.819999999999993"/>
    <n v="44"/>
    <x v="0"/>
    <n v="116270.27999999998"/>
    <n v="17"/>
    <n v="2.8314028314028315E-2"/>
    <n v="12587.400000000012"/>
    <n v="0.10825982357658392"/>
    <x v="1"/>
    <n v="128857.68000000001"/>
    <n v="1"/>
    <n v="0"/>
  </r>
  <r>
    <s v="PO-00444"/>
    <x v="2"/>
    <x v="325"/>
    <d v="2022-05-25T00:00:00"/>
    <x v="2"/>
    <x v="2"/>
    <n v="502"/>
    <n v="29.47"/>
    <n v="28.94"/>
    <n v="27"/>
    <x v="0"/>
    <n v="14527.880000000001"/>
    <n v="14"/>
    <n v="5.3784860557768925E-2"/>
    <n v="266.05999999999881"/>
    <n v="1.8313752591568679E-2"/>
    <x v="0"/>
    <n v="14793.939999999999"/>
    <n v="1"/>
    <n v="0"/>
  </r>
  <r>
    <s v="PO-00445"/>
    <x v="1"/>
    <x v="326"/>
    <d v="2022-02-13T00:00:00"/>
    <x v="1"/>
    <x v="1"/>
    <n v="1069"/>
    <n v="91.28"/>
    <n v="82.64"/>
    <n v="0"/>
    <x v="0"/>
    <n v="88342.16"/>
    <n v="1"/>
    <n v="0"/>
    <n v="9236.16"/>
    <n v="0.10454985479186833"/>
    <x v="0"/>
    <n v="97578.32"/>
    <n v="1"/>
    <n v="0"/>
  </r>
  <r>
    <s v="PO-00446"/>
    <x v="0"/>
    <x v="327"/>
    <d v="2022-11-18T00:00:00"/>
    <x v="1"/>
    <x v="3"/>
    <n v="1902"/>
    <n v="29.89"/>
    <n v="25.83"/>
    <n v="41"/>
    <x v="0"/>
    <n v="49128.659999999996"/>
    <n v="6"/>
    <n v="2.1556256572029444E-2"/>
    <n v="7722.1200000000044"/>
    <n v="0.15718157181571826"/>
    <x v="0"/>
    <n v="56850.78"/>
    <n v="1"/>
    <n v="0"/>
  </r>
  <r>
    <s v="PO-00447"/>
    <x v="2"/>
    <x v="67"/>
    <m/>
    <x v="3"/>
    <x v="3"/>
    <n v="865"/>
    <n v="28.79"/>
    <n v="25.69"/>
    <n v="47"/>
    <x v="0"/>
    <n v="22221.850000000002"/>
    <s v=""/>
    <n v="5.4335260115606937E-2"/>
    <n v="2681.4999999999982"/>
    <n v="0.12066952121448025"/>
    <x v="1"/>
    <n v="24903.35"/>
    <n v="1"/>
    <n v="0"/>
  </r>
  <r>
    <s v="PO-00448"/>
    <x v="1"/>
    <x v="264"/>
    <d v="2022-02-26T00:00:00"/>
    <x v="2"/>
    <x v="2"/>
    <n v="708"/>
    <n v="13.36"/>
    <n v="11.61"/>
    <n v="0"/>
    <x v="1"/>
    <n v="8219.8799999999992"/>
    <n v="16"/>
    <n v="0"/>
    <n v="1239"/>
    <n v="0.15073212747631354"/>
    <x v="1"/>
    <n v="9458.8799999999992"/>
    <n v="0"/>
    <n v="1"/>
  </r>
  <r>
    <s v="PO-00449"/>
    <x v="1"/>
    <x v="328"/>
    <d v="2023-01-07T00:00:00"/>
    <x v="2"/>
    <x v="1"/>
    <n v="1589"/>
    <n v="55.64"/>
    <n v="48.52"/>
    <n v="0"/>
    <x v="0"/>
    <n v="77098.28"/>
    <n v="5"/>
    <n v="0"/>
    <n v="11313.679999999997"/>
    <n v="0.14674361088211044"/>
    <x v="0"/>
    <n v="88411.96"/>
    <n v="1"/>
    <n v="0"/>
  </r>
  <r>
    <s v="PO-00450"/>
    <x v="0"/>
    <x v="303"/>
    <d v="2022-08-14T00:00:00"/>
    <x v="0"/>
    <x v="1"/>
    <n v="596"/>
    <n v="62.96"/>
    <n v="61.88"/>
    <n v="9"/>
    <x v="0"/>
    <n v="36880.480000000003"/>
    <n v="10"/>
    <n v="1.5100671140939598E-2"/>
    <n v="643.67999999999893"/>
    <n v="1.7453135100193893E-2"/>
    <x v="0"/>
    <n v="37524.160000000003"/>
    <n v="1"/>
    <n v="0"/>
  </r>
  <r>
    <s v="PO-00451"/>
    <x v="4"/>
    <x v="133"/>
    <d v="2023-12-04T00:00:00"/>
    <x v="0"/>
    <x v="1"/>
    <n v="1265"/>
    <n v="17.66"/>
    <n v="16.97"/>
    <n v="34"/>
    <x v="0"/>
    <n v="21467.05"/>
    <n v="4"/>
    <n v="2.6877470355731226E-2"/>
    <n v="872.85000000000161"/>
    <n v="4.0659988214496248E-2"/>
    <x v="0"/>
    <n v="22339.9"/>
    <n v="1"/>
    <n v="0"/>
  </r>
  <r>
    <s v="PO-00452"/>
    <x v="3"/>
    <x v="224"/>
    <d v="2022-10-01T00:00:00"/>
    <x v="3"/>
    <x v="1"/>
    <n v="1122"/>
    <n v="82.99"/>
    <n v="81.7"/>
    <n v="118"/>
    <x v="1"/>
    <n v="91667.400000000009"/>
    <n v="18"/>
    <n v="0.10516934046345811"/>
    <n v="1447.379999999991"/>
    <n v="1.5789473684210426E-2"/>
    <x v="1"/>
    <n v="93114.78"/>
    <n v="0"/>
    <n v="1"/>
  </r>
  <r>
    <s v="PO-00453"/>
    <x v="4"/>
    <x v="329"/>
    <d v="2023-12-01T00:00:00"/>
    <x v="0"/>
    <x v="1"/>
    <n v="1585"/>
    <n v="56.38"/>
    <n v="53.05"/>
    <n v="0"/>
    <x v="0"/>
    <n v="84084.25"/>
    <n v="17"/>
    <n v="0"/>
    <n v="5278.0500000000084"/>
    <n v="6.2770970782280971E-2"/>
    <x v="1"/>
    <n v="89362.3"/>
    <n v="1"/>
    <n v="0"/>
  </r>
  <r>
    <s v="PO-00454"/>
    <x v="4"/>
    <x v="330"/>
    <d v="2022-04-27T00:00:00"/>
    <x v="4"/>
    <x v="1"/>
    <n v="66"/>
    <n v="58.05"/>
    <n v="50.76"/>
    <n v="0"/>
    <x v="0"/>
    <n v="3350.16"/>
    <n v="11"/>
    <n v="0"/>
    <n v="481.13999999999993"/>
    <n v="0.14361702127659573"/>
    <x v="0"/>
    <n v="3831.2999999999997"/>
    <n v="1"/>
    <n v="0"/>
  </r>
  <r>
    <s v="PO-00455"/>
    <x v="3"/>
    <x v="209"/>
    <d v="2023-01-18T00:00:00"/>
    <x v="1"/>
    <x v="1"/>
    <n v="1245"/>
    <n v="52.4"/>
    <n v="51.65"/>
    <n v="118"/>
    <x v="1"/>
    <n v="64304.25"/>
    <n v="20"/>
    <n v="9.4779116465863456E-2"/>
    <n v="933.75"/>
    <n v="1.452081316553727E-2"/>
    <x v="1"/>
    <n v="65238"/>
    <n v="0"/>
    <n v="1"/>
  </r>
  <r>
    <s v="PO-00456"/>
    <x v="1"/>
    <x v="331"/>
    <d v="2023-08-10T00:00:00"/>
    <x v="4"/>
    <x v="1"/>
    <n v="1293"/>
    <n v="50.21"/>
    <n v="47.55"/>
    <n v="0"/>
    <x v="1"/>
    <n v="61482.149999999994"/>
    <n v="13"/>
    <n v="0"/>
    <n v="3439.3800000000047"/>
    <n v="5.5941114616193562E-2"/>
    <x v="0"/>
    <n v="64921.53"/>
    <n v="0"/>
    <n v="1"/>
  </r>
  <r>
    <s v="PO-00457"/>
    <x v="3"/>
    <x v="204"/>
    <d v="2023-02-27T00:00:00"/>
    <x v="2"/>
    <x v="1"/>
    <n v="207"/>
    <n v="64.290000000000006"/>
    <n v="63.01"/>
    <n v="25"/>
    <x v="0"/>
    <n v="13043.07"/>
    <n v="6"/>
    <n v="0.12077294685990338"/>
    <n v="264.96000000000168"/>
    <n v="2.0314235835581784E-2"/>
    <x v="0"/>
    <n v="13308.03"/>
    <n v="1"/>
    <n v="0"/>
  </r>
  <r>
    <s v="PO-00458"/>
    <x v="3"/>
    <x v="332"/>
    <d v="2023-10-18T00:00:00"/>
    <x v="0"/>
    <x v="1"/>
    <n v="526"/>
    <n v="26.37"/>
    <n v="25.32"/>
    <n v="47"/>
    <x v="0"/>
    <n v="13318.32"/>
    <n v="20"/>
    <n v="8.9353612167300381E-2"/>
    <n v="552.30000000000041"/>
    <n v="4.1469194312796241E-2"/>
    <x v="1"/>
    <n v="13870.62"/>
    <n v="1"/>
    <n v="0"/>
  </r>
  <r>
    <s v="PO-00459"/>
    <x v="2"/>
    <x v="244"/>
    <d v="2022-06-14T00:00:00"/>
    <x v="4"/>
    <x v="1"/>
    <n v="1119"/>
    <n v="27.03"/>
    <n v="23.82"/>
    <n v="0"/>
    <x v="0"/>
    <n v="26654.58"/>
    <n v="6"/>
    <n v="0"/>
    <n v="3591.9900000000011"/>
    <n v="0.13476070528967257"/>
    <x v="0"/>
    <n v="30246.57"/>
    <n v="1"/>
    <n v="0"/>
  </r>
  <r>
    <s v="PO-00460"/>
    <x v="2"/>
    <x v="232"/>
    <d v="2022-09-02T00:00:00"/>
    <x v="2"/>
    <x v="1"/>
    <n v="1446"/>
    <n v="90.63"/>
    <n v="84.51"/>
    <n v="77"/>
    <x v="0"/>
    <n v="122201.46"/>
    <n v="2"/>
    <n v="5.3250345781466112E-2"/>
    <n v="8849.5199999999859"/>
    <n v="7.2417465388711272E-2"/>
    <x v="0"/>
    <n v="131050.98"/>
    <n v="1"/>
    <n v="0"/>
  </r>
  <r>
    <s v="PO-00461"/>
    <x v="2"/>
    <x v="68"/>
    <d v="2022-06-24T00:00:00"/>
    <x v="0"/>
    <x v="1"/>
    <n v="567"/>
    <n v="97.53"/>
    <n v="85.29"/>
    <n v="21"/>
    <x v="0"/>
    <n v="48359.43"/>
    <n v="8"/>
    <n v="3.7037037037037035E-2"/>
    <n v="6940.0799999999972"/>
    <n v="0.14351037636299677"/>
    <x v="0"/>
    <n v="55299.51"/>
    <n v="1"/>
    <n v="0"/>
  </r>
  <r>
    <s v="PO-00462"/>
    <x v="1"/>
    <x v="333"/>
    <m/>
    <x v="1"/>
    <x v="1"/>
    <n v="148"/>
    <n v="44.91"/>
    <n v="40.1"/>
    <n v="0"/>
    <x v="1"/>
    <n v="5934.8"/>
    <s v=""/>
    <n v="0"/>
    <n v="711.87999999999931"/>
    <n v="0.11995012468827919"/>
    <x v="1"/>
    <n v="6646.6799999999994"/>
    <n v="0"/>
    <n v="1"/>
  </r>
  <r>
    <s v="PO-00463"/>
    <x v="3"/>
    <x v="334"/>
    <d v="2023-03-14T00:00:00"/>
    <x v="1"/>
    <x v="3"/>
    <n v="1965"/>
    <n v="36.6"/>
    <n v="34.64"/>
    <n v="195"/>
    <x v="0"/>
    <n v="68067.600000000006"/>
    <n v="15"/>
    <n v="9.9236641221374045E-2"/>
    <n v="3851.4000000000015"/>
    <n v="5.6581986143187081E-2"/>
    <x v="1"/>
    <n v="71919"/>
    <n v="1"/>
    <n v="0"/>
  </r>
  <r>
    <s v="PO-00464"/>
    <x v="0"/>
    <x v="2"/>
    <d v="2022-02-03T00:00:00"/>
    <x v="0"/>
    <x v="3"/>
    <n v="1818"/>
    <n v="67.959999999999994"/>
    <n v="58.98"/>
    <n v="0"/>
    <x v="0"/>
    <n v="107225.64"/>
    <n v="8"/>
    <n v="0"/>
    <n v="16325.639999999994"/>
    <n v="0.15225500169548994"/>
    <x v="0"/>
    <n v="123551.27999999998"/>
    <n v="1"/>
    <n v="0"/>
  </r>
  <r>
    <s v="PO-00465"/>
    <x v="3"/>
    <x v="335"/>
    <d v="2022-07-19T00:00:00"/>
    <x v="1"/>
    <x v="1"/>
    <n v="1110"/>
    <n v="48.19"/>
    <n v="45.88"/>
    <n v="112"/>
    <x v="0"/>
    <n v="50926.8"/>
    <n v="16"/>
    <n v="0.1009009009009009"/>
    <n v="2564.0999999999945"/>
    <n v="5.0348735832606691E-2"/>
    <x v="1"/>
    <n v="53490.899999999994"/>
    <n v="1"/>
    <n v="0"/>
  </r>
  <r>
    <s v="PO-00466"/>
    <x v="1"/>
    <x v="336"/>
    <m/>
    <x v="3"/>
    <x v="1"/>
    <n v="329"/>
    <n v="12.96"/>
    <n v="12.74"/>
    <n v="48"/>
    <x v="0"/>
    <n v="4191.46"/>
    <s v=""/>
    <n v="0.1458966565349544"/>
    <n v="72.380000000000209"/>
    <n v="1.7268445839874462E-2"/>
    <x v="1"/>
    <n v="4263.84"/>
    <n v="1"/>
    <n v="0"/>
  </r>
  <r>
    <s v="PO-00467"/>
    <x v="2"/>
    <x v="337"/>
    <d v="2023-03-17T00:00:00"/>
    <x v="0"/>
    <x v="0"/>
    <n v="1422"/>
    <n v="25.62"/>
    <n v="25.18"/>
    <n v="65"/>
    <x v="0"/>
    <n v="35805.96"/>
    <n v="19"/>
    <n v="4.5710267229254573E-2"/>
    <n v="625.68000000000177"/>
    <n v="1.7474185861795125E-2"/>
    <x v="1"/>
    <n v="36431.64"/>
    <n v="1"/>
    <n v="0"/>
  </r>
  <r>
    <s v="PO-00468"/>
    <x v="1"/>
    <x v="197"/>
    <m/>
    <x v="3"/>
    <x v="1"/>
    <n v="546"/>
    <n v="82.63"/>
    <n v="74.77"/>
    <n v="76"/>
    <x v="1"/>
    <n v="40824.42"/>
    <s v=""/>
    <n v="0.1391941391941392"/>
    <n v="4291.5599999999995"/>
    <n v="0.10512237528420489"/>
    <x v="1"/>
    <n v="45115.979999999996"/>
    <n v="0"/>
    <n v="1"/>
  </r>
  <r>
    <s v="PO-00469"/>
    <x v="2"/>
    <x v="221"/>
    <d v="2022-09-22T00:00:00"/>
    <x v="0"/>
    <x v="2"/>
    <n v="351"/>
    <n v="72.08"/>
    <n v="71.3"/>
    <n v="20"/>
    <x v="0"/>
    <n v="25026.3"/>
    <n v="10"/>
    <n v="5.6980056980056981E-2"/>
    <n v="273.78000000000043"/>
    <n v="1.0939691444600297E-2"/>
    <x v="0"/>
    <n v="25300.079999999998"/>
    <n v="1"/>
    <n v="0"/>
  </r>
  <r>
    <s v="PO-00470"/>
    <x v="1"/>
    <x v="73"/>
    <d v="2022-10-18T00:00:00"/>
    <x v="3"/>
    <x v="2"/>
    <n v="230"/>
    <n v="13"/>
    <n v="12.81"/>
    <n v="0"/>
    <x v="1"/>
    <n v="2946.3"/>
    <n v="17"/>
    <n v="0"/>
    <n v="43.699999999999889"/>
    <n v="1.4832162373145941E-2"/>
    <x v="1"/>
    <n v="2990"/>
    <n v="0"/>
    <n v="1"/>
  </r>
  <r>
    <s v="PO-00471"/>
    <x v="0"/>
    <x v="31"/>
    <d v="2022-06-19T00:00:00"/>
    <x v="1"/>
    <x v="1"/>
    <n v="656"/>
    <n v="30.73"/>
    <n v="26.26"/>
    <n v="17"/>
    <x v="0"/>
    <n v="17226.560000000001"/>
    <n v="6"/>
    <n v="2.5914634146341462E-2"/>
    <n v="2932.3199999999993"/>
    <n v="0.17022086824067018"/>
    <x v="0"/>
    <n v="20158.88"/>
    <n v="1"/>
    <n v="0"/>
  </r>
  <r>
    <s v="PO-00472"/>
    <x v="2"/>
    <x v="24"/>
    <d v="2024-01-09T00:00:00"/>
    <x v="1"/>
    <x v="1"/>
    <n v="1172"/>
    <n v="34.340000000000003"/>
    <n v="32.090000000000003"/>
    <n v="69"/>
    <x v="0"/>
    <n v="37609.480000000003"/>
    <n v="20"/>
    <n v="5.8873720136518773E-2"/>
    <n v="2637"/>
    <n v="7.0115300716734177E-2"/>
    <x v="1"/>
    <n v="40246.480000000003"/>
    <n v="1"/>
    <n v="0"/>
  </r>
  <r>
    <s v="PO-00473"/>
    <x v="2"/>
    <x v="338"/>
    <d v="2022-04-30T00:00:00"/>
    <x v="4"/>
    <x v="1"/>
    <n v="749"/>
    <n v="71.53"/>
    <n v="70.02"/>
    <n v="41"/>
    <x v="0"/>
    <n v="52444.979999999996"/>
    <n v="9"/>
    <n v="5.4739652870493989E-2"/>
    <n v="1130.9900000000039"/>
    <n v="2.1565267066552488E-2"/>
    <x v="0"/>
    <n v="53575.97"/>
    <n v="1"/>
    <n v="0"/>
  </r>
  <r>
    <s v="PO-00474"/>
    <x v="3"/>
    <x v="339"/>
    <d v="2023-02-12T00:00:00"/>
    <x v="2"/>
    <x v="1"/>
    <n v="1042"/>
    <n v="12.48"/>
    <n v="12.3"/>
    <n v="88"/>
    <x v="0"/>
    <n v="12816.6"/>
    <n v="16"/>
    <n v="8.4452975047984644E-2"/>
    <n v="187.55999999999972"/>
    <n v="1.4634146341463393E-2"/>
    <x v="1"/>
    <n v="13004.16"/>
    <n v="1"/>
    <n v="0"/>
  </r>
  <r>
    <s v="PO-00475"/>
    <x v="1"/>
    <x v="340"/>
    <d v="2022-02-27T00:00:00"/>
    <x v="3"/>
    <x v="1"/>
    <n v="1189"/>
    <n v="19.47"/>
    <n v="17.149999999999999"/>
    <n v="0"/>
    <x v="1"/>
    <n v="20391.349999999999"/>
    <n v="18"/>
    <n v="0"/>
    <n v="2758.4800000000005"/>
    <n v="0.13527696793002919"/>
    <x v="1"/>
    <n v="23149.829999999998"/>
    <n v="0"/>
    <n v="1"/>
  </r>
  <r>
    <s v="PO-00476"/>
    <x v="4"/>
    <x v="341"/>
    <m/>
    <x v="0"/>
    <x v="1"/>
    <n v="240"/>
    <n v="88.14"/>
    <n v="81.900000000000006"/>
    <n v="4"/>
    <x v="0"/>
    <n v="19656"/>
    <s v=""/>
    <n v="1.6666666666666666E-2"/>
    <n v="1497.5999999999988"/>
    <n v="7.6190476190476128E-2"/>
    <x v="1"/>
    <n v="21153.599999999999"/>
    <n v="1"/>
    <n v="0"/>
  </r>
  <r>
    <s v="PO-00477"/>
    <x v="4"/>
    <x v="342"/>
    <d v="2022-09-02T00:00:00"/>
    <x v="1"/>
    <x v="1"/>
    <n v="302"/>
    <n v="26.98"/>
    <n v="26.47"/>
    <n v="9"/>
    <x v="0"/>
    <n v="7993.94"/>
    <n v="17"/>
    <n v="2.9801324503311258E-2"/>
    <n v="154.02000000000046"/>
    <n v="1.9267094824329489E-2"/>
    <x v="1"/>
    <n v="8147.96"/>
    <n v="1"/>
    <n v="0"/>
  </r>
  <r>
    <s v="PO-00478"/>
    <x v="3"/>
    <x v="343"/>
    <d v="2022-08-03T00:00:00"/>
    <x v="1"/>
    <x v="3"/>
    <n v="1030"/>
    <n v="70.81"/>
    <n v="61.58"/>
    <n v="0"/>
    <x v="1"/>
    <n v="63427.4"/>
    <n v="10"/>
    <n v="0"/>
    <n v="9506.9000000000033"/>
    <n v="0.14988632672945768"/>
    <x v="0"/>
    <n v="72934.3"/>
    <n v="0"/>
    <n v="1"/>
  </r>
  <r>
    <s v="PO-00479"/>
    <x v="1"/>
    <x v="344"/>
    <d v="2023-04-23T00:00:00"/>
    <x v="0"/>
    <x v="1"/>
    <n v="977"/>
    <n v="33.79"/>
    <n v="32.25"/>
    <n v="137"/>
    <x v="0"/>
    <n v="31508.25"/>
    <n v="6"/>
    <n v="0.14022517911975435"/>
    <n v="1504.5799999999992"/>
    <n v="4.7751937984496097E-2"/>
    <x v="0"/>
    <n v="33012.83"/>
    <n v="1"/>
    <n v="0"/>
  </r>
  <r>
    <s v="PO-00480"/>
    <x v="0"/>
    <x v="345"/>
    <d v="2023-01-11T00:00:00"/>
    <x v="2"/>
    <x v="1"/>
    <n v="1234"/>
    <n v="19.989999999999998"/>
    <n v="17.66"/>
    <n v="25"/>
    <x v="0"/>
    <n v="21792.44"/>
    <n v="17"/>
    <n v="2.0259319286871962E-2"/>
    <n v="2875.219999999998"/>
    <n v="0.13193657984144952"/>
    <x v="1"/>
    <n v="24667.66"/>
    <n v="1"/>
    <n v="0"/>
  </r>
  <r>
    <s v="PO-00481"/>
    <x v="3"/>
    <x v="346"/>
    <d v="2022-11-23T00:00:00"/>
    <x v="0"/>
    <x v="1"/>
    <n v="1329"/>
    <n v="33.479999999999997"/>
    <n v="33.06"/>
    <n v="146"/>
    <x v="0"/>
    <n v="43936.740000000005"/>
    <n v="14"/>
    <n v="0.10985703536493605"/>
    <n v="558.17999999999279"/>
    <n v="1.270417422867497E-2"/>
    <x v="0"/>
    <n v="44494.92"/>
    <n v="1"/>
    <n v="0"/>
  </r>
  <r>
    <s v="PO-00482"/>
    <x v="2"/>
    <x v="61"/>
    <d v="2022-08-30T00:00:00"/>
    <x v="3"/>
    <x v="1"/>
    <n v="1396"/>
    <n v="77.63"/>
    <n v="67.81"/>
    <n v="58"/>
    <x v="0"/>
    <n v="94662.760000000009"/>
    <n v="8"/>
    <n v="4.1547277936962751E-2"/>
    <n v="13708.71999999999"/>
    <n v="0.14481639876124452"/>
    <x v="0"/>
    <n v="108371.48"/>
    <n v="1"/>
    <n v="0"/>
  </r>
  <r>
    <s v="PO-00483"/>
    <x v="0"/>
    <x v="5"/>
    <d v="2022-08-29T00:00:00"/>
    <x v="3"/>
    <x v="1"/>
    <n v="177"/>
    <n v="90.06"/>
    <n v="87.71"/>
    <n v="7"/>
    <x v="0"/>
    <n v="15524.669999999998"/>
    <n v="12"/>
    <n v="3.954802259887006E-2"/>
    <n v="415.95000000000152"/>
    <n v="2.6792840041044451E-2"/>
    <x v="0"/>
    <n v="15940.62"/>
    <n v="1"/>
    <n v="0"/>
  </r>
  <r>
    <s v="PO-00484"/>
    <x v="1"/>
    <x v="347"/>
    <m/>
    <x v="4"/>
    <x v="1"/>
    <n v="67"/>
    <n v="84.72"/>
    <n v="73.06"/>
    <n v="9"/>
    <x v="0"/>
    <n v="4895.0200000000004"/>
    <s v=""/>
    <n v="0.13432835820895522"/>
    <n v="781.2199999999998"/>
    <n v="0.15959485354503142"/>
    <x v="1"/>
    <n v="5676.24"/>
    <n v="1"/>
    <n v="0"/>
  </r>
  <r>
    <s v="PO-00485"/>
    <x v="2"/>
    <x v="164"/>
    <d v="2023-11-20T00:00:00"/>
    <x v="0"/>
    <x v="1"/>
    <n v="1866"/>
    <n v="50.78"/>
    <n v="48.2"/>
    <n v="96"/>
    <x v="0"/>
    <n v="89941.200000000012"/>
    <n v="13"/>
    <n v="5.1446945337620578E-2"/>
    <n v="4814.279999999997"/>
    <n v="5.3526970954356809E-2"/>
    <x v="0"/>
    <n v="94755.48"/>
    <n v="1"/>
    <n v="0"/>
  </r>
  <r>
    <s v="PO-00486"/>
    <x v="4"/>
    <x v="348"/>
    <d v="2022-07-25T00:00:00"/>
    <x v="1"/>
    <x v="1"/>
    <n v="1808"/>
    <n v="72.23"/>
    <n v="67.86"/>
    <n v="53"/>
    <x v="0"/>
    <n v="122690.88"/>
    <n v="8"/>
    <n v="2.9314159292035399E-2"/>
    <n v="7900.9600000000082"/>
    <n v="6.4397288535219629E-2"/>
    <x v="0"/>
    <n v="130591.84000000001"/>
    <n v="1"/>
    <n v="0"/>
  </r>
  <r>
    <s v="PO-00487"/>
    <x v="1"/>
    <x v="113"/>
    <d v="2023-02-16T00:00:00"/>
    <x v="4"/>
    <x v="0"/>
    <n v="615"/>
    <n v="30.3"/>
    <n v="29.52"/>
    <n v="96"/>
    <x v="0"/>
    <n v="18154.8"/>
    <n v="3"/>
    <n v="0.15609756097560976"/>
    <n v="479.70000000000073"/>
    <n v="2.6422764227642316E-2"/>
    <x v="0"/>
    <n v="18634.5"/>
    <n v="1"/>
    <n v="0"/>
  </r>
  <r>
    <s v="PO-00488"/>
    <x v="2"/>
    <x v="349"/>
    <d v="2022-12-04T00:00:00"/>
    <x v="0"/>
    <x v="3"/>
    <n v="619"/>
    <n v="38.380000000000003"/>
    <n v="35.020000000000003"/>
    <n v="34"/>
    <x v="0"/>
    <n v="21677.38"/>
    <n v="1"/>
    <n v="5.492730210016155E-2"/>
    <n v="2079.8399999999997"/>
    <n v="9.5945174186179302E-2"/>
    <x v="0"/>
    <n v="23757.22"/>
    <n v="1"/>
    <n v="0"/>
  </r>
  <r>
    <s v="PO-00489"/>
    <x v="1"/>
    <x v="196"/>
    <d v="2022-10-17T00:00:00"/>
    <x v="0"/>
    <x v="1"/>
    <n v="1396"/>
    <n v="94.75"/>
    <n v="84.06"/>
    <n v="210"/>
    <x v="0"/>
    <n v="117347.76000000001"/>
    <n v="4"/>
    <n v="0.1504297994269341"/>
    <n v="14923.239999999996"/>
    <n v="0.1271710682845586"/>
    <x v="0"/>
    <n v="132271"/>
    <n v="1"/>
    <n v="0"/>
  </r>
  <r>
    <s v="PO-00490"/>
    <x v="2"/>
    <x v="58"/>
    <d v="2022-03-24T00:00:00"/>
    <x v="1"/>
    <x v="1"/>
    <n v="1945"/>
    <n v="11.28"/>
    <n v="9.98"/>
    <n v="94"/>
    <x v="0"/>
    <n v="19411.100000000002"/>
    <n v="11"/>
    <n v="4.8329048843187658E-2"/>
    <n v="2528.4999999999977"/>
    <n v="0.13026052104208405"/>
    <x v="0"/>
    <n v="21939.599999999999"/>
    <n v="1"/>
    <n v="0"/>
  </r>
  <r>
    <s v="PO-00491"/>
    <x v="1"/>
    <x v="196"/>
    <d v="2022-10-18T00:00:00"/>
    <x v="2"/>
    <x v="1"/>
    <n v="735"/>
    <n v="18.489999999999998"/>
    <n v="15.89"/>
    <n v="113"/>
    <x v="1"/>
    <n v="11679.15"/>
    <n v="5"/>
    <n v="0.15374149659863945"/>
    <n v="1910.9999999999984"/>
    <n v="0.16362492133417231"/>
    <x v="0"/>
    <n v="13590.15"/>
    <n v="0"/>
    <n v="1"/>
  </r>
  <r>
    <s v="PO-00492"/>
    <x v="4"/>
    <x v="350"/>
    <d v="2023-01-11T00:00:00"/>
    <x v="0"/>
    <x v="3"/>
    <n v="1865"/>
    <n v="30.29"/>
    <n v="26.83"/>
    <n v="56"/>
    <x v="0"/>
    <n v="50037.95"/>
    <n v="16"/>
    <n v="3.0026809651474532E-2"/>
    <n v="6452.9000000000015"/>
    <n v="0.12896011926947451"/>
    <x v="1"/>
    <n v="56490.85"/>
    <n v="1"/>
    <n v="0"/>
  </r>
  <r>
    <s v="PO-00493"/>
    <x v="3"/>
    <x v="134"/>
    <d v="2023-10-24T00:00:00"/>
    <x v="4"/>
    <x v="0"/>
    <n v="675"/>
    <n v="13.69"/>
    <n v="11.84"/>
    <n v="52"/>
    <x v="0"/>
    <n v="7992"/>
    <n v="5"/>
    <n v="7.7037037037037043E-2"/>
    <n v="1248.7499999999998"/>
    <n v="0.15624999999999997"/>
    <x v="0"/>
    <n v="9240.75"/>
    <n v="1"/>
    <n v="0"/>
  </r>
  <r>
    <s v="PO-00494"/>
    <x v="2"/>
    <x v="115"/>
    <d v="2023-06-22T00:00:00"/>
    <x v="1"/>
    <x v="3"/>
    <n v="1361"/>
    <n v="28.57"/>
    <n v="24.29"/>
    <n v="65"/>
    <x v="0"/>
    <n v="33058.69"/>
    <n v="16"/>
    <n v="4.7759000734753858E-2"/>
    <n v="5825.0800000000017"/>
    <n v="0.17620419925895434"/>
    <x v="1"/>
    <n v="38883.769999999997"/>
    <n v="1"/>
    <n v="0"/>
  </r>
  <r>
    <s v="PO-00495"/>
    <x v="2"/>
    <x v="351"/>
    <d v="2023-02-15T00:00:00"/>
    <x v="3"/>
    <x v="1"/>
    <n v="903"/>
    <n v="66.53"/>
    <n v="60.15"/>
    <n v="29"/>
    <x v="0"/>
    <n v="54315.45"/>
    <n v="1"/>
    <n v="3.2115171650055369E-2"/>
    <n v="5761.1400000000021"/>
    <n v="0.10606816292601834"/>
    <x v="0"/>
    <n v="60076.590000000004"/>
    <n v="1"/>
    <n v="0"/>
  </r>
  <r>
    <s v="PO-00496"/>
    <x v="4"/>
    <x v="352"/>
    <m/>
    <x v="2"/>
    <x v="0"/>
    <n v="1736"/>
    <n v="53.2"/>
    <n v="50.68"/>
    <n v="48"/>
    <x v="0"/>
    <n v="87980.479999999996"/>
    <s v=""/>
    <n v="2.7649769585253458E-2"/>
    <n v="4374.7200000000057"/>
    <n v="4.9723756906077415E-2"/>
    <x v="1"/>
    <n v="92355.200000000012"/>
    <n v="1"/>
    <n v="0"/>
  </r>
  <r>
    <s v="PO-00497"/>
    <x v="3"/>
    <x v="46"/>
    <d v="2023-07-11T00:00:00"/>
    <x v="1"/>
    <x v="1"/>
    <n v="1011"/>
    <n v="98.47"/>
    <n v="97.06"/>
    <n v="91"/>
    <x v="0"/>
    <n v="98127.66"/>
    <n v="7"/>
    <n v="9.0009891196834821E-2"/>
    <n v="1425.5099999999966"/>
    <n v="1.4527096641252797E-2"/>
    <x v="0"/>
    <n v="99553.17"/>
    <n v="1"/>
    <n v="0"/>
  </r>
  <r>
    <s v="PO-00498"/>
    <x v="1"/>
    <x v="353"/>
    <d v="2022-12-24T00:00:00"/>
    <x v="4"/>
    <x v="1"/>
    <n v="1712"/>
    <n v="88.17"/>
    <n v="85.86"/>
    <n v="246"/>
    <x v="0"/>
    <n v="146992.32000000001"/>
    <n v="18"/>
    <n v="0.14369158878504673"/>
    <n v="3954.7200000000039"/>
    <n v="2.6904262753319381E-2"/>
    <x v="1"/>
    <n v="150947.04"/>
    <n v="1"/>
    <n v="0"/>
  </r>
  <r>
    <s v="PO-00499"/>
    <x v="2"/>
    <x v="354"/>
    <m/>
    <x v="0"/>
    <x v="1"/>
    <n v="204"/>
    <n v="40.76"/>
    <n v="37.46"/>
    <n v="10"/>
    <x v="0"/>
    <n v="7641.84"/>
    <s v=""/>
    <n v="4.9019607843137254E-2"/>
    <n v="673.19999999999936"/>
    <n v="8.809396689802447E-2"/>
    <x v="1"/>
    <n v="8315.0399999999991"/>
    <n v="1"/>
    <n v="0"/>
  </r>
  <r>
    <s v="PO-00500"/>
    <x v="3"/>
    <x v="298"/>
    <d v="2022-05-13T00:00:00"/>
    <x v="4"/>
    <x v="2"/>
    <n v="539"/>
    <n v="33.85"/>
    <n v="30.57"/>
    <n v="34"/>
    <x v="1"/>
    <n v="16477.23"/>
    <n v="14"/>
    <n v="6.3079777365491654E-2"/>
    <n v="1767.9200000000005"/>
    <n v="0.10729473339875699"/>
    <x v="0"/>
    <n v="18245.150000000001"/>
    <n v="0"/>
    <n v="1"/>
  </r>
  <r>
    <s v="PO-00501"/>
    <x v="1"/>
    <x v="270"/>
    <d v="2022-10-05T00:00:00"/>
    <x v="0"/>
    <x v="1"/>
    <n v="1459"/>
    <n v="45.94"/>
    <n v="42.56"/>
    <n v="212"/>
    <x v="1"/>
    <n v="62095.040000000001"/>
    <n v="10"/>
    <n v="0.14530500342700481"/>
    <n v="4931.4199999999937"/>
    <n v="7.9417293233082609E-2"/>
    <x v="0"/>
    <n v="67026.459999999992"/>
    <n v="0"/>
    <n v="1"/>
  </r>
  <r>
    <s v="PO-00502"/>
    <x v="2"/>
    <x v="139"/>
    <d v="2022-07-06T00:00:00"/>
    <x v="1"/>
    <x v="1"/>
    <n v="834"/>
    <n v="65.02"/>
    <n v="56.19"/>
    <n v="0"/>
    <x v="0"/>
    <n v="46862.46"/>
    <n v="4"/>
    <n v="0"/>
    <n v="7364.2199999999984"/>
    <n v="0.15714539953728418"/>
    <x v="0"/>
    <n v="54226.68"/>
    <n v="1"/>
    <n v="0"/>
  </r>
  <r>
    <s v="PO-00503"/>
    <x v="2"/>
    <x v="355"/>
    <d v="2023-09-01T00:00:00"/>
    <x v="2"/>
    <x v="2"/>
    <n v="1177"/>
    <n v="37.369999999999997"/>
    <n v="34.270000000000003"/>
    <n v="60"/>
    <x v="0"/>
    <n v="40335.79"/>
    <n v="14"/>
    <n v="5.0977060322854713E-2"/>
    <n v="3648.6999999999935"/>
    <n v="9.0458126641377132E-2"/>
    <x v="0"/>
    <n v="43984.49"/>
    <n v="1"/>
    <n v="0"/>
  </r>
  <r>
    <s v="PO-00504"/>
    <x v="1"/>
    <x v="106"/>
    <d v="2022-10-19T00:00:00"/>
    <x v="1"/>
    <x v="1"/>
    <n v="1466"/>
    <n v="68.819999999999993"/>
    <n v="66.819999999999993"/>
    <n v="211"/>
    <x v="0"/>
    <n v="97958.12"/>
    <n v="20"/>
    <n v="0.14392905866302866"/>
    <n v="2932"/>
    <n v="2.9931158335827598E-2"/>
    <x v="1"/>
    <n v="100890.12"/>
    <n v="1"/>
    <n v="0"/>
  </r>
  <r>
    <s v="PO-00505"/>
    <x v="4"/>
    <x v="340"/>
    <d v="2022-02-13T00:00:00"/>
    <x v="4"/>
    <x v="1"/>
    <n v="1884"/>
    <n v="47.08"/>
    <n v="44.31"/>
    <n v="54"/>
    <x v="0"/>
    <n v="83480.040000000008"/>
    <n v="4"/>
    <n v="2.8662420382165606E-2"/>
    <n v="5218.6799999999921"/>
    <n v="6.2514105168133507E-2"/>
    <x v="0"/>
    <n v="88698.72"/>
    <n v="1"/>
    <n v="0"/>
  </r>
  <r>
    <s v="PO-00506"/>
    <x v="3"/>
    <x v="220"/>
    <d v="2022-05-08T00:00:00"/>
    <x v="4"/>
    <x v="1"/>
    <n v="295"/>
    <n v="60.58"/>
    <n v="57.32"/>
    <n v="31"/>
    <x v="0"/>
    <n v="16909.400000000001"/>
    <n v="16"/>
    <n v="0.10508474576271186"/>
    <n v="961.69999999999936"/>
    <n v="5.6873691556175811E-2"/>
    <x v="1"/>
    <n v="17871.099999999999"/>
    <n v="1"/>
    <n v="0"/>
  </r>
  <r>
    <s v="PO-00507"/>
    <x v="2"/>
    <x v="123"/>
    <d v="2023-09-04T00:00:00"/>
    <x v="3"/>
    <x v="1"/>
    <n v="1249"/>
    <n v="54.18"/>
    <n v="47.29"/>
    <n v="59"/>
    <x v="0"/>
    <n v="59065.21"/>
    <n v="1"/>
    <n v="4.7237790232185752E-2"/>
    <n v="8605.61"/>
    <n v="0.14569676464368789"/>
    <x v="0"/>
    <n v="67670.819999999992"/>
    <n v="1"/>
    <n v="0"/>
  </r>
  <r>
    <s v="PO-00508"/>
    <x v="1"/>
    <x v="356"/>
    <d v="2023-04-09T00:00:00"/>
    <x v="3"/>
    <x v="1"/>
    <n v="1112"/>
    <n v="39.06"/>
    <n v="33.6"/>
    <n v="184"/>
    <x v="1"/>
    <n v="37363.200000000004"/>
    <n v="19"/>
    <n v="0.16546762589928057"/>
    <n v="6071.5200000000013"/>
    <n v="0.16250000000000001"/>
    <x v="1"/>
    <n v="43434.720000000001"/>
    <n v="0"/>
    <n v="1"/>
  </r>
  <r>
    <s v="PO-00509"/>
    <x v="2"/>
    <x v="357"/>
    <d v="2022-12-25T00:00:00"/>
    <x v="0"/>
    <x v="1"/>
    <n v="1550"/>
    <n v="100.61"/>
    <n v="97.43"/>
    <n v="66"/>
    <x v="0"/>
    <n v="151016.5"/>
    <n v="5"/>
    <n v="4.2580645161290322E-2"/>
    <n v="4928.9999999999882"/>
    <n v="3.2638817612644901E-2"/>
    <x v="0"/>
    <n v="155945.5"/>
    <n v="1"/>
    <n v="0"/>
  </r>
  <r>
    <s v="PO-00510"/>
    <x v="1"/>
    <x v="249"/>
    <d v="2022-11-19T00:00:00"/>
    <x v="4"/>
    <x v="1"/>
    <n v="1755"/>
    <n v="82.66"/>
    <n v="73.67"/>
    <n v="258"/>
    <x v="1"/>
    <n v="129290.85"/>
    <n v="1"/>
    <n v="0.14700854700854701"/>
    <n v="15777.449999999992"/>
    <n v="0.12203067734491645"/>
    <x v="0"/>
    <n v="145068.29999999999"/>
    <n v="0"/>
    <n v="1"/>
  </r>
  <r>
    <s v="PO-00511"/>
    <x v="2"/>
    <x v="358"/>
    <d v="2023-03-31T00:00:00"/>
    <x v="3"/>
    <x v="1"/>
    <n v="808"/>
    <n v="24.19"/>
    <n v="21.64"/>
    <n v="39"/>
    <x v="0"/>
    <n v="17485.12"/>
    <n v="8"/>
    <n v="4.8267326732673269E-2"/>
    <n v="2060.4000000000005"/>
    <n v="0.11783733826247693"/>
    <x v="0"/>
    <n v="19545.52"/>
    <n v="1"/>
    <n v="0"/>
  </r>
  <r>
    <s v="PO-00512"/>
    <x v="0"/>
    <x v="359"/>
    <d v="2023-09-19T00:00:00"/>
    <x v="3"/>
    <x v="2"/>
    <n v="587"/>
    <n v="96.98"/>
    <n v="95.35"/>
    <n v="14"/>
    <x v="0"/>
    <n v="55970.45"/>
    <n v="6"/>
    <n v="2.385008517887564E-2"/>
    <n v="956.81000000000563"/>
    <n v="1.709491347666502E-2"/>
    <x v="0"/>
    <n v="56927.26"/>
    <n v="1"/>
    <n v="0"/>
  </r>
  <r>
    <s v="PO-00513"/>
    <x v="4"/>
    <x v="360"/>
    <d v="2023-06-11T00:00:00"/>
    <x v="1"/>
    <x v="1"/>
    <n v="1940"/>
    <n v="58.45"/>
    <n v="50.29"/>
    <n v="54"/>
    <x v="0"/>
    <n v="97562.599999999991"/>
    <n v="3"/>
    <n v="2.7835051546391754E-2"/>
    <n v="15830.400000000007"/>
    <n v="0.1622588983893419"/>
    <x v="0"/>
    <n v="113393"/>
    <n v="1"/>
    <n v="0"/>
  </r>
  <r>
    <s v="PO-00514"/>
    <x v="3"/>
    <x v="298"/>
    <d v="2022-05-11T00:00:00"/>
    <x v="0"/>
    <x v="0"/>
    <n v="1891"/>
    <n v="91.87"/>
    <n v="80.28"/>
    <n v="158"/>
    <x v="0"/>
    <n v="151809.48000000001"/>
    <n v="12"/>
    <n v="8.3553675304071914E-2"/>
    <n v="21916.690000000006"/>
    <n v="0.14436970602889887"/>
    <x v="0"/>
    <n v="173726.17"/>
    <n v="1"/>
    <n v="0"/>
  </r>
  <r>
    <s v="PO-00515"/>
    <x v="4"/>
    <x v="125"/>
    <d v="2023-02-16T00:00:00"/>
    <x v="2"/>
    <x v="1"/>
    <n v="970"/>
    <n v="86.91"/>
    <n v="78.44"/>
    <n v="18"/>
    <x v="0"/>
    <n v="76086.8"/>
    <n v="17"/>
    <n v="1.8556701030927835E-2"/>
    <n v="8215.9"/>
    <n v="0.10798062213156552"/>
    <x v="1"/>
    <n v="84302.7"/>
    <n v="1"/>
    <n v="0"/>
  </r>
  <r>
    <s v="PO-00516"/>
    <x v="4"/>
    <x v="201"/>
    <d v="2023-08-31T00:00:00"/>
    <x v="1"/>
    <x v="1"/>
    <n v="457"/>
    <n v="52.85"/>
    <n v="50.34"/>
    <n v="16"/>
    <x v="0"/>
    <n v="23005.38"/>
    <n v="17"/>
    <n v="3.5010940919037198E-2"/>
    <n v="1147.069999999999"/>
    <n v="4.9860945570123119E-2"/>
    <x v="1"/>
    <n v="24152.45"/>
    <n v="1"/>
    <n v="0"/>
  </r>
  <r>
    <s v="PO-00517"/>
    <x v="3"/>
    <x v="205"/>
    <d v="2022-07-27T00:00:00"/>
    <x v="0"/>
    <x v="0"/>
    <n v="574"/>
    <n v="12.38"/>
    <n v="11.47"/>
    <n v="0"/>
    <x v="1"/>
    <n v="6583.7800000000007"/>
    <n v="13"/>
    <n v="0"/>
    <n v="522.34"/>
    <n v="7.9337401918047071E-2"/>
    <x v="0"/>
    <n v="7106.1200000000008"/>
    <n v="0"/>
    <n v="1"/>
  </r>
  <r>
    <s v="PO-00518"/>
    <x v="4"/>
    <x v="361"/>
    <d v="2022-09-20T00:00:00"/>
    <x v="0"/>
    <x v="1"/>
    <n v="877"/>
    <n v="35.549999999999997"/>
    <n v="34.69"/>
    <n v="24"/>
    <x v="0"/>
    <n v="30423.129999999997"/>
    <n v="2"/>
    <n v="2.7366020524515394E-2"/>
    <n v="754.21999999999946"/>
    <n v="2.4791006053617743E-2"/>
    <x v="0"/>
    <n v="31177.35"/>
    <n v="1"/>
    <n v="0"/>
  </r>
  <r>
    <s v="PO-00519"/>
    <x v="0"/>
    <x v="310"/>
    <d v="2022-02-27T00:00:00"/>
    <x v="1"/>
    <x v="1"/>
    <n v="1579"/>
    <n v="59.04"/>
    <n v="50.95"/>
    <n v="29"/>
    <x v="0"/>
    <n v="80450.05"/>
    <n v="12"/>
    <n v="1.8366054464851171E-2"/>
    <n v="12774.109999999993"/>
    <n v="0.15878312070657499"/>
    <x v="0"/>
    <n v="93224.16"/>
    <n v="1"/>
    <n v="0"/>
  </r>
  <r>
    <s v="PO-00520"/>
    <x v="1"/>
    <x v="362"/>
    <d v="2023-12-28T00:00:00"/>
    <x v="3"/>
    <x v="1"/>
    <n v="952"/>
    <n v="74.72"/>
    <n v="69.73"/>
    <n v="0"/>
    <x v="0"/>
    <n v="66382.960000000006"/>
    <n v="1"/>
    <n v="0"/>
    <n v="4750.479999999995"/>
    <n v="7.1561738132797856E-2"/>
    <x v="0"/>
    <n v="71133.440000000002"/>
    <n v="1"/>
    <n v="0"/>
  </r>
  <r>
    <s v="PO-00521"/>
    <x v="3"/>
    <x v="358"/>
    <d v="2023-03-26T00:00:00"/>
    <x v="3"/>
    <x v="3"/>
    <n v="1898"/>
    <n v="35.53"/>
    <n v="33.25"/>
    <n v="187"/>
    <x v="0"/>
    <n v="63108.5"/>
    <n v="3"/>
    <n v="9.8524762908324556E-2"/>
    <n v="4327.4400000000023"/>
    <n v="6.8571428571428603E-2"/>
    <x v="0"/>
    <n v="67435.94"/>
    <n v="1"/>
    <n v="0"/>
  </r>
  <r>
    <s v="PO-00522"/>
    <x v="1"/>
    <x v="363"/>
    <d v="2022-01-06T00:00:00"/>
    <x v="2"/>
    <x v="1"/>
    <n v="85"/>
    <n v="22.54"/>
    <n v="20.68"/>
    <n v="6"/>
    <x v="0"/>
    <n v="1757.8"/>
    <n v="4"/>
    <n v="7.0588235294117646E-2"/>
    <n v="158.09999999999997"/>
    <n v="8.9941972920696306E-2"/>
    <x v="0"/>
    <n v="1915.8999999999999"/>
    <n v="1"/>
    <n v="0"/>
  </r>
  <r>
    <s v="PO-00523"/>
    <x v="2"/>
    <x v="364"/>
    <d v="2023-06-28T00:00:00"/>
    <x v="2"/>
    <x v="3"/>
    <n v="734"/>
    <n v="92.38"/>
    <n v="78.92"/>
    <n v="34"/>
    <x v="1"/>
    <n v="57927.28"/>
    <n v="11"/>
    <n v="4.632152588555858E-2"/>
    <n v="9879.6399999999958"/>
    <n v="0.17055245818550424"/>
    <x v="0"/>
    <n v="67806.92"/>
    <n v="0"/>
    <n v="1"/>
  </r>
  <r>
    <s v="PO-00524"/>
    <x v="0"/>
    <x v="108"/>
    <d v="2023-07-18T00:00:00"/>
    <x v="0"/>
    <x v="1"/>
    <n v="69"/>
    <n v="107.47"/>
    <n v="105.53"/>
    <n v="0"/>
    <x v="0"/>
    <n v="7281.57"/>
    <n v="12"/>
    <n v="0"/>
    <n v="133.85999999999984"/>
    <n v="1.8383398085852345E-2"/>
    <x v="0"/>
    <n v="7415.43"/>
    <n v="1"/>
    <n v="0"/>
  </r>
  <r>
    <s v="PO-00525"/>
    <x v="1"/>
    <x v="306"/>
    <d v="2023-12-11T00:00:00"/>
    <x v="2"/>
    <x v="1"/>
    <n v="370"/>
    <n v="63.9"/>
    <n v="55.79"/>
    <n v="59"/>
    <x v="0"/>
    <n v="20642.3"/>
    <n v="6"/>
    <n v="0.15945945945945947"/>
    <n v="3000.7"/>
    <n v="0.14536655314572502"/>
    <x v="0"/>
    <n v="23643"/>
    <n v="1"/>
    <n v="0"/>
  </r>
  <r>
    <s v="PO-00526"/>
    <x v="1"/>
    <x v="72"/>
    <d v="2023-12-03T00:00:00"/>
    <x v="1"/>
    <x v="1"/>
    <n v="1849"/>
    <n v="28.25"/>
    <n v="27.53"/>
    <n v="271"/>
    <x v="0"/>
    <n v="50902.97"/>
    <n v="15"/>
    <n v="0.14656571119524067"/>
    <n v="1331.2799999999979"/>
    <n v="2.615328732292041E-2"/>
    <x v="1"/>
    <n v="52234.25"/>
    <n v="1"/>
    <n v="0"/>
  </r>
  <r>
    <s v="PO-00527"/>
    <x v="3"/>
    <x v="365"/>
    <m/>
    <x v="2"/>
    <x v="1"/>
    <n v="561"/>
    <n v="35.54"/>
    <n v="30.99"/>
    <n v="68"/>
    <x v="1"/>
    <n v="17385.39"/>
    <s v=""/>
    <n v="0.12121212121212122"/>
    <n v="2552.5500000000002"/>
    <n v="0.14682155534043242"/>
    <x v="1"/>
    <n v="19937.939999999999"/>
    <n v="0"/>
    <n v="1"/>
  </r>
  <r>
    <s v="PO-00528"/>
    <x v="2"/>
    <x v="366"/>
    <d v="2023-01-14T00:00:00"/>
    <x v="4"/>
    <x v="1"/>
    <n v="449"/>
    <n v="12.35"/>
    <n v="10.67"/>
    <n v="29"/>
    <x v="0"/>
    <n v="4790.83"/>
    <n v="6"/>
    <n v="6.4587973273942098E-2"/>
    <n v="754.31999999999982"/>
    <n v="0.15745079662605432"/>
    <x v="0"/>
    <n v="5545.15"/>
    <n v="1"/>
    <n v="0"/>
  </r>
  <r>
    <s v="PO-00529"/>
    <x v="3"/>
    <x v="208"/>
    <d v="2023-03-21T00:00:00"/>
    <x v="0"/>
    <x v="1"/>
    <n v="703"/>
    <n v="98.75"/>
    <n v="86.78"/>
    <n v="59"/>
    <x v="0"/>
    <n v="61006.340000000004"/>
    <n v="3"/>
    <n v="8.392603129445235E-2"/>
    <n v="8414.91"/>
    <n v="0.13793500806637474"/>
    <x v="0"/>
    <n v="69421.25"/>
    <n v="1"/>
    <n v="0"/>
  </r>
  <r>
    <s v="PO-00530"/>
    <x v="2"/>
    <x v="58"/>
    <d v="2022-03-28T00:00:00"/>
    <x v="4"/>
    <x v="1"/>
    <n v="1021"/>
    <n v="20.8"/>
    <n v="18.23"/>
    <n v="37"/>
    <x v="0"/>
    <n v="18612.830000000002"/>
    <n v="15"/>
    <n v="3.6238981390793339E-2"/>
    <n v="2623.9700000000003"/>
    <n v="0.14097641250685683"/>
    <x v="1"/>
    <n v="21236.799999999999"/>
    <n v="1"/>
    <n v="0"/>
  </r>
  <r>
    <s v="PO-00531"/>
    <x v="3"/>
    <x v="367"/>
    <d v="2023-11-19T00:00:00"/>
    <x v="0"/>
    <x v="1"/>
    <n v="1956"/>
    <n v="68.69"/>
    <n v="65.09"/>
    <n v="0"/>
    <x v="0"/>
    <n v="127316.04000000001"/>
    <n v="7"/>
    <n v="0"/>
    <n v="7041.5999999999885"/>
    <n v="5.530803502842209E-2"/>
    <x v="0"/>
    <n v="134357.63999999998"/>
    <n v="1"/>
    <n v="0"/>
  </r>
  <r>
    <s v="PO-00532"/>
    <x v="1"/>
    <x v="193"/>
    <d v="2022-12-12T00:00:00"/>
    <x v="0"/>
    <x v="2"/>
    <n v="520"/>
    <n v="36.57"/>
    <n v="34.78"/>
    <n v="67"/>
    <x v="1"/>
    <n v="18085.600000000002"/>
    <n v="7"/>
    <n v="0.12884615384615383"/>
    <n v="930.7999999999995"/>
    <n v="5.1466359976998242E-2"/>
    <x v="0"/>
    <n v="19016.400000000001"/>
    <n v="0"/>
    <n v="1"/>
  </r>
  <r>
    <s v="PO-00533"/>
    <x v="1"/>
    <x v="368"/>
    <d v="2023-10-12T00:00:00"/>
    <x v="1"/>
    <x v="1"/>
    <n v="1216"/>
    <n v="66.16"/>
    <n v="63"/>
    <n v="179"/>
    <x v="1"/>
    <n v="76608"/>
    <n v="11"/>
    <n v="0.14720394736842105"/>
    <n v="3842.5599999999959"/>
    <n v="5.0158730158730104E-2"/>
    <x v="0"/>
    <n v="80450.559999999998"/>
    <n v="0"/>
    <n v="1"/>
  </r>
  <r>
    <s v="PO-00534"/>
    <x v="0"/>
    <x v="249"/>
    <m/>
    <x v="3"/>
    <x v="1"/>
    <n v="1165"/>
    <n v="72.06"/>
    <n v="63.93"/>
    <n v="0"/>
    <x v="0"/>
    <n v="74478.45"/>
    <s v=""/>
    <n v="0"/>
    <n v="9471.4500000000025"/>
    <n v="0.12717034256217741"/>
    <x v="1"/>
    <n v="83949.900000000009"/>
    <n v="1"/>
    <n v="0"/>
  </r>
  <r>
    <s v="PO-00535"/>
    <x v="1"/>
    <x v="295"/>
    <d v="2023-11-29T00:00:00"/>
    <x v="2"/>
    <x v="3"/>
    <n v="1427"/>
    <n v="93.99"/>
    <n v="83.6"/>
    <n v="213"/>
    <x v="0"/>
    <n v="119297.2"/>
    <n v="18"/>
    <n v="0.14926419060967064"/>
    <n v="14826.53"/>
    <n v="0.12428229665071772"/>
    <x v="1"/>
    <n v="134123.72999999998"/>
    <n v="1"/>
    <n v="0"/>
  </r>
  <r>
    <s v="PO-00536"/>
    <x v="4"/>
    <x v="47"/>
    <d v="2022-05-10T00:00:00"/>
    <x v="4"/>
    <x v="1"/>
    <n v="883"/>
    <n v="29.15"/>
    <n v="25.75"/>
    <n v="14"/>
    <x v="0"/>
    <n v="22737.25"/>
    <n v="2"/>
    <n v="1.5855039637599093E-2"/>
    <n v="3002.1999999999989"/>
    <n v="0.13203883495145627"/>
    <x v="0"/>
    <n v="25739.449999999997"/>
    <n v="1"/>
    <n v="0"/>
  </r>
  <r>
    <s v="PO-00537"/>
    <x v="1"/>
    <x v="275"/>
    <d v="2022-11-11T00:00:00"/>
    <x v="2"/>
    <x v="2"/>
    <n v="1873"/>
    <n v="11.54"/>
    <n v="9.89"/>
    <n v="284"/>
    <x v="1"/>
    <n v="18523.97"/>
    <n v="7"/>
    <n v="0.15162840363053925"/>
    <n v="3090.4499999999975"/>
    <n v="0.16683518705763384"/>
    <x v="0"/>
    <n v="21614.42"/>
    <n v="0"/>
    <n v="1"/>
  </r>
  <r>
    <s v="PO-00538"/>
    <x v="4"/>
    <x v="140"/>
    <d v="2023-06-06T00:00:00"/>
    <x v="0"/>
    <x v="1"/>
    <n v="776"/>
    <n v="24.22"/>
    <n v="22.53"/>
    <n v="27"/>
    <x v="0"/>
    <n v="17483.280000000002"/>
    <n v="2"/>
    <n v="3.4793814432989692E-2"/>
    <n v="1311.4399999999982"/>
    <n v="7.5011096316022971E-2"/>
    <x v="0"/>
    <n v="18794.719999999998"/>
    <n v="1"/>
    <n v="0"/>
  </r>
  <r>
    <s v="PO-00539"/>
    <x v="1"/>
    <x v="369"/>
    <d v="2022-11-24T00:00:00"/>
    <x v="4"/>
    <x v="1"/>
    <n v="903"/>
    <n v="95.55"/>
    <n v="92.45"/>
    <n v="149"/>
    <x v="1"/>
    <n v="83482.350000000006"/>
    <n v="11"/>
    <n v="0.16500553709856036"/>
    <n v="2799.2999999999947"/>
    <n v="3.3531638723634329E-2"/>
    <x v="0"/>
    <n v="86281.65"/>
    <n v="0"/>
    <n v="1"/>
  </r>
  <r>
    <s v="PO-00540"/>
    <x v="4"/>
    <x v="329"/>
    <d v="2023-11-26T00:00:00"/>
    <x v="4"/>
    <x v="1"/>
    <n v="100"/>
    <n v="98.4"/>
    <n v="85.76"/>
    <n v="3"/>
    <x v="0"/>
    <n v="8576"/>
    <n v="12"/>
    <n v="0.03"/>
    <n v="1264"/>
    <n v="0.14738805970149255"/>
    <x v="0"/>
    <n v="9840"/>
    <n v="1"/>
    <n v="0"/>
  </r>
  <r>
    <s v="PO-00541"/>
    <x v="4"/>
    <x v="370"/>
    <d v="2023-03-08T00:00:00"/>
    <x v="0"/>
    <x v="1"/>
    <n v="1738"/>
    <n v="67.91"/>
    <n v="61.15"/>
    <n v="0"/>
    <x v="0"/>
    <n v="106278.7"/>
    <n v="13"/>
    <n v="0"/>
    <n v="11748.879999999997"/>
    <n v="0.1105478331970564"/>
    <x v="0"/>
    <n v="118027.57999999999"/>
    <n v="1"/>
    <n v="0"/>
  </r>
  <r>
    <s v="PO-00542"/>
    <x v="1"/>
    <x v="371"/>
    <d v="2022-12-14T00:00:00"/>
    <x v="2"/>
    <x v="1"/>
    <n v="1771"/>
    <n v="67.569999999999993"/>
    <n v="61.48"/>
    <n v="280"/>
    <x v="1"/>
    <n v="108881.07999999999"/>
    <n v="13"/>
    <n v="0.15810276679841898"/>
    <n v="10785.389999999994"/>
    <n v="9.9056603773584856E-2"/>
    <x v="0"/>
    <n v="119666.46999999999"/>
    <n v="0"/>
    <n v="1"/>
  </r>
  <r>
    <s v="PO-00543"/>
    <x v="4"/>
    <x v="218"/>
    <d v="2023-02-23T00:00:00"/>
    <x v="4"/>
    <x v="1"/>
    <n v="624"/>
    <n v="74.39"/>
    <n v="66.3"/>
    <n v="18"/>
    <x v="1"/>
    <n v="41371.199999999997"/>
    <n v="6"/>
    <n v="2.8846153846153848E-2"/>
    <n v="5048.1600000000017"/>
    <n v="0.12202111613876325"/>
    <x v="0"/>
    <n v="46419.360000000001"/>
    <n v="0"/>
    <n v="1"/>
  </r>
  <r>
    <s v="PO-00544"/>
    <x v="0"/>
    <x v="241"/>
    <d v="2023-12-31T00:00:00"/>
    <x v="2"/>
    <x v="2"/>
    <n v="1263"/>
    <n v="28.75"/>
    <n v="27.1"/>
    <n v="26"/>
    <x v="0"/>
    <n v="34227.300000000003"/>
    <n v="16"/>
    <n v="2.0585906571654791E-2"/>
    <n v="2083.949999999998"/>
    <n v="6.0885608856088499E-2"/>
    <x v="1"/>
    <n v="36311.25"/>
    <n v="1"/>
    <n v="0"/>
  </r>
  <r>
    <s v="PO-00545"/>
    <x v="2"/>
    <x v="372"/>
    <d v="2022-11-16T00:00:00"/>
    <x v="4"/>
    <x v="0"/>
    <n v="1198"/>
    <n v="96.45"/>
    <n v="90.09"/>
    <n v="0"/>
    <x v="0"/>
    <n v="107927.82"/>
    <n v="17"/>
    <n v="0"/>
    <n v="7619.28"/>
    <n v="7.0596070596070593E-2"/>
    <x v="1"/>
    <n v="115547.1"/>
    <n v="1"/>
    <n v="0"/>
  </r>
  <r>
    <s v="PO-00546"/>
    <x v="4"/>
    <x v="185"/>
    <d v="2023-07-25T00:00:00"/>
    <x v="3"/>
    <x v="1"/>
    <n v="199"/>
    <n v="51.98"/>
    <n v="45.64"/>
    <n v="0"/>
    <x v="1"/>
    <n v="9082.36"/>
    <n v="3"/>
    <n v="0"/>
    <n v="1261.6599999999992"/>
    <n v="0.13891323400525846"/>
    <x v="0"/>
    <n v="10344.019999999999"/>
    <n v="0"/>
    <n v="1"/>
  </r>
  <r>
    <s v="PO-00547"/>
    <x v="4"/>
    <x v="325"/>
    <d v="2022-05-14T00:00:00"/>
    <x v="1"/>
    <x v="3"/>
    <n v="363"/>
    <n v="45.37"/>
    <n v="38.729999999999997"/>
    <n v="0"/>
    <x v="0"/>
    <n v="14058.989999999998"/>
    <n v="3"/>
    <n v="0"/>
    <n v="2410.3200000000002"/>
    <n v="0.1714433255874"/>
    <x v="0"/>
    <n v="16469.309999999998"/>
    <n v="1"/>
    <n v="0"/>
  </r>
  <r>
    <s v="PO-00548"/>
    <x v="0"/>
    <x v="56"/>
    <d v="2022-07-22T00:00:00"/>
    <x v="0"/>
    <x v="1"/>
    <n v="619"/>
    <n v="58.4"/>
    <n v="51.04"/>
    <n v="0"/>
    <x v="0"/>
    <n v="31593.759999999998"/>
    <n v="6"/>
    <n v="0"/>
    <n v="4555.8399999999992"/>
    <n v="0.14420062695924762"/>
    <x v="0"/>
    <n v="36149.599999999999"/>
    <n v="1"/>
    <n v="0"/>
  </r>
  <r>
    <s v="PO-00549"/>
    <x v="0"/>
    <x v="373"/>
    <d v="2023-03-18T00:00:00"/>
    <x v="1"/>
    <x v="1"/>
    <n v="1415"/>
    <n v="15.22"/>
    <n v="13.56"/>
    <n v="30"/>
    <x v="0"/>
    <n v="19187.400000000001"/>
    <n v="11"/>
    <n v="2.1201413427561839E-2"/>
    <n v="2348.9"/>
    <n v="0.12241887905604719"/>
    <x v="0"/>
    <n v="21536.3"/>
    <n v="1"/>
    <n v="0"/>
  </r>
  <r>
    <s v="PO-00550"/>
    <x v="3"/>
    <x v="367"/>
    <d v="2023-11-23T00:00:00"/>
    <x v="2"/>
    <x v="1"/>
    <n v="354"/>
    <n v="27.71"/>
    <n v="23.87"/>
    <n v="39"/>
    <x v="1"/>
    <n v="8449.98"/>
    <n v="11"/>
    <n v="0.11016949152542373"/>
    <n v="1359.36"/>
    <n v="0.16087138667783829"/>
    <x v="0"/>
    <n v="9809.34"/>
    <n v="0"/>
    <n v="1"/>
  </r>
  <r>
    <s v="PO-00551"/>
    <x v="2"/>
    <x v="82"/>
    <d v="2023-02-03T00:00:00"/>
    <x v="1"/>
    <x v="1"/>
    <n v="1765"/>
    <n v="81.010000000000005"/>
    <n v="78.430000000000007"/>
    <n v="78"/>
    <x v="0"/>
    <n v="138428.95000000001"/>
    <n v="10"/>
    <n v="4.4192634560906517E-2"/>
    <n v="4553.6999999999971"/>
    <n v="3.289557567257425E-2"/>
    <x v="0"/>
    <n v="142982.65000000002"/>
    <n v="1"/>
    <n v="0"/>
  </r>
  <r>
    <s v="PO-00552"/>
    <x v="3"/>
    <x v="374"/>
    <d v="2023-12-09T00:00:00"/>
    <x v="1"/>
    <x v="1"/>
    <n v="731"/>
    <n v="19.37"/>
    <n v="17.3"/>
    <n v="69"/>
    <x v="1"/>
    <n v="12646.300000000001"/>
    <n v="14"/>
    <n v="9.4391244870041038E-2"/>
    <n v="1513.1700000000003"/>
    <n v="0.11965317919075145"/>
    <x v="0"/>
    <n v="14159.470000000001"/>
    <n v="0"/>
    <n v="1"/>
  </r>
  <r>
    <s v="PO-00553"/>
    <x v="4"/>
    <x v="375"/>
    <d v="2022-07-13T00:00:00"/>
    <x v="1"/>
    <x v="1"/>
    <n v="887"/>
    <n v="65.89"/>
    <n v="59.67"/>
    <n v="29"/>
    <x v="0"/>
    <n v="52927.29"/>
    <n v="15"/>
    <n v="3.269447576099211E-2"/>
    <n v="5517.1399999999994"/>
    <n v="0.10423998659292776"/>
    <x v="1"/>
    <n v="58444.43"/>
    <n v="1"/>
    <n v="0"/>
  </r>
  <r>
    <s v="PO-00554"/>
    <x v="0"/>
    <x v="376"/>
    <d v="2023-09-25T00:00:00"/>
    <x v="1"/>
    <x v="1"/>
    <n v="1856"/>
    <n v="35.29"/>
    <n v="32.409999999999997"/>
    <n v="26"/>
    <x v="0"/>
    <n v="60152.959999999992"/>
    <n v="2"/>
    <n v="1.4008620689655173E-2"/>
    <n v="5345.2800000000043"/>
    <n v="8.886146251157058E-2"/>
    <x v="0"/>
    <n v="65498.239999999998"/>
    <n v="1"/>
    <n v="0"/>
  </r>
  <r>
    <s v="PO-00555"/>
    <x v="4"/>
    <x v="377"/>
    <d v="2023-08-18T00:00:00"/>
    <x v="0"/>
    <x v="1"/>
    <n v="1127"/>
    <n v="49.32"/>
    <n v="46.49"/>
    <n v="30"/>
    <x v="0"/>
    <n v="52394.23"/>
    <n v="12"/>
    <n v="2.6619343389529725E-2"/>
    <n v="3189.409999999998"/>
    <n v="6.0873306087330568E-2"/>
    <x v="0"/>
    <n v="55583.64"/>
    <n v="1"/>
    <n v="0"/>
  </r>
  <r>
    <s v="PO-00556"/>
    <x v="1"/>
    <x v="378"/>
    <d v="2022-11-19T00:00:00"/>
    <x v="3"/>
    <x v="1"/>
    <n v="1052"/>
    <n v="37.78"/>
    <n v="32.6"/>
    <n v="162"/>
    <x v="0"/>
    <n v="34295.200000000004"/>
    <n v="14"/>
    <n v="0.15399239543726237"/>
    <n v="5449.36"/>
    <n v="0.15889570552147236"/>
    <x v="0"/>
    <n v="39744.559999999998"/>
    <n v="1"/>
    <n v="0"/>
  </r>
  <r>
    <s v="PO-00557"/>
    <x v="2"/>
    <x v="379"/>
    <d v="2023-02-22T00:00:00"/>
    <x v="3"/>
    <x v="1"/>
    <n v="493"/>
    <n v="44.74"/>
    <n v="41.44"/>
    <n v="24"/>
    <x v="1"/>
    <n v="20429.919999999998"/>
    <n v="2"/>
    <n v="4.8681541582150101E-2"/>
    <n v="1626.9000000000021"/>
    <n v="7.9633204633204738E-2"/>
    <x v="0"/>
    <n v="22056.82"/>
    <n v="0"/>
    <n v="1"/>
  </r>
  <r>
    <s v="PO-00558"/>
    <x v="1"/>
    <x v="380"/>
    <d v="2023-07-29T00:00:00"/>
    <x v="1"/>
    <x v="2"/>
    <n v="662"/>
    <n v="81.44"/>
    <n v="71.33"/>
    <n v="87"/>
    <x v="0"/>
    <n v="47220.46"/>
    <n v="13"/>
    <n v="0.13141993957703926"/>
    <n v="6692.82"/>
    <n v="0.14173559512126735"/>
    <x v="0"/>
    <n v="53913.279999999999"/>
    <n v="1"/>
    <n v="0"/>
  </r>
  <r>
    <s v="PO-00559"/>
    <x v="0"/>
    <x v="148"/>
    <d v="2022-01-07T00:00:00"/>
    <x v="3"/>
    <x v="1"/>
    <n v="1042"/>
    <n v="36.74"/>
    <n v="35.78"/>
    <n v="33"/>
    <x v="0"/>
    <n v="37282.76"/>
    <n v="6"/>
    <n v="3.166986564299424E-2"/>
    <n v="1000.3200000000008"/>
    <n v="2.6830631637786494E-2"/>
    <x v="0"/>
    <n v="38283.08"/>
    <n v="1"/>
    <n v="0"/>
  </r>
  <r>
    <s v="PO-00560"/>
    <x v="0"/>
    <x v="381"/>
    <m/>
    <x v="3"/>
    <x v="1"/>
    <n v="313"/>
    <n v="64.03"/>
    <n v="57.74"/>
    <n v="1"/>
    <x v="0"/>
    <n v="18072.62"/>
    <s v=""/>
    <n v="3.1948881789137379E-3"/>
    <n v="1968.7699999999998"/>
    <n v="0.10893661240041565"/>
    <x v="1"/>
    <n v="20041.39"/>
    <n v="1"/>
    <n v="0"/>
  </r>
  <r>
    <s v="PO-00561"/>
    <x v="0"/>
    <x v="382"/>
    <d v="2022-11-10T00:00:00"/>
    <x v="0"/>
    <x v="1"/>
    <n v="1126"/>
    <n v="55.22"/>
    <n v="50.38"/>
    <n v="0"/>
    <x v="0"/>
    <n v="56727.880000000005"/>
    <n v="20"/>
    <n v="0"/>
    <n v="5449.8399999999956"/>
    <n v="9.6069868995633106E-2"/>
    <x v="1"/>
    <n v="62177.72"/>
    <n v="1"/>
    <n v="0"/>
  </r>
  <r>
    <s v="PO-00562"/>
    <x v="2"/>
    <x v="303"/>
    <d v="2022-08-19T00:00:00"/>
    <x v="1"/>
    <x v="1"/>
    <n v="1645"/>
    <n v="72.17"/>
    <n v="64"/>
    <n v="79"/>
    <x v="0"/>
    <n v="105280"/>
    <n v="15"/>
    <n v="4.8024316109422489E-2"/>
    <n v="13439.650000000003"/>
    <n v="0.12765625000000003"/>
    <x v="1"/>
    <n v="118719.65000000001"/>
    <n v="1"/>
    <n v="0"/>
  </r>
  <r>
    <s v="PO-00563"/>
    <x v="3"/>
    <x v="324"/>
    <d v="2023-03-20T00:00:00"/>
    <x v="2"/>
    <x v="1"/>
    <n v="1053"/>
    <n v="100.92"/>
    <n v="92.35"/>
    <n v="104"/>
    <x v="0"/>
    <n v="97244.549999999988"/>
    <n v="3"/>
    <n v="9.8765432098765427E-2"/>
    <n v="9024.2100000000082"/>
    <n v="9.279913373037367E-2"/>
    <x v="0"/>
    <n v="106268.76"/>
    <n v="1"/>
    <n v="0"/>
  </r>
  <r>
    <s v="PO-00564"/>
    <x v="4"/>
    <x v="247"/>
    <d v="2023-08-29T00:00:00"/>
    <x v="1"/>
    <x v="1"/>
    <n v="1693"/>
    <n v="83.14"/>
    <n v="73.3"/>
    <n v="62"/>
    <x v="0"/>
    <n v="124096.9"/>
    <n v="12"/>
    <n v="3.662138216184288E-2"/>
    <n v="16659.120000000006"/>
    <n v="0.13424283765347891"/>
    <x v="0"/>
    <n v="140756.01999999999"/>
    <n v="1"/>
    <n v="0"/>
  </r>
  <r>
    <s v="PO-00565"/>
    <x v="4"/>
    <x v="169"/>
    <d v="2023-10-03T00:00:00"/>
    <x v="3"/>
    <x v="3"/>
    <n v="54"/>
    <n v="32.28"/>
    <n v="28.65"/>
    <n v="3"/>
    <x v="0"/>
    <n v="1547.1"/>
    <n v="19"/>
    <n v="5.5555555555555552E-2"/>
    <n v="196.02000000000015"/>
    <n v="0.12670157068062837"/>
    <x v="1"/>
    <n v="1743.1200000000001"/>
    <n v="1"/>
    <n v="0"/>
  </r>
  <r>
    <s v="PO-00566"/>
    <x v="4"/>
    <x v="383"/>
    <d v="2023-11-07T00:00:00"/>
    <x v="2"/>
    <x v="1"/>
    <n v="1176"/>
    <n v="14.22"/>
    <n v="12.21"/>
    <n v="33"/>
    <x v="0"/>
    <n v="14358.960000000001"/>
    <n v="5"/>
    <n v="2.8061224489795918E-2"/>
    <n v="2363.7599999999998"/>
    <n v="0.16461916461916459"/>
    <x v="0"/>
    <n v="16722.72"/>
    <n v="1"/>
    <n v="0"/>
  </r>
  <r>
    <s v="PO-00567"/>
    <x v="4"/>
    <x v="384"/>
    <d v="2022-12-08T00:00:00"/>
    <x v="3"/>
    <x v="1"/>
    <n v="1269"/>
    <n v="35.28"/>
    <n v="33.700000000000003"/>
    <n v="35"/>
    <x v="0"/>
    <n v="42765.3"/>
    <n v="12"/>
    <n v="2.7580772261623327E-2"/>
    <n v="2005.0199999999979"/>
    <n v="4.6884272997032586E-2"/>
    <x v="0"/>
    <n v="44770.32"/>
    <n v="1"/>
    <n v="0"/>
  </r>
  <r>
    <s v="PO-00568"/>
    <x v="4"/>
    <x v="385"/>
    <d v="2023-04-25T00:00:00"/>
    <x v="3"/>
    <x v="1"/>
    <n v="823"/>
    <n v="68.319999999999993"/>
    <n v="64.459999999999994"/>
    <n v="19"/>
    <x v="0"/>
    <n v="53050.579999999994"/>
    <n v="3"/>
    <n v="2.3086269744835967E-2"/>
    <n v="3176.7799999999997"/>
    <n v="5.9882097424759542E-2"/>
    <x v="0"/>
    <n v="56227.359999999993"/>
    <n v="1"/>
    <n v="0"/>
  </r>
  <r>
    <s v="PO-00569"/>
    <x v="3"/>
    <x v="315"/>
    <d v="2023-04-15T00:00:00"/>
    <x v="4"/>
    <x v="1"/>
    <n v="926"/>
    <n v="15.65"/>
    <n v="13.49"/>
    <n v="94"/>
    <x v="1"/>
    <n v="12491.74"/>
    <n v="17"/>
    <n v="0.10151187904967603"/>
    <n v="2000.16"/>
    <n v="0.16011860637509268"/>
    <x v="1"/>
    <n v="14491.9"/>
    <n v="0"/>
    <n v="1"/>
  </r>
  <r>
    <s v="PO-00570"/>
    <x v="1"/>
    <x v="315"/>
    <d v="2023-04-09T00:00:00"/>
    <x v="4"/>
    <x v="0"/>
    <n v="1041"/>
    <n v="58.5"/>
    <n v="52.54"/>
    <n v="170"/>
    <x v="1"/>
    <n v="54694.14"/>
    <n v="11"/>
    <n v="0.1633045148895293"/>
    <n v="6204.3600000000006"/>
    <n v="0.11343738104301486"/>
    <x v="0"/>
    <n v="60898.5"/>
    <n v="0"/>
    <n v="1"/>
  </r>
  <r>
    <s v="PO-00571"/>
    <x v="2"/>
    <x v="257"/>
    <d v="2023-12-01T00:00:00"/>
    <x v="4"/>
    <x v="3"/>
    <n v="933"/>
    <n v="70.72"/>
    <n v="65.47"/>
    <n v="42"/>
    <x v="0"/>
    <n v="61083.51"/>
    <n v="8"/>
    <n v="4.5016077170418008E-2"/>
    <n v="4898.25"/>
    <n v="8.0189399725064919E-2"/>
    <x v="0"/>
    <n v="65981.759999999995"/>
    <n v="1"/>
    <n v="0"/>
  </r>
  <r>
    <s v="PO-00572"/>
    <x v="1"/>
    <x v="235"/>
    <m/>
    <x v="3"/>
    <x v="1"/>
    <n v="1423"/>
    <n v="41.48"/>
    <n v="40.9"/>
    <n v="199"/>
    <x v="0"/>
    <n v="58200.7"/>
    <s v=""/>
    <n v="0.13984539704848911"/>
    <n v="825.33999999999753"/>
    <n v="1.4180929095354481E-2"/>
    <x v="1"/>
    <n v="59026.039999999994"/>
    <n v="1"/>
    <n v="0"/>
  </r>
  <r>
    <s v="PO-00573"/>
    <x v="1"/>
    <x v="360"/>
    <d v="2023-06-14T00:00:00"/>
    <x v="1"/>
    <x v="1"/>
    <n v="96"/>
    <n v="86.13"/>
    <n v="80.319999999999993"/>
    <n v="12"/>
    <x v="1"/>
    <n v="7710.7199999999993"/>
    <n v="6"/>
    <n v="0.125"/>
    <n v="557.76000000000022"/>
    <n v="7.2335657370517961E-2"/>
    <x v="0"/>
    <n v="8268.48"/>
    <n v="0"/>
    <n v="1"/>
  </r>
  <r>
    <s v="PO-00574"/>
    <x v="4"/>
    <x v="202"/>
    <d v="2023-05-13T00:00:00"/>
    <x v="1"/>
    <x v="1"/>
    <n v="916"/>
    <n v="21.06"/>
    <n v="19.53"/>
    <n v="25"/>
    <x v="0"/>
    <n v="17889.48"/>
    <n v="13"/>
    <n v="2.7292576419213975E-2"/>
    <n v="1401.4799999999977"/>
    <n v="7.8341013824884662E-2"/>
    <x v="0"/>
    <n v="19290.96"/>
    <n v="1"/>
    <n v="0"/>
  </r>
  <r>
    <s v="PO-00575"/>
    <x v="4"/>
    <x v="386"/>
    <m/>
    <x v="3"/>
    <x v="1"/>
    <n v="872"/>
    <n v="17.18"/>
    <n v="16.63"/>
    <n v="20"/>
    <x v="0"/>
    <n v="14501.359999999999"/>
    <s v=""/>
    <n v="2.2935779816513763E-2"/>
    <n v="479.60000000000059"/>
    <n v="3.3072760072158792E-2"/>
    <x v="1"/>
    <n v="14980.96"/>
    <n v="1"/>
    <n v="0"/>
  </r>
  <r>
    <s v="PO-00576"/>
    <x v="3"/>
    <x v="207"/>
    <d v="2023-11-15T00:00:00"/>
    <x v="4"/>
    <x v="1"/>
    <n v="985"/>
    <n v="83.85"/>
    <n v="80.88"/>
    <n v="0"/>
    <x v="1"/>
    <n v="79666.799999999988"/>
    <n v="9"/>
    <n v="0"/>
    <n v="2925.4499999999989"/>
    <n v="3.6721068249258151E-2"/>
    <x v="0"/>
    <n v="82592.25"/>
    <n v="0"/>
    <n v="1"/>
  </r>
  <r>
    <s v="PO-00577"/>
    <x v="2"/>
    <x v="387"/>
    <d v="2022-04-04T00:00:00"/>
    <x v="3"/>
    <x v="1"/>
    <n v="1893"/>
    <n v="55.14"/>
    <n v="50.1"/>
    <n v="98"/>
    <x v="0"/>
    <n v="94839.3"/>
    <n v="7"/>
    <n v="5.1769677760169046E-2"/>
    <n v="9540.7199999999975"/>
    <n v="0.10059880239520955"/>
    <x v="0"/>
    <n v="104380.02"/>
    <n v="1"/>
    <n v="0"/>
  </r>
  <r>
    <s v="PO-00578"/>
    <x v="0"/>
    <x v="388"/>
    <m/>
    <x v="1"/>
    <x v="1"/>
    <n v="705"/>
    <n v="75.19"/>
    <n v="69.55"/>
    <n v="19"/>
    <x v="0"/>
    <n v="49032.75"/>
    <s v=""/>
    <n v="2.6950354609929079E-2"/>
    <n v="3976.2000000000003"/>
    <n v="8.109273903666428E-2"/>
    <x v="1"/>
    <n v="53008.95"/>
    <n v="1"/>
    <n v="0"/>
  </r>
  <r>
    <s v="PO-00579"/>
    <x v="1"/>
    <x v="389"/>
    <d v="2023-06-28T00:00:00"/>
    <x v="1"/>
    <x v="1"/>
    <n v="318"/>
    <n v="53.31"/>
    <n v="51.78"/>
    <n v="0"/>
    <x v="1"/>
    <n v="16466.04"/>
    <n v="16"/>
    <n v="0"/>
    <n v="486.54000000000036"/>
    <n v="2.9548088064889941E-2"/>
    <x v="1"/>
    <n v="16952.580000000002"/>
    <n v="0"/>
    <n v="1"/>
  </r>
  <r>
    <s v="PO-00580"/>
    <x v="0"/>
    <x v="295"/>
    <d v="2023-11-16T00:00:00"/>
    <x v="0"/>
    <x v="3"/>
    <n v="419"/>
    <n v="35.72"/>
    <n v="32.74"/>
    <n v="7"/>
    <x v="0"/>
    <n v="13718.060000000001"/>
    <n v="5"/>
    <n v="1.6706443914081145E-2"/>
    <n v="1248.6199999999988"/>
    <n v="9.102015882712268E-2"/>
    <x v="0"/>
    <n v="14966.68"/>
    <n v="1"/>
    <n v="0"/>
  </r>
  <r>
    <s v="PO-00581"/>
    <x v="2"/>
    <x v="390"/>
    <d v="2023-10-26T00:00:00"/>
    <x v="1"/>
    <x v="1"/>
    <n v="685"/>
    <n v="92.51"/>
    <n v="90.05"/>
    <n v="38"/>
    <x v="0"/>
    <n v="61684.25"/>
    <n v="15"/>
    <n v="5.5474452554744529E-2"/>
    <n v="1685.1000000000054"/>
    <n v="2.7318156579678045E-2"/>
    <x v="1"/>
    <n v="63369.350000000006"/>
    <n v="1"/>
    <n v="0"/>
  </r>
  <r>
    <s v="PO-00582"/>
    <x v="1"/>
    <x v="265"/>
    <d v="2023-10-12T00:00:00"/>
    <x v="0"/>
    <x v="2"/>
    <n v="1179"/>
    <n v="90.14"/>
    <n v="82.63"/>
    <n v="194"/>
    <x v="0"/>
    <n v="97420.76999999999"/>
    <n v="15"/>
    <n v="0.1645462256149279"/>
    <n v="8854.2900000000063"/>
    <n v="9.0887087014401624E-2"/>
    <x v="1"/>
    <n v="106275.06"/>
    <n v="1"/>
    <n v="0"/>
  </r>
  <r>
    <s v="PO-00583"/>
    <x v="0"/>
    <x v="391"/>
    <m/>
    <x v="3"/>
    <x v="1"/>
    <n v="1743"/>
    <n v="76.510000000000005"/>
    <n v="65.88"/>
    <n v="40"/>
    <x v="0"/>
    <n v="114828.84"/>
    <s v=""/>
    <n v="2.2948938611589215E-2"/>
    <n v="18528.090000000018"/>
    <n v="0.16135397692774758"/>
    <x v="1"/>
    <n v="133356.93000000002"/>
    <n v="1"/>
    <n v="0"/>
  </r>
  <r>
    <s v="PO-00584"/>
    <x v="0"/>
    <x v="15"/>
    <d v="2022-04-17T00:00:00"/>
    <x v="1"/>
    <x v="1"/>
    <n v="1732"/>
    <n v="35.01"/>
    <n v="34.18"/>
    <n v="40"/>
    <x v="0"/>
    <n v="59199.76"/>
    <n v="11"/>
    <n v="2.3094688221709007E-2"/>
    <n v="1437.559999999997"/>
    <n v="2.4283206553540031E-2"/>
    <x v="0"/>
    <n v="60637.32"/>
    <n v="1"/>
    <n v="0"/>
  </r>
  <r>
    <s v="PO-00585"/>
    <x v="3"/>
    <x v="258"/>
    <d v="2022-09-01T00:00:00"/>
    <x v="0"/>
    <x v="1"/>
    <n v="706"/>
    <n v="65.33"/>
    <n v="62.06"/>
    <n v="60"/>
    <x v="1"/>
    <n v="43814.36"/>
    <n v="3"/>
    <n v="8.4985835694050993E-2"/>
    <n v="2308.6199999999972"/>
    <n v="5.2690944247502348E-2"/>
    <x v="0"/>
    <n v="46122.979999999996"/>
    <n v="0"/>
    <n v="1"/>
  </r>
  <r>
    <s v="PO-00586"/>
    <x v="2"/>
    <x v="392"/>
    <d v="2023-11-30T00:00:00"/>
    <x v="1"/>
    <x v="0"/>
    <n v="169"/>
    <n v="47.16"/>
    <n v="43.4"/>
    <n v="0"/>
    <x v="0"/>
    <n v="7334.5999999999995"/>
    <n v="10"/>
    <n v="0"/>
    <n v="635.43999999999971"/>
    <n v="8.6635944700460793E-2"/>
    <x v="0"/>
    <n v="7970.0399999999991"/>
    <n v="1"/>
    <n v="0"/>
  </r>
  <r>
    <s v="PO-00587"/>
    <x v="2"/>
    <x v="393"/>
    <d v="2022-11-20T00:00:00"/>
    <x v="0"/>
    <x v="3"/>
    <n v="880"/>
    <n v="19.149999999999999"/>
    <n v="18.690000000000001"/>
    <n v="0"/>
    <x v="1"/>
    <n v="16447.2"/>
    <n v="6"/>
    <n v="0"/>
    <n v="404.79999999999762"/>
    <n v="2.4612092027822219E-2"/>
    <x v="0"/>
    <n v="16852"/>
    <n v="0"/>
    <n v="1"/>
  </r>
  <r>
    <s v="PO-00588"/>
    <x v="2"/>
    <x v="181"/>
    <d v="2022-08-25T00:00:00"/>
    <x v="1"/>
    <x v="1"/>
    <n v="1860"/>
    <n v="95.8"/>
    <n v="92.17"/>
    <n v="105"/>
    <x v="1"/>
    <n v="171436.2"/>
    <n v="6"/>
    <n v="5.6451612903225805E-2"/>
    <n v="6751.799999999992"/>
    <n v="3.9383747423239614E-2"/>
    <x v="0"/>
    <n v="178188"/>
    <n v="0"/>
    <n v="1"/>
  </r>
  <r>
    <s v="PO-00589"/>
    <x v="1"/>
    <x v="22"/>
    <d v="2022-08-09T00:00:00"/>
    <x v="1"/>
    <x v="1"/>
    <n v="1677"/>
    <n v="22.98"/>
    <n v="21.71"/>
    <n v="246"/>
    <x v="0"/>
    <n v="36407.67"/>
    <n v="17"/>
    <n v="0.14669051878354203"/>
    <n v="2129.7899999999995"/>
    <n v="5.8498387839705193E-2"/>
    <x v="1"/>
    <n v="38537.46"/>
    <n v="1"/>
    <n v="0"/>
  </r>
  <r>
    <s v="PO-00590"/>
    <x v="3"/>
    <x v="394"/>
    <d v="2022-06-07T00:00:00"/>
    <x v="2"/>
    <x v="2"/>
    <n v="1131"/>
    <n v="97.43"/>
    <n v="91.28"/>
    <n v="103"/>
    <x v="0"/>
    <n v="103237.68000000001"/>
    <n v="7"/>
    <n v="9.1069849690539342E-2"/>
    <n v="6955.650000000006"/>
    <n v="6.7375109553023713E-2"/>
    <x v="0"/>
    <n v="110193.33"/>
    <n v="1"/>
    <n v="0"/>
  </r>
  <r>
    <s v="PO-00591"/>
    <x v="4"/>
    <x v="2"/>
    <d v="2022-02-03T00:00:00"/>
    <x v="3"/>
    <x v="0"/>
    <n v="1419"/>
    <n v="50.14"/>
    <n v="43.46"/>
    <n v="0"/>
    <x v="0"/>
    <n v="61669.74"/>
    <n v="8"/>
    <n v="0"/>
    <n v="9478.92"/>
    <n v="0.15370455591348367"/>
    <x v="0"/>
    <n v="71148.66"/>
    <n v="1"/>
    <n v="0"/>
  </r>
  <r>
    <s v="PO-00592"/>
    <x v="1"/>
    <x v="395"/>
    <d v="2022-02-18T00:00:00"/>
    <x v="3"/>
    <x v="3"/>
    <n v="790"/>
    <n v="26.8"/>
    <n v="25.62"/>
    <n v="115"/>
    <x v="0"/>
    <n v="20239.8"/>
    <n v="1"/>
    <n v="0.14556962025316456"/>
    <n v="932.19999999999982"/>
    <n v="4.6057767369242775E-2"/>
    <x v="0"/>
    <n v="21172"/>
    <n v="1"/>
    <n v="0"/>
  </r>
  <r>
    <s v="PO-00593"/>
    <x v="2"/>
    <x v="4"/>
    <d v="2022-09-27T00:00:00"/>
    <x v="1"/>
    <x v="3"/>
    <n v="1547"/>
    <n v="61.12"/>
    <n v="53.43"/>
    <n v="77"/>
    <x v="0"/>
    <n v="82656.210000000006"/>
    <n v="19"/>
    <n v="4.9773755656108594E-2"/>
    <n v="11896.429999999997"/>
    <n v="0.14392663297772781"/>
    <x v="1"/>
    <n v="94552.639999999999"/>
    <n v="1"/>
    <n v="0"/>
  </r>
  <r>
    <s v="PO-00594"/>
    <x v="1"/>
    <x v="165"/>
    <d v="2023-05-20T00:00:00"/>
    <x v="0"/>
    <x v="0"/>
    <n v="166"/>
    <n v="95.65"/>
    <n v="94.48"/>
    <n v="23"/>
    <x v="0"/>
    <n v="15683.68"/>
    <n v="18"/>
    <n v="0.13855421686746988"/>
    <n v="194.22000000000028"/>
    <n v="1.2383573243014413E-2"/>
    <x v="1"/>
    <n v="15877.900000000001"/>
    <n v="1"/>
    <n v="0"/>
  </r>
  <r>
    <s v="PO-00595"/>
    <x v="0"/>
    <x v="396"/>
    <d v="2023-09-21T00:00:00"/>
    <x v="4"/>
    <x v="1"/>
    <n v="1903"/>
    <n v="83.49"/>
    <n v="82.33"/>
    <n v="43"/>
    <x v="0"/>
    <n v="156673.99"/>
    <n v="3"/>
    <n v="2.2595901208617972E-2"/>
    <n v="2207.4799999999937"/>
    <n v="1.4089639256650027E-2"/>
    <x v="0"/>
    <n v="158881.47"/>
    <n v="1"/>
    <n v="0"/>
  </r>
  <r>
    <s v="PO-00596"/>
    <x v="1"/>
    <x v="277"/>
    <d v="2022-03-29T00:00:00"/>
    <x v="0"/>
    <x v="2"/>
    <n v="840"/>
    <n v="83.42"/>
    <n v="80.349999999999994"/>
    <n v="153"/>
    <x v="0"/>
    <n v="67494"/>
    <n v="13"/>
    <n v="0.18214285714285713"/>
    <n v="2578.8000000000061"/>
    <n v="3.8207840696950927E-2"/>
    <x v="0"/>
    <n v="70072.800000000003"/>
    <n v="1"/>
    <n v="0"/>
  </r>
  <r>
    <s v="PO-00597"/>
    <x v="1"/>
    <x v="397"/>
    <m/>
    <x v="1"/>
    <x v="1"/>
    <n v="1200"/>
    <n v="74.489999999999995"/>
    <n v="64.63"/>
    <n v="161"/>
    <x v="0"/>
    <n v="77556"/>
    <s v=""/>
    <n v="0.13416666666666666"/>
    <n v="11832"/>
    <n v="0.15256073031100109"/>
    <x v="1"/>
    <n v="89388"/>
    <n v="1"/>
    <n v="0"/>
  </r>
  <r>
    <s v="PO-00598"/>
    <x v="2"/>
    <x v="398"/>
    <d v="2023-03-18T00:00:00"/>
    <x v="3"/>
    <x v="1"/>
    <n v="1466"/>
    <n v="77.37"/>
    <n v="70.349999999999994"/>
    <n v="72"/>
    <x v="0"/>
    <n v="103133.09999999999"/>
    <n v="17"/>
    <n v="4.9113233287858118E-2"/>
    <n v="10291.320000000014"/>
    <n v="9.9786780383795459E-2"/>
    <x v="1"/>
    <n v="113424.42000000001"/>
    <n v="1"/>
    <n v="0"/>
  </r>
  <r>
    <s v="PO-00599"/>
    <x v="0"/>
    <x v="399"/>
    <d v="2023-10-21T00:00:00"/>
    <x v="0"/>
    <x v="1"/>
    <n v="1981"/>
    <n v="95.5"/>
    <n v="94.39"/>
    <n v="49"/>
    <x v="0"/>
    <n v="186986.59"/>
    <n v="14"/>
    <n v="2.4734982332155476E-2"/>
    <n v="2198.9099999999989"/>
    <n v="1.1759720309354798E-2"/>
    <x v="0"/>
    <n v="189185.5"/>
    <n v="1"/>
    <n v="0"/>
  </r>
  <r>
    <s v="PO-00600"/>
    <x v="2"/>
    <x v="400"/>
    <d v="2023-08-16T00:00:00"/>
    <x v="2"/>
    <x v="1"/>
    <n v="1062"/>
    <n v="35.549999999999997"/>
    <n v="32.380000000000003"/>
    <n v="0"/>
    <x v="0"/>
    <n v="34387.560000000005"/>
    <n v="3"/>
    <n v="0"/>
    <n v="3366.5399999999941"/>
    <n v="9.7899938233477271E-2"/>
    <x v="0"/>
    <n v="37754.1"/>
    <n v="1"/>
    <n v="0"/>
  </r>
  <r>
    <s v="PO-00601"/>
    <x v="0"/>
    <x v="401"/>
    <d v="2022-07-30T00:00:00"/>
    <x v="1"/>
    <x v="1"/>
    <n v="1714"/>
    <n v="55.67"/>
    <n v="55.09"/>
    <n v="42"/>
    <x v="0"/>
    <n v="94424.260000000009"/>
    <n v="11"/>
    <n v="2.4504084014002333E-2"/>
    <n v="994.11999999999705"/>
    <n v="1.0528226538391691E-2"/>
    <x v="0"/>
    <n v="95418.38"/>
    <n v="1"/>
    <n v="0"/>
  </r>
  <r>
    <s v="PO-00602"/>
    <x v="0"/>
    <x v="241"/>
    <d v="2023-12-30T00:00:00"/>
    <x v="0"/>
    <x v="1"/>
    <n v="1131"/>
    <n v="33.35"/>
    <n v="31.28"/>
    <n v="23"/>
    <x v="0"/>
    <n v="35377.68"/>
    <n v="15"/>
    <n v="2.0335985853227233E-2"/>
    <n v="2341.1700000000005"/>
    <n v="6.6176470588235309E-2"/>
    <x v="1"/>
    <n v="37718.85"/>
    <n v="1"/>
    <n v="0"/>
  </r>
  <r>
    <s v="PO-00603"/>
    <x v="0"/>
    <x v="402"/>
    <d v="2023-02-15T00:00:00"/>
    <x v="0"/>
    <x v="1"/>
    <n v="683"/>
    <n v="104.82"/>
    <n v="101.34"/>
    <n v="0"/>
    <x v="0"/>
    <n v="69215.22"/>
    <n v="17"/>
    <n v="0"/>
    <n v="2376.8399999999929"/>
    <n v="3.4339846062758923E-2"/>
    <x v="1"/>
    <n v="71592.06"/>
    <n v="1"/>
    <n v="0"/>
  </r>
  <r>
    <s v="PO-00604"/>
    <x v="2"/>
    <x v="403"/>
    <d v="2023-06-09T00:00:00"/>
    <x v="2"/>
    <x v="2"/>
    <n v="562"/>
    <n v="102.56"/>
    <n v="90.88"/>
    <n v="38"/>
    <x v="0"/>
    <n v="51074.559999999998"/>
    <n v="18"/>
    <n v="6.7615658362989328E-2"/>
    <n v="6564.1600000000035"/>
    <n v="0.12852112676056346"/>
    <x v="1"/>
    <n v="57638.720000000001"/>
    <n v="1"/>
    <n v="0"/>
  </r>
  <r>
    <s v="PO-00605"/>
    <x v="0"/>
    <x v="351"/>
    <d v="2023-02-20T00:00:00"/>
    <x v="4"/>
    <x v="1"/>
    <n v="1824"/>
    <n v="14.43"/>
    <n v="14.11"/>
    <n v="36"/>
    <x v="0"/>
    <n v="25736.639999999999"/>
    <n v="6"/>
    <n v="1.9736842105263157E-2"/>
    <n v="583.68000000000052"/>
    <n v="2.2678951098511715E-2"/>
    <x v="0"/>
    <n v="26320.32"/>
    <n v="1"/>
    <n v="0"/>
  </r>
  <r>
    <s v="PO-00606"/>
    <x v="3"/>
    <x v="404"/>
    <d v="2022-09-12T00:00:00"/>
    <x v="4"/>
    <x v="2"/>
    <n v="851"/>
    <n v="76.44"/>
    <n v="74.760000000000005"/>
    <n v="91"/>
    <x v="0"/>
    <n v="63620.76"/>
    <n v="5"/>
    <n v="0.10693301997649823"/>
    <n v="1429.6799999999937"/>
    <n v="2.2471910112359449E-2"/>
    <x v="0"/>
    <n v="65050.439999999995"/>
    <n v="1"/>
    <n v="0"/>
  </r>
  <r>
    <s v="PO-00607"/>
    <x v="3"/>
    <x v="323"/>
    <d v="2022-06-03T00:00:00"/>
    <x v="0"/>
    <x v="1"/>
    <n v="1169"/>
    <n v="95.6"/>
    <n v="82.16"/>
    <n v="103"/>
    <x v="0"/>
    <n v="96045.04"/>
    <n v="2"/>
    <n v="8.8109495295124032E-2"/>
    <n v="15711.359999999997"/>
    <n v="0.1635832521908471"/>
    <x v="0"/>
    <n v="111756.4"/>
    <n v="1"/>
    <n v="0"/>
  </r>
  <r>
    <s v="PO-00608"/>
    <x v="4"/>
    <x v="100"/>
    <d v="2023-11-20T00:00:00"/>
    <x v="1"/>
    <x v="1"/>
    <n v="1711"/>
    <n v="29.14"/>
    <n v="26.35"/>
    <n v="48"/>
    <x v="0"/>
    <n v="45084.850000000006"/>
    <n v="17"/>
    <n v="2.8053769725306838E-2"/>
    <n v="4773.6899999999987"/>
    <n v="0.10588235294117643"/>
    <x v="1"/>
    <n v="49858.54"/>
    <n v="1"/>
    <n v="0"/>
  </r>
  <r>
    <s v="PO-00609"/>
    <x v="3"/>
    <x v="85"/>
    <d v="2023-12-12T00:00:00"/>
    <x v="2"/>
    <x v="3"/>
    <n v="1191"/>
    <n v="68.14"/>
    <n v="61.71"/>
    <n v="112"/>
    <x v="0"/>
    <n v="73496.61"/>
    <n v="6"/>
    <n v="9.4038623005877411E-2"/>
    <n v="7658.13"/>
    <n v="0.10419705072111489"/>
    <x v="0"/>
    <n v="81154.740000000005"/>
    <n v="1"/>
    <n v="0"/>
  </r>
  <r>
    <s v="PO-00610"/>
    <x v="4"/>
    <x v="405"/>
    <d v="2022-01-14T00:00:00"/>
    <x v="4"/>
    <x v="1"/>
    <n v="609"/>
    <n v="92.39"/>
    <n v="82.75"/>
    <n v="29"/>
    <x v="0"/>
    <n v="50394.75"/>
    <n v="8"/>
    <n v="4.7619047619047616E-2"/>
    <n v="5870.76"/>
    <n v="0.11649546827794563"/>
    <x v="0"/>
    <n v="56265.51"/>
    <n v="1"/>
    <n v="0"/>
  </r>
  <r>
    <s v="PO-00611"/>
    <x v="3"/>
    <x v="299"/>
    <d v="2022-05-07T00:00:00"/>
    <x v="0"/>
    <x v="1"/>
    <n v="1674"/>
    <n v="13.25"/>
    <n v="11.77"/>
    <n v="181"/>
    <x v="0"/>
    <n v="19702.98"/>
    <n v="17"/>
    <n v="0.10812425328554361"/>
    <n v="2477.5200000000009"/>
    <n v="0.12574341546304169"/>
    <x v="1"/>
    <n v="22180.5"/>
    <n v="1"/>
    <n v="0"/>
  </r>
  <r>
    <s v="PO-00612"/>
    <x v="2"/>
    <x v="406"/>
    <d v="2023-03-15T00:00:00"/>
    <x v="1"/>
    <x v="1"/>
    <n v="537"/>
    <n v="77.86"/>
    <n v="71.180000000000007"/>
    <n v="20"/>
    <x v="0"/>
    <n v="38223.660000000003"/>
    <n v="3"/>
    <n v="3.7243947858473E-2"/>
    <n v="3587.1599999999962"/>
    <n v="9.3846586119696443E-2"/>
    <x v="0"/>
    <n v="41810.82"/>
    <n v="1"/>
    <n v="0"/>
  </r>
  <r>
    <s v="PO-00613"/>
    <x v="4"/>
    <x v="87"/>
    <d v="2022-08-31T00:00:00"/>
    <x v="4"/>
    <x v="1"/>
    <n v="1310"/>
    <n v="38.049999999999997"/>
    <n v="37"/>
    <n v="45"/>
    <x v="0"/>
    <n v="48470"/>
    <n v="18"/>
    <n v="3.4351145038167941E-2"/>
    <n v="1375.4999999999964"/>
    <n v="2.8378378378378304E-2"/>
    <x v="1"/>
    <n v="49845.499999999993"/>
    <n v="1"/>
    <n v="0"/>
  </r>
  <r>
    <s v="PO-00614"/>
    <x v="1"/>
    <x v="407"/>
    <d v="2022-07-10T00:00:00"/>
    <x v="3"/>
    <x v="1"/>
    <n v="1958"/>
    <n v="95.53"/>
    <n v="91.72"/>
    <n v="308"/>
    <x v="0"/>
    <n v="179587.76"/>
    <n v="10"/>
    <n v="0.15730337078651685"/>
    <n v="7459.9800000000041"/>
    <n v="4.1539467945922393E-2"/>
    <x v="0"/>
    <n v="187047.74"/>
    <n v="1"/>
    <n v="0"/>
  </r>
  <r>
    <s v="PO-00615"/>
    <x v="1"/>
    <x v="408"/>
    <d v="2023-12-17T00:00:00"/>
    <x v="0"/>
    <x v="1"/>
    <n v="946"/>
    <n v="108.6"/>
    <n v="101.78"/>
    <n v="146"/>
    <x v="0"/>
    <n v="96283.88"/>
    <n v="3"/>
    <n v="0.15433403805496829"/>
    <n v="6451.7199999999939"/>
    <n v="6.7007270583611639E-2"/>
    <x v="0"/>
    <n v="102735.59999999999"/>
    <n v="1"/>
    <n v="0"/>
  </r>
  <r>
    <s v="PO-00616"/>
    <x v="3"/>
    <x v="409"/>
    <d v="2023-06-21T00:00:00"/>
    <x v="2"/>
    <x v="2"/>
    <n v="1345"/>
    <n v="103.06"/>
    <n v="95.14"/>
    <n v="0"/>
    <x v="0"/>
    <n v="127963.3"/>
    <n v="6"/>
    <n v="0"/>
    <n v="10652.400000000001"/>
    <n v="8.3245743115408874E-2"/>
    <x v="0"/>
    <n v="138615.70000000001"/>
    <n v="1"/>
    <n v="0"/>
  </r>
  <r>
    <s v="PO-00617"/>
    <x v="1"/>
    <x v="410"/>
    <d v="2023-05-10T00:00:00"/>
    <x v="1"/>
    <x v="1"/>
    <n v="1262"/>
    <n v="56.63"/>
    <n v="51.46"/>
    <n v="0"/>
    <x v="1"/>
    <n v="64942.520000000004"/>
    <n v="19"/>
    <n v="0"/>
    <n v="6524.5400000000018"/>
    <n v="0.1004663816556549"/>
    <x v="1"/>
    <n v="71467.06"/>
    <n v="0"/>
    <n v="1"/>
  </r>
  <r>
    <s v="PO-00618"/>
    <x v="3"/>
    <x v="228"/>
    <d v="2022-03-13T00:00:00"/>
    <x v="0"/>
    <x v="3"/>
    <n v="753"/>
    <n v="88.02"/>
    <n v="79.92"/>
    <n v="75"/>
    <x v="0"/>
    <n v="60179.76"/>
    <n v="20"/>
    <n v="9.9601593625498003E-2"/>
    <n v="6099.2999999999956"/>
    <n v="0.10135135135135127"/>
    <x v="1"/>
    <n v="66279.06"/>
    <n v="1"/>
    <n v="0"/>
  </r>
  <r>
    <s v="PO-00619"/>
    <x v="3"/>
    <x v="86"/>
    <d v="2023-08-14T00:00:00"/>
    <x v="4"/>
    <x v="1"/>
    <n v="1520"/>
    <n v="93.75"/>
    <n v="81.63"/>
    <n v="149"/>
    <x v="0"/>
    <n v="124077.59999999999"/>
    <n v="20"/>
    <n v="9.8026315789473684E-2"/>
    <n v="18422.400000000009"/>
    <n v="0.14847482543182661"/>
    <x v="1"/>
    <n v="142500"/>
    <n v="1"/>
    <n v="0"/>
  </r>
  <r>
    <s v="PO-00620"/>
    <x v="1"/>
    <x v="224"/>
    <d v="2022-10-02T00:00:00"/>
    <x v="0"/>
    <x v="1"/>
    <n v="630"/>
    <n v="40.270000000000003"/>
    <n v="37.54"/>
    <n v="76"/>
    <x v="0"/>
    <n v="23650.2"/>
    <n v="19"/>
    <n v="0.12063492063492064"/>
    <n v="1719.9000000000026"/>
    <n v="7.2722429408630898E-2"/>
    <x v="1"/>
    <n v="25370.100000000002"/>
    <n v="1"/>
    <n v="0"/>
  </r>
  <r>
    <s v="PO-00621"/>
    <x v="1"/>
    <x v="411"/>
    <d v="2022-05-06T00:00:00"/>
    <x v="0"/>
    <x v="1"/>
    <n v="839"/>
    <n v="86.29"/>
    <n v="82.51"/>
    <n v="110"/>
    <x v="0"/>
    <n v="69225.89"/>
    <n v="1"/>
    <n v="0.13110846245530394"/>
    <n v="3171.420000000001"/>
    <n v="4.5812628772270041E-2"/>
    <x v="0"/>
    <n v="72397.310000000012"/>
    <n v="1"/>
    <n v="0"/>
  </r>
  <r>
    <s v="PO-00622"/>
    <x v="0"/>
    <x v="412"/>
    <d v="2023-05-02T00:00:00"/>
    <x v="4"/>
    <x v="1"/>
    <n v="910"/>
    <n v="14.33"/>
    <n v="14.07"/>
    <n v="27"/>
    <x v="0"/>
    <n v="12803.7"/>
    <n v="19"/>
    <n v="2.9670329670329669E-2"/>
    <n v="236.5999999999998"/>
    <n v="1.8479033404406521E-2"/>
    <x v="1"/>
    <n v="13040.3"/>
    <n v="1"/>
    <n v="0"/>
  </r>
  <r>
    <s v="PO-00623"/>
    <x v="4"/>
    <x v="413"/>
    <d v="2022-05-24T00:00:00"/>
    <x v="3"/>
    <x v="1"/>
    <n v="296"/>
    <n v="64.94"/>
    <n v="63.61"/>
    <n v="0"/>
    <x v="0"/>
    <n v="18828.560000000001"/>
    <n v="7"/>
    <n v="0"/>
    <n v="393.6799999999995"/>
    <n v="2.0908662160037703E-2"/>
    <x v="0"/>
    <n v="19222.239999999998"/>
    <n v="1"/>
    <n v="0"/>
  </r>
  <r>
    <s v="PO-00624"/>
    <x v="3"/>
    <x v="410"/>
    <d v="2023-05-05T00:00:00"/>
    <x v="1"/>
    <x v="1"/>
    <n v="1149"/>
    <n v="33"/>
    <n v="30.65"/>
    <n v="141"/>
    <x v="0"/>
    <n v="35216.85"/>
    <n v="14"/>
    <n v="0.12271540469973891"/>
    <n v="2700.1500000000015"/>
    <n v="7.6672104404567745E-2"/>
    <x v="0"/>
    <n v="37917"/>
    <n v="1"/>
    <n v="0"/>
  </r>
  <r>
    <s v="PO-00625"/>
    <x v="1"/>
    <x v="293"/>
    <d v="2023-11-16T00:00:00"/>
    <x v="4"/>
    <x v="1"/>
    <n v="203"/>
    <n v="23.14"/>
    <n v="20"/>
    <n v="0"/>
    <x v="1"/>
    <n v="4060"/>
    <n v="1"/>
    <n v="0"/>
    <n v="637.42000000000007"/>
    <n v="0.15700000000000003"/>
    <x v="0"/>
    <n v="4697.42"/>
    <n v="0"/>
    <n v="1"/>
  </r>
  <r>
    <s v="PO-00626"/>
    <x v="4"/>
    <x v="147"/>
    <d v="2023-07-16T00:00:00"/>
    <x v="0"/>
    <x v="1"/>
    <n v="1729"/>
    <n v="18.36"/>
    <n v="16.34"/>
    <n v="47"/>
    <x v="0"/>
    <n v="28251.86"/>
    <n v="18"/>
    <n v="2.7183342972816656E-2"/>
    <n v="3492.5799999999995"/>
    <n v="0.12362301101591185"/>
    <x v="1"/>
    <n v="31744.44"/>
    <n v="1"/>
    <n v="0"/>
  </r>
  <r>
    <s v="PO-00627"/>
    <x v="1"/>
    <x v="414"/>
    <d v="2023-08-06T00:00:00"/>
    <x v="0"/>
    <x v="1"/>
    <n v="1508"/>
    <n v="79.209999999999994"/>
    <n v="73.27"/>
    <n v="226"/>
    <x v="0"/>
    <n v="110491.15999999999"/>
    <n v="10"/>
    <n v="0.14986737400530503"/>
    <n v="8957.5199999999968"/>
    <n v="8.1070015012965721E-2"/>
    <x v="0"/>
    <n v="119448.68"/>
    <n v="1"/>
    <n v="0"/>
  </r>
  <r>
    <s v="PO-00628"/>
    <x v="1"/>
    <x v="256"/>
    <d v="2023-09-15T00:00:00"/>
    <x v="2"/>
    <x v="2"/>
    <n v="1046"/>
    <n v="44.65"/>
    <n v="40.1"/>
    <n v="165"/>
    <x v="1"/>
    <n v="41944.6"/>
    <n v="13"/>
    <n v="0.15774378585086041"/>
    <n v="4759.2999999999975"/>
    <n v="0.11346633416458847"/>
    <x v="0"/>
    <n v="46703.9"/>
    <n v="0"/>
    <n v="1"/>
  </r>
  <r>
    <s v="PO-00629"/>
    <x v="0"/>
    <x v="415"/>
    <d v="2022-11-24T00:00:00"/>
    <x v="0"/>
    <x v="1"/>
    <n v="1159"/>
    <n v="78.989999999999995"/>
    <n v="71.69"/>
    <n v="14"/>
    <x v="0"/>
    <n v="83088.709999999992"/>
    <n v="3"/>
    <n v="1.2079378774805867E-2"/>
    <n v="8460.6999999999971"/>
    <n v="0.10182731203794111"/>
    <x v="0"/>
    <n v="91549.409999999989"/>
    <n v="1"/>
    <n v="0"/>
  </r>
  <r>
    <s v="PO-00630"/>
    <x v="3"/>
    <x v="226"/>
    <d v="2023-04-05T00:00:00"/>
    <x v="4"/>
    <x v="1"/>
    <n v="746"/>
    <n v="16.989999999999998"/>
    <n v="15.35"/>
    <n v="69"/>
    <x v="1"/>
    <n v="11451.1"/>
    <n v="6"/>
    <n v="9.2493297587131373E-2"/>
    <n v="1223.4399999999991"/>
    <n v="0.10684039087947875"/>
    <x v="0"/>
    <n v="12674.539999999999"/>
    <n v="0"/>
    <n v="1"/>
  </r>
  <r>
    <s v="PO-00631"/>
    <x v="3"/>
    <x v="416"/>
    <d v="2023-10-06T00:00:00"/>
    <x v="2"/>
    <x v="1"/>
    <n v="1358"/>
    <n v="42.21"/>
    <n v="38.75"/>
    <n v="128"/>
    <x v="0"/>
    <n v="52622.5"/>
    <n v="16"/>
    <n v="9.4256259204712811E-2"/>
    <n v="4698.6800000000012"/>
    <n v="8.929032258064519E-2"/>
    <x v="1"/>
    <n v="57321.18"/>
    <n v="1"/>
    <n v="0"/>
  </r>
  <r>
    <s v="PO-00632"/>
    <x v="2"/>
    <x v="417"/>
    <d v="2023-06-12T00:00:00"/>
    <x v="0"/>
    <x v="1"/>
    <n v="1293"/>
    <n v="63.53"/>
    <n v="59.42"/>
    <n v="79"/>
    <x v="0"/>
    <n v="76830.06"/>
    <n v="11"/>
    <n v="6.1098221191028618E-2"/>
    <n v="5314.23"/>
    <n v="6.9168630090878494E-2"/>
    <x v="0"/>
    <n v="82144.290000000008"/>
    <n v="1"/>
    <n v="0"/>
  </r>
  <r>
    <s v="PO-00633"/>
    <x v="0"/>
    <x v="418"/>
    <d v="2023-03-24T00:00:00"/>
    <x v="4"/>
    <x v="1"/>
    <n v="1142"/>
    <n v="86.85"/>
    <n v="74.28"/>
    <n v="30"/>
    <x v="0"/>
    <n v="84827.76"/>
    <n v="11"/>
    <n v="2.6269702276707531E-2"/>
    <n v="14354.939999999991"/>
    <n v="0.16922455573505646"/>
    <x v="0"/>
    <n v="99182.7"/>
    <n v="1"/>
    <n v="0"/>
  </r>
  <r>
    <s v="PO-00634"/>
    <x v="4"/>
    <x v="380"/>
    <d v="2023-07-27T00:00:00"/>
    <x v="1"/>
    <x v="1"/>
    <n v="1120"/>
    <n v="42.17"/>
    <n v="37.47"/>
    <n v="33"/>
    <x v="0"/>
    <n v="41966.400000000001"/>
    <n v="11"/>
    <n v="2.9464285714285714E-2"/>
    <n v="5264.0000000000036"/>
    <n v="0.12543368027755547"/>
    <x v="0"/>
    <n v="47230.400000000001"/>
    <n v="1"/>
    <n v="0"/>
  </r>
  <r>
    <s v="PO-00635"/>
    <x v="0"/>
    <x v="419"/>
    <d v="2023-04-14T00:00:00"/>
    <x v="1"/>
    <x v="1"/>
    <n v="1058"/>
    <n v="71.3"/>
    <n v="62.04"/>
    <n v="0"/>
    <x v="0"/>
    <n v="65638.319999999992"/>
    <n v="12"/>
    <n v="0"/>
    <n v="9797.0799999999981"/>
    <n v="0.14925854287556414"/>
    <x v="0"/>
    <n v="75435.399999999994"/>
    <n v="1"/>
    <n v="0"/>
  </r>
  <r>
    <s v="PO-00636"/>
    <x v="4"/>
    <x v="420"/>
    <m/>
    <x v="0"/>
    <x v="1"/>
    <n v="143"/>
    <n v="91.98"/>
    <n v="86.02"/>
    <n v="5"/>
    <x v="0"/>
    <n v="12300.859999999999"/>
    <s v=""/>
    <n v="3.4965034965034968E-2"/>
    <n v="852.28000000000111"/>
    <n v="6.9286212508718997E-2"/>
    <x v="1"/>
    <n v="13153.140000000001"/>
    <n v="1"/>
    <n v="0"/>
  </r>
  <r>
    <s v="PO-00637"/>
    <x v="3"/>
    <x v="165"/>
    <d v="2023-05-14T00:00:00"/>
    <x v="1"/>
    <x v="1"/>
    <n v="1823"/>
    <n v="70.66"/>
    <n v="66.92"/>
    <n v="202"/>
    <x v="0"/>
    <n v="121995.16"/>
    <n v="12"/>
    <n v="0.11080636313768513"/>
    <n v="6818.0199999999904"/>
    <n v="5.5887627017334053E-2"/>
    <x v="0"/>
    <n v="128813.18"/>
    <n v="1"/>
    <n v="0"/>
  </r>
  <r>
    <s v="PO-00638"/>
    <x v="2"/>
    <x v="421"/>
    <d v="2023-04-10T00:00:00"/>
    <x v="0"/>
    <x v="1"/>
    <n v="1007"/>
    <n v="33.29"/>
    <n v="28.48"/>
    <n v="49"/>
    <x v="0"/>
    <n v="28679.360000000001"/>
    <n v="4"/>
    <n v="4.8659384309831182E-2"/>
    <n v="4843.6699999999992"/>
    <n v="0.16889044943820222"/>
    <x v="0"/>
    <n v="33523.03"/>
    <n v="1"/>
    <n v="0"/>
  </r>
  <r>
    <s v="PO-00639"/>
    <x v="2"/>
    <x v="422"/>
    <d v="2022-10-08T00:00:00"/>
    <x v="2"/>
    <x v="1"/>
    <n v="1061"/>
    <n v="12.68"/>
    <n v="12.36"/>
    <n v="56"/>
    <x v="1"/>
    <n v="13113.96"/>
    <n v="15"/>
    <n v="5.2780395852968898E-2"/>
    <n v="339.52000000000032"/>
    <n v="2.5889967637540479E-2"/>
    <x v="1"/>
    <n v="13453.48"/>
    <n v="0"/>
    <n v="1"/>
  </r>
  <r>
    <s v="PO-00640"/>
    <x v="3"/>
    <x v="180"/>
    <d v="2022-09-26T00:00:00"/>
    <x v="1"/>
    <x v="3"/>
    <n v="502"/>
    <n v="91.84"/>
    <n v="82.33"/>
    <n v="0"/>
    <x v="0"/>
    <n v="41329.659999999996"/>
    <n v="15"/>
    <n v="0"/>
    <n v="4774.0200000000023"/>
    <n v="0.11551074942305363"/>
    <x v="1"/>
    <n v="46103.68"/>
    <n v="1"/>
    <n v="0"/>
  </r>
  <r>
    <s v="PO-00641"/>
    <x v="1"/>
    <x v="313"/>
    <d v="2023-10-19T00:00:00"/>
    <x v="2"/>
    <x v="1"/>
    <n v="1277"/>
    <n v="13.17"/>
    <n v="11.63"/>
    <n v="199"/>
    <x v="1"/>
    <n v="14851.51"/>
    <n v="4"/>
    <n v="0.1558339859044636"/>
    <n v="1966.579999999999"/>
    <n v="0.13241616509028367"/>
    <x v="0"/>
    <n v="16818.09"/>
    <n v="0"/>
    <n v="1"/>
  </r>
  <r>
    <s v="PO-00642"/>
    <x v="0"/>
    <x v="309"/>
    <d v="2022-10-24T00:00:00"/>
    <x v="2"/>
    <x v="1"/>
    <n v="961"/>
    <n v="92.72"/>
    <n v="88.49"/>
    <n v="22"/>
    <x v="0"/>
    <n v="85038.89"/>
    <n v="13"/>
    <n v="2.2892819979188347E-2"/>
    <n v="4065.0300000000038"/>
    <n v="4.780201152672623E-2"/>
    <x v="0"/>
    <n v="89103.92"/>
    <n v="1"/>
    <n v="0"/>
  </r>
  <r>
    <s v="PO-00643"/>
    <x v="2"/>
    <x v="423"/>
    <d v="2023-07-02T00:00:00"/>
    <x v="2"/>
    <x v="1"/>
    <n v="267"/>
    <n v="62.5"/>
    <n v="61.18"/>
    <n v="17"/>
    <x v="0"/>
    <n v="16335.06"/>
    <n v="14"/>
    <n v="6.3670411985018729E-2"/>
    <n v="352.44000000000005"/>
    <n v="2.1575678326250413E-2"/>
    <x v="0"/>
    <n v="16687.5"/>
    <n v="1"/>
    <n v="0"/>
  </r>
  <r>
    <s v="PO-00644"/>
    <x v="1"/>
    <x v="424"/>
    <d v="2023-05-18T00:00:00"/>
    <x v="3"/>
    <x v="0"/>
    <n v="523"/>
    <n v="102.08"/>
    <n v="99.59"/>
    <n v="0"/>
    <x v="0"/>
    <n v="52085.57"/>
    <n v="6"/>
    <n v="0"/>
    <n v="1302.2699999999973"/>
    <n v="2.5002510292197959E-2"/>
    <x v="0"/>
    <n v="53387.839999999997"/>
    <n v="1"/>
    <n v="0"/>
  </r>
  <r>
    <s v="PO-00645"/>
    <x v="4"/>
    <x v="425"/>
    <d v="2023-10-23T00:00:00"/>
    <x v="4"/>
    <x v="3"/>
    <n v="481"/>
    <n v="90.49"/>
    <n v="77.17"/>
    <n v="0"/>
    <x v="0"/>
    <n v="37118.770000000004"/>
    <n v="19"/>
    <n v="0"/>
    <n v="6406.9199999999964"/>
    <n v="0.17260593494881418"/>
    <x v="1"/>
    <n v="43525.689999999995"/>
    <n v="1"/>
    <n v="0"/>
  </r>
  <r>
    <s v="PO-00646"/>
    <x v="2"/>
    <x v="272"/>
    <d v="2022-09-09T00:00:00"/>
    <x v="0"/>
    <x v="1"/>
    <n v="390"/>
    <n v="103.81"/>
    <n v="100.12"/>
    <n v="20"/>
    <x v="0"/>
    <n v="39046.800000000003"/>
    <n v="7"/>
    <n v="5.128205128205128E-2"/>
    <n v="1439.099999999999"/>
    <n v="3.6855773072313198E-2"/>
    <x v="0"/>
    <n v="40485.9"/>
    <n v="1"/>
    <n v="0"/>
  </r>
  <r>
    <s v="PO-00647"/>
    <x v="4"/>
    <x v="3"/>
    <d v="2022-10-25T00:00:00"/>
    <x v="2"/>
    <x v="1"/>
    <n v="600"/>
    <n v="43.43"/>
    <n v="38.76"/>
    <n v="22"/>
    <x v="0"/>
    <n v="23256"/>
    <n v="16"/>
    <n v="3.6666666666666667E-2"/>
    <n v="2802.0000000000009"/>
    <n v="0.12048503611971108"/>
    <x v="1"/>
    <n v="26058"/>
    <n v="1"/>
    <n v="0"/>
  </r>
  <r>
    <s v="PO-00648"/>
    <x v="1"/>
    <x v="426"/>
    <m/>
    <x v="0"/>
    <x v="1"/>
    <n v="1685"/>
    <n v="84.58"/>
    <n v="75.209999999999994"/>
    <n v="253"/>
    <x v="1"/>
    <n v="126728.84999999999"/>
    <s v=""/>
    <n v="0.15014836795252226"/>
    <n v="15788.450000000008"/>
    <n v="0.12458449674245453"/>
    <x v="1"/>
    <n v="142517.29999999999"/>
    <n v="0"/>
    <n v="1"/>
  </r>
  <r>
    <s v="PO-00649"/>
    <x v="4"/>
    <x v="427"/>
    <d v="2022-03-31T00:00:00"/>
    <x v="2"/>
    <x v="0"/>
    <n v="1362"/>
    <n v="46.64"/>
    <n v="42.85"/>
    <n v="33"/>
    <x v="0"/>
    <n v="58361.700000000004"/>
    <n v="10"/>
    <n v="2.4229074889867842E-2"/>
    <n v="5161.9799999999987"/>
    <n v="8.8448074679113156E-2"/>
    <x v="0"/>
    <n v="63523.68"/>
    <n v="1"/>
    <n v="0"/>
  </r>
  <r>
    <s v="PO-00650"/>
    <x v="1"/>
    <x v="173"/>
    <d v="2024-01-04T00:00:00"/>
    <x v="4"/>
    <x v="3"/>
    <n v="1327"/>
    <n v="59.57"/>
    <n v="56.44"/>
    <n v="169"/>
    <x v="0"/>
    <n v="74895.87999999999"/>
    <n v="3"/>
    <n v="0.12735493594574226"/>
    <n v="4153.5100000000029"/>
    <n v="5.5457122608079425E-2"/>
    <x v="0"/>
    <n v="79049.39"/>
    <n v="1"/>
    <n v="0"/>
  </r>
  <r>
    <s v="PO-00651"/>
    <x v="4"/>
    <x v="240"/>
    <m/>
    <x v="1"/>
    <x v="1"/>
    <n v="1807"/>
    <n v="69.47"/>
    <n v="60"/>
    <n v="50"/>
    <x v="0"/>
    <n v="108420"/>
    <s v=""/>
    <n v="2.7670171555063641E-2"/>
    <n v="17112.289999999997"/>
    <n v="0.1578333333333333"/>
    <x v="1"/>
    <n v="125532.29"/>
    <n v="1"/>
    <n v="0"/>
  </r>
  <r>
    <s v="PO-00652"/>
    <x v="0"/>
    <x v="258"/>
    <d v="2022-09-06T00:00:00"/>
    <x v="0"/>
    <x v="3"/>
    <n v="406"/>
    <n v="91.73"/>
    <n v="89.13"/>
    <n v="0"/>
    <x v="0"/>
    <n v="36186.78"/>
    <n v="8"/>
    <n v="0"/>
    <n v="1055.6000000000035"/>
    <n v="2.9170874004263533E-2"/>
    <x v="0"/>
    <n v="37242.380000000005"/>
    <n v="1"/>
    <n v="0"/>
  </r>
  <r>
    <s v="PO-00653"/>
    <x v="2"/>
    <x v="300"/>
    <d v="2022-10-18T00:00:00"/>
    <x v="3"/>
    <x v="2"/>
    <n v="72"/>
    <n v="103"/>
    <n v="89.49"/>
    <n v="1"/>
    <x v="1"/>
    <n v="6443.28"/>
    <n v="12"/>
    <n v="1.3888888888888888E-2"/>
    <n v="972.72000000000037"/>
    <n v="0.15096658844563646"/>
    <x v="0"/>
    <n v="7416"/>
    <n v="0"/>
    <n v="1"/>
  </r>
  <r>
    <s v="PO-00654"/>
    <x v="2"/>
    <x v="391"/>
    <d v="2022-12-20T00:00:00"/>
    <x v="0"/>
    <x v="1"/>
    <n v="1835"/>
    <n v="83.5"/>
    <n v="82.36"/>
    <n v="85"/>
    <x v="1"/>
    <n v="151130.6"/>
    <n v="10"/>
    <n v="4.632152588555858E-2"/>
    <n v="2091.900000000001"/>
    <n v="1.3841670713938811E-2"/>
    <x v="0"/>
    <n v="153222.5"/>
    <n v="0"/>
    <n v="1"/>
  </r>
  <r>
    <s v="PO-00655"/>
    <x v="1"/>
    <x v="428"/>
    <d v="2022-12-10T00:00:00"/>
    <x v="4"/>
    <x v="3"/>
    <n v="571"/>
    <n v="49.98"/>
    <n v="45.58"/>
    <n v="0"/>
    <x v="1"/>
    <n v="26026.18"/>
    <n v="16"/>
    <n v="0"/>
    <n v="2512.3999999999992"/>
    <n v="9.6533567354102651E-2"/>
    <x v="1"/>
    <n v="28538.579999999998"/>
    <n v="0"/>
    <n v="1"/>
  </r>
  <r>
    <s v="PO-00656"/>
    <x v="4"/>
    <x v="230"/>
    <d v="2023-07-09T00:00:00"/>
    <x v="2"/>
    <x v="1"/>
    <n v="1831"/>
    <n v="52.24"/>
    <n v="50.44"/>
    <n v="60"/>
    <x v="0"/>
    <n v="92355.64"/>
    <n v="1"/>
    <n v="3.2768978700163848E-2"/>
    <n v="3295.8000000000079"/>
    <n v="3.5685963521015156E-2"/>
    <x v="0"/>
    <n v="95651.44"/>
    <n v="1"/>
    <n v="0"/>
  </r>
  <r>
    <s v="PO-00657"/>
    <x v="3"/>
    <x v="254"/>
    <d v="2022-04-07T00:00:00"/>
    <x v="0"/>
    <x v="3"/>
    <n v="1910"/>
    <n v="77.150000000000006"/>
    <n v="68.489999999999995"/>
    <n v="170"/>
    <x v="0"/>
    <n v="130815.9"/>
    <n v="14"/>
    <n v="8.9005235602094238E-2"/>
    <n v="16540.60000000002"/>
    <n v="0.12644181632355103"/>
    <x v="0"/>
    <n v="147356.5"/>
    <n v="1"/>
    <n v="0"/>
  </r>
  <r>
    <s v="PO-00658"/>
    <x v="2"/>
    <x v="114"/>
    <d v="2022-05-31T00:00:00"/>
    <x v="4"/>
    <x v="2"/>
    <n v="1173"/>
    <n v="32.119999999999997"/>
    <n v="29.18"/>
    <n v="0"/>
    <x v="0"/>
    <n v="34228.14"/>
    <n v="9"/>
    <n v="0"/>
    <n v="3448.6199999999972"/>
    <n v="0.1007539410555174"/>
    <x v="0"/>
    <n v="37676.759999999995"/>
    <n v="1"/>
    <n v="0"/>
  </r>
  <r>
    <s v="PO-00659"/>
    <x v="4"/>
    <x v="429"/>
    <d v="2022-06-17T00:00:00"/>
    <x v="2"/>
    <x v="2"/>
    <n v="851"/>
    <n v="20.440000000000001"/>
    <n v="19.22"/>
    <n v="22"/>
    <x v="0"/>
    <n v="16356.22"/>
    <n v="13"/>
    <n v="2.5851938895417155E-2"/>
    <n v="1038.2200000000021"/>
    <n v="6.3475546305931455E-2"/>
    <x v="0"/>
    <n v="17394.440000000002"/>
    <n v="1"/>
    <n v="0"/>
  </r>
  <r>
    <s v="PO-00660"/>
    <x v="4"/>
    <x v="430"/>
    <d v="2022-09-07T00:00:00"/>
    <x v="1"/>
    <x v="0"/>
    <n v="1253"/>
    <n v="43.38"/>
    <n v="38.01"/>
    <n v="34"/>
    <x v="0"/>
    <n v="47626.53"/>
    <n v="13"/>
    <n v="2.7134876296887472E-2"/>
    <n v="6728.610000000006"/>
    <n v="0.14127861089187069"/>
    <x v="0"/>
    <n v="54355.140000000007"/>
    <n v="1"/>
    <n v="0"/>
  </r>
  <r>
    <s v="PO-00661"/>
    <x v="0"/>
    <x v="431"/>
    <d v="2023-02-15T00:00:00"/>
    <x v="4"/>
    <x v="1"/>
    <n v="1296"/>
    <n v="38"/>
    <n v="33.42"/>
    <n v="33"/>
    <x v="0"/>
    <n v="43312.32"/>
    <n v="18"/>
    <n v="2.5462962962962962E-2"/>
    <n v="5935.6799999999976"/>
    <n v="0.13704368641532011"/>
    <x v="1"/>
    <n v="49248"/>
    <n v="1"/>
    <n v="0"/>
  </r>
  <r>
    <s v="PO-00662"/>
    <x v="3"/>
    <x v="432"/>
    <d v="2023-12-30T00:00:00"/>
    <x v="3"/>
    <x v="1"/>
    <n v="1979"/>
    <n v="40.880000000000003"/>
    <n v="39.46"/>
    <n v="221"/>
    <x v="0"/>
    <n v="78091.34"/>
    <n v="18"/>
    <n v="0.11167256189994947"/>
    <n v="2810.1800000000035"/>
    <n v="3.5985808413583419E-2"/>
    <x v="1"/>
    <n v="80901.52"/>
    <n v="1"/>
    <n v="0"/>
  </r>
  <r>
    <s v="PO-00663"/>
    <x v="2"/>
    <x v="120"/>
    <d v="2022-06-19T00:00:00"/>
    <x v="0"/>
    <x v="1"/>
    <n v="811"/>
    <n v="31.8"/>
    <n v="30.33"/>
    <n v="58"/>
    <x v="0"/>
    <n v="24597.629999999997"/>
    <n v="13"/>
    <n v="7.1516646115906288E-2"/>
    <n v="1192.1700000000019"/>
    <n v="4.8466864490603445E-2"/>
    <x v="0"/>
    <n v="25789.8"/>
    <n v="1"/>
    <n v="0"/>
  </r>
  <r>
    <s v="PO-00664"/>
    <x v="0"/>
    <x v="433"/>
    <d v="2024-01-12T00:00:00"/>
    <x v="4"/>
    <x v="1"/>
    <n v="1732"/>
    <n v="15.37"/>
    <n v="14.7"/>
    <n v="38"/>
    <x v="0"/>
    <n v="25460.399999999998"/>
    <n v="18"/>
    <n v="2.1939953810623556E-2"/>
    <n v="1160.4399999999998"/>
    <n v="4.5578231292517001E-2"/>
    <x v="1"/>
    <n v="26620.84"/>
    <n v="1"/>
    <n v="0"/>
  </r>
  <r>
    <s v="PO-00665"/>
    <x v="3"/>
    <x v="198"/>
    <d v="2022-08-28T00:00:00"/>
    <x v="2"/>
    <x v="1"/>
    <n v="491"/>
    <n v="12.01"/>
    <n v="11.67"/>
    <n v="47"/>
    <x v="0"/>
    <n v="5729.97"/>
    <n v="20"/>
    <n v="9.5723014256619138E-2"/>
    <n v="166.93999999999994"/>
    <n v="2.913453299057411E-2"/>
    <x v="1"/>
    <n v="5896.91"/>
    <n v="1"/>
    <n v="0"/>
  </r>
  <r>
    <s v="PO-00666"/>
    <x v="2"/>
    <x v="124"/>
    <d v="2022-03-11T00:00:00"/>
    <x v="2"/>
    <x v="0"/>
    <n v="1681"/>
    <n v="99.88"/>
    <n v="96.38"/>
    <n v="90"/>
    <x v="0"/>
    <n v="162014.78"/>
    <n v="4"/>
    <n v="5.353955978584176E-2"/>
    <n v="5883.5"/>
    <n v="3.631458808881511E-2"/>
    <x v="0"/>
    <n v="167898.28"/>
    <n v="1"/>
    <n v="0"/>
  </r>
  <r>
    <s v="PO-00667"/>
    <x v="0"/>
    <x v="398"/>
    <d v="2023-03-05T00:00:00"/>
    <x v="3"/>
    <x v="2"/>
    <n v="818"/>
    <n v="51.89"/>
    <n v="47.85"/>
    <n v="12"/>
    <x v="0"/>
    <n v="39141.300000000003"/>
    <n v="4"/>
    <n v="1.4669926650366748E-2"/>
    <n v="3304.7199999999993"/>
    <n v="8.4430512016718889E-2"/>
    <x v="0"/>
    <n v="42446.020000000004"/>
    <n v="1"/>
    <n v="0"/>
  </r>
  <r>
    <s v="PO-00668"/>
    <x v="3"/>
    <x v="434"/>
    <d v="2023-03-05T00:00:00"/>
    <x v="0"/>
    <x v="1"/>
    <n v="1065"/>
    <n v="47.49"/>
    <n v="41.42"/>
    <n v="113"/>
    <x v="0"/>
    <n v="44112.3"/>
    <n v="11"/>
    <n v="0.10610328638497653"/>
    <n v="6464.55"/>
    <n v="0.14654756156446161"/>
    <x v="0"/>
    <n v="50576.85"/>
    <n v="1"/>
    <n v="0"/>
  </r>
  <r>
    <s v="PO-00669"/>
    <x v="2"/>
    <x v="193"/>
    <d v="2022-12-17T00:00:00"/>
    <x v="2"/>
    <x v="1"/>
    <n v="1398"/>
    <n v="75.08"/>
    <n v="67.09"/>
    <n v="57"/>
    <x v="0"/>
    <n v="93791.82"/>
    <n v="12"/>
    <n v="4.07725321888412E-2"/>
    <n v="11170.019999999993"/>
    <n v="0.11909375465792212"/>
    <x v="0"/>
    <n v="104961.84"/>
    <n v="1"/>
    <n v="0"/>
  </r>
  <r>
    <s v="PO-00670"/>
    <x v="3"/>
    <x v="248"/>
    <d v="2023-07-17T00:00:00"/>
    <x v="2"/>
    <x v="1"/>
    <n v="565"/>
    <n v="32.31"/>
    <n v="29.76"/>
    <n v="60"/>
    <x v="0"/>
    <n v="16814.400000000001"/>
    <n v="7"/>
    <n v="0.10619469026548672"/>
    <n v="1440.7500000000005"/>
    <n v="8.5685483870967763E-2"/>
    <x v="0"/>
    <n v="18255.150000000001"/>
    <n v="1"/>
    <n v="0"/>
  </r>
  <r>
    <s v="PO-00671"/>
    <x v="4"/>
    <x v="435"/>
    <d v="2023-05-06T00:00:00"/>
    <x v="2"/>
    <x v="3"/>
    <n v="1089"/>
    <n v="102.66"/>
    <n v="89.21"/>
    <n v="33"/>
    <x v="0"/>
    <n v="97149.689999999988"/>
    <n v="13"/>
    <n v="3.0303030303030304E-2"/>
    <n v="14647.050000000003"/>
    <n v="0.15076785113776486"/>
    <x v="0"/>
    <n v="111796.73999999999"/>
    <n v="1"/>
    <n v="0"/>
  </r>
  <r>
    <s v="PO-00672"/>
    <x v="1"/>
    <x v="436"/>
    <d v="2023-03-04T00:00:00"/>
    <x v="4"/>
    <x v="1"/>
    <n v="841"/>
    <n v="86.43"/>
    <n v="83.77"/>
    <n v="125"/>
    <x v="1"/>
    <n v="70450.569999999992"/>
    <n v="2"/>
    <n v="0.14863258026159334"/>
    <n v="2237.060000000009"/>
    <n v="3.1753611077951667E-2"/>
    <x v="0"/>
    <n v="72687.63"/>
    <n v="0"/>
    <n v="1"/>
  </r>
  <r>
    <s v="PO-00673"/>
    <x v="1"/>
    <x v="437"/>
    <d v="2022-03-16T00:00:00"/>
    <x v="4"/>
    <x v="1"/>
    <n v="385"/>
    <n v="18.23"/>
    <n v="17.739999999999998"/>
    <n v="0"/>
    <x v="0"/>
    <n v="6829.9"/>
    <n v="11"/>
    <n v="0"/>
    <n v="188.65000000000077"/>
    <n v="2.7621195039458965E-2"/>
    <x v="0"/>
    <n v="7018.55"/>
    <n v="1"/>
    <n v="0"/>
  </r>
  <r>
    <s v="PO-00674"/>
    <x v="4"/>
    <x v="438"/>
    <d v="2022-08-17T00:00:00"/>
    <x v="0"/>
    <x v="1"/>
    <n v="1832"/>
    <n v="49.01"/>
    <n v="41.86"/>
    <n v="52"/>
    <x v="0"/>
    <n v="76687.520000000004"/>
    <n v="17"/>
    <n v="2.8384279475982533E-2"/>
    <n v="13098.799999999997"/>
    <n v="0.17080745341614903"/>
    <x v="1"/>
    <n v="89786.319999999992"/>
    <n v="1"/>
    <n v="0"/>
  </r>
  <r>
    <s v="PO-00675"/>
    <x v="3"/>
    <x v="373"/>
    <d v="2023-03-27T00:00:00"/>
    <x v="3"/>
    <x v="1"/>
    <n v="307"/>
    <n v="95.36"/>
    <n v="83.63"/>
    <n v="29"/>
    <x v="0"/>
    <n v="25674.41"/>
    <n v="20"/>
    <n v="9.4462540716612378E-2"/>
    <n v="3601.110000000001"/>
    <n v="0.1402606720076528"/>
    <x v="1"/>
    <n v="29275.52"/>
    <n v="1"/>
    <n v="0"/>
  </r>
  <r>
    <s v="PO-00676"/>
    <x v="4"/>
    <x v="439"/>
    <d v="2023-02-08T00:00:00"/>
    <x v="0"/>
    <x v="1"/>
    <n v="546"/>
    <n v="101.2"/>
    <n v="97.82"/>
    <n v="21"/>
    <x v="0"/>
    <n v="53409.719999999994"/>
    <n v="5"/>
    <n v="3.8461538461538464E-2"/>
    <n v="1845.4800000000052"/>
    <n v="3.4553261091801367E-2"/>
    <x v="0"/>
    <n v="55255.200000000004"/>
    <n v="1"/>
    <n v="0"/>
  </r>
  <r>
    <s v="PO-00677"/>
    <x v="1"/>
    <x v="110"/>
    <d v="2023-09-11T00:00:00"/>
    <x v="3"/>
    <x v="1"/>
    <n v="945"/>
    <n v="57.01"/>
    <n v="55.14"/>
    <n v="147"/>
    <x v="1"/>
    <n v="52107.3"/>
    <n v="20"/>
    <n v="0.15555555555555556"/>
    <n v="1767.1499999999976"/>
    <n v="3.3913674283641594E-2"/>
    <x v="1"/>
    <n v="53874.45"/>
    <n v="0"/>
    <n v="1"/>
  </r>
  <r>
    <s v="PO-00678"/>
    <x v="1"/>
    <x v="408"/>
    <d v="2023-12-27T00:00:00"/>
    <x v="1"/>
    <x v="3"/>
    <n v="209"/>
    <n v="72.709999999999994"/>
    <n v="64.34"/>
    <n v="39"/>
    <x v="0"/>
    <n v="13447.060000000001"/>
    <n v="13"/>
    <n v="0.18660287081339713"/>
    <n v="1749.3299999999979"/>
    <n v="0.1300901460988497"/>
    <x v="0"/>
    <n v="15196.39"/>
    <n v="1"/>
    <n v="0"/>
  </r>
  <r>
    <s v="PO-00679"/>
    <x v="3"/>
    <x v="440"/>
    <m/>
    <x v="2"/>
    <x v="1"/>
    <n v="1548"/>
    <n v="25.03"/>
    <n v="22.87"/>
    <n v="0"/>
    <x v="0"/>
    <n v="35402.76"/>
    <s v=""/>
    <n v="0"/>
    <n v="3343.6800000000003"/>
    <n v="9.4446873633581119E-2"/>
    <x v="1"/>
    <n v="38746.44"/>
    <n v="1"/>
    <n v="0"/>
  </r>
  <r>
    <s v="PO-00680"/>
    <x v="1"/>
    <x v="400"/>
    <d v="2023-08-23T00:00:00"/>
    <x v="3"/>
    <x v="1"/>
    <n v="901"/>
    <n v="108.63"/>
    <n v="106.3"/>
    <n v="141"/>
    <x v="0"/>
    <n v="95776.3"/>
    <n v="10"/>
    <n v="0.15649278579356271"/>
    <n v="2099.3299999999986"/>
    <n v="2.1919096895578534E-2"/>
    <x v="0"/>
    <n v="97875.62999999999"/>
    <n v="1"/>
    <n v="0"/>
  </r>
  <r>
    <s v="PO-00681"/>
    <x v="4"/>
    <x v="38"/>
    <d v="2023-02-11T00:00:00"/>
    <x v="2"/>
    <x v="1"/>
    <n v="1737"/>
    <n v="32.700000000000003"/>
    <n v="31.02"/>
    <n v="48"/>
    <x v="0"/>
    <n v="53881.74"/>
    <n v="17"/>
    <n v="2.7633851468048358E-2"/>
    <n v="2918.1600000000058"/>
    <n v="5.4158607350096824E-2"/>
    <x v="1"/>
    <n v="56799.9"/>
    <n v="1"/>
    <n v="0"/>
  </r>
  <r>
    <s v="PO-00682"/>
    <x v="3"/>
    <x v="251"/>
    <d v="2023-05-22T00:00:00"/>
    <x v="3"/>
    <x v="1"/>
    <n v="1981"/>
    <n v="102.43"/>
    <n v="90.99"/>
    <n v="204"/>
    <x v="0"/>
    <n v="180251.19"/>
    <n v="18"/>
    <n v="0.10297829379101464"/>
    <n v="22662.640000000025"/>
    <n v="0.12572810198922973"/>
    <x v="1"/>
    <n v="202913.83000000002"/>
    <n v="1"/>
    <n v="0"/>
  </r>
  <r>
    <s v="PO-00683"/>
    <x v="4"/>
    <x v="30"/>
    <d v="2022-01-26T00:00:00"/>
    <x v="1"/>
    <x v="3"/>
    <n v="739"/>
    <n v="68.47"/>
    <n v="66.09"/>
    <n v="19"/>
    <x v="0"/>
    <n v="48840.51"/>
    <n v="19"/>
    <n v="2.571041948579161E-2"/>
    <n v="1758.8199999999965"/>
    <n v="3.6011499470419053E-2"/>
    <x v="1"/>
    <n v="50599.33"/>
    <n v="1"/>
    <n v="0"/>
  </r>
  <r>
    <s v="PO-00684"/>
    <x v="3"/>
    <x v="441"/>
    <d v="2022-12-28T00:00:00"/>
    <x v="3"/>
    <x v="1"/>
    <n v="1748"/>
    <n v="68.25"/>
    <n v="62.84"/>
    <n v="171"/>
    <x v="0"/>
    <n v="109844.32"/>
    <n v="1"/>
    <n v="9.7826086956521743E-2"/>
    <n v="9456.6799999999948"/>
    <n v="8.6091661362189639E-2"/>
    <x v="0"/>
    <n v="119301"/>
    <n v="1"/>
    <n v="0"/>
  </r>
  <r>
    <s v="PO-00685"/>
    <x v="1"/>
    <x v="143"/>
    <d v="2022-11-06T00:00:00"/>
    <x v="0"/>
    <x v="0"/>
    <n v="429"/>
    <n v="58.95"/>
    <n v="55.35"/>
    <n v="59"/>
    <x v="1"/>
    <n v="23745.15"/>
    <n v="4"/>
    <n v="0.13752913752913754"/>
    <n v="1544.4000000000005"/>
    <n v="6.5040650406504086E-2"/>
    <x v="0"/>
    <n v="25289.550000000003"/>
    <n v="0"/>
    <n v="1"/>
  </r>
  <r>
    <s v="PO-00686"/>
    <x v="2"/>
    <x v="238"/>
    <m/>
    <x v="4"/>
    <x v="1"/>
    <n v="1618"/>
    <n v="32.76"/>
    <n v="28.41"/>
    <n v="62"/>
    <x v="0"/>
    <n v="45967.38"/>
    <s v=""/>
    <n v="3.8318912237330034E-2"/>
    <n v="7038.2999999999965"/>
    <n v="0.15311510031678979"/>
    <x v="1"/>
    <n v="53005.68"/>
    <n v="1"/>
    <n v="0"/>
  </r>
  <r>
    <s v="PO-00687"/>
    <x v="3"/>
    <x v="25"/>
    <d v="2023-03-07T00:00:00"/>
    <x v="2"/>
    <x v="1"/>
    <n v="1006"/>
    <n v="27.7"/>
    <n v="23.66"/>
    <n v="101"/>
    <x v="1"/>
    <n v="23801.96"/>
    <n v="1"/>
    <n v="0.10039761431411531"/>
    <n v="4064.2399999999993"/>
    <n v="0.17075232459847842"/>
    <x v="0"/>
    <n v="27866.2"/>
    <n v="0"/>
    <n v="1"/>
  </r>
  <r>
    <s v="PO-00688"/>
    <x v="3"/>
    <x v="108"/>
    <d v="2023-07-15T00:00:00"/>
    <x v="4"/>
    <x v="2"/>
    <n v="740"/>
    <n v="32.53"/>
    <n v="29.35"/>
    <n v="84"/>
    <x v="0"/>
    <n v="21719"/>
    <n v="9"/>
    <n v="0.11351351351351352"/>
    <n v="2353.1999999999998"/>
    <n v="0.10834752981260647"/>
    <x v="0"/>
    <n v="24072.2"/>
    <n v="1"/>
    <n v="0"/>
  </r>
  <r>
    <s v="PO-00689"/>
    <x v="2"/>
    <x v="442"/>
    <m/>
    <x v="3"/>
    <x v="1"/>
    <n v="1500"/>
    <n v="29.19"/>
    <n v="27.24"/>
    <n v="72"/>
    <x v="0"/>
    <n v="40860"/>
    <s v=""/>
    <n v="4.8000000000000001E-2"/>
    <n v="2925.0000000000041"/>
    <n v="7.1585903083700539E-2"/>
    <x v="1"/>
    <n v="43785"/>
    <n v="1"/>
    <n v="0"/>
  </r>
  <r>
    <s v="PO-00690"/>
    <x v="1"/>
    <x v="443"/>
    <d v="2023-09-29T00:00:00"/>
    <x v="0"/>
    <x v="0"/>
    <n v="1686"/>
    <n v="88.18"/>
    <n v="77.150000000000006"/>
    <n v="0"/>
    <x v="0"/>
    <n v="130074.90000000001"/>
    <n v="19"/>
    <n v="0"/>
    <n v="18596.580000000002"/>
    <n v="0.14296824368114064"/>
    <x v="1"/>
    <n v="148671.48000000001"/>
    <n v="1"/>
    <n v="0"/>
  </r>
  <r>
    <s v="PO-00691"/>
    <x v="4"/>
    <x v="26"/>
    <d v="2022-08-16T00:00:00"/>
    <x v="3"/>
    <x v="0"/>
    <n v="1341"/>
    <n v="42.96"/>
    <n v="41.75"/>
    <n v="39"/>
    <x v="0"/>
    <n v="55986.75"/>
    <n v="2"/>
    <n v="2.9082774049217001E-2"/>
    <n v="1622.610000000001"/>
    <n v="2.8982035928143732E-2"/>
    <x v="0"/>
    <n v="57609.36"/>
    <n v="1"/>
    <n v="0"/>
  </r>
  <r>
    <s v="PO-00692"/>
    <x v="0"/>
    <x v="444"/>
    <d v="2023-05-21T00:00:00"/>
    <x v="1"/>
    <x v="0"/>
    <n v="1908"/>
    <n v="16.420000000000002"/>
    <n v="15.31"/>
    <n v="36"/>
    <x v="0"/>
    <n v="29211.48"/>
    <n v="6"/>
    <n v="1.8867924528301886E-2"/>
    <n v="2117.8800000000024"/>
    <n v="7.2501632919660441E-2"/>
    <x v="0"/>
    <n v="31329.360000000004"/>
    <n v="1"/>
    <n v="0"/>
  </r>
  <r>
    <s v="PO-00693"/>
    <x v="2"/>
    <x v="87"/>
    <d v="2022-09-02T00:00:00"/>
    <x v="1"/>
    <x v="2"/>
    <n v="1650"/>
    <n v="100.62"/>
    <n v="90.45"/>
    <n v="85"/>
    <x v="0"/>
    <n v="149242.5"/>
    <n v="20"/>
    <n v="5.1515151515151514E-2"/>
    <n v="16780.500000000004"/>
    <n v="0.11243781094527365"/>
    <x v="1"/>
    <n v="166023"/>
    <n v="1"/>
    <n v="0"/>
  </r>
  <r>
    <s v="PO-00694"/>
    <x v="0"/>
    <x v="445"/>
    <d v="2022-10-20T00:00:00"/>
    <x v="1"/>
    <x v="1"/>
    <n v="1490"/>
    <n v="93.57"/>
    <n v="81.680000000000007"/>
    <n v="29"/>
    <x v="0"/>
    <n v="121703.20000000001"/>
    <n v="13"/>
    <n v="1.9463087248322148E-2"/>
    <n v="17716.09999999998"/>
    <n v="0.14556807051909876"/>
    <x v="0"/>
    <n v="139419.29999999999"/>
    <n v="1"/>
    <n v="0"/>
  </r>
  <r>
    <s v="PO-00695"/>
    <x v="1"/>
    <x v="358"/>
    <d v="2023-03-31T00:00:00"/>
    <x v="3"/>
    <x v="1"/>
    <n v="1241"/>
    <n v="100.04"/>
    <n v="97.56"/>
    <n v="187"/>
    <x v="0"/>
    <n v="121071.96"/>
    <n v="8"/>
    <n v="0.15068493150684931"/>
    <n v="3077.6800000000048"/>
    <n v="2.5420254202542063E-2"/>
    <x v="0"/>
    <n v="124149.64000000001"/>
    <n v="1"/>
    <n v="0"/>
  </r>
  <r>
    <s v="PO-00696"/>
    <x v="3"/>
    <x v="159"/>
    <d v="2023-05-17T00:00:00"/>
    <x v="1"/>
    <x v="1"/>
    <n v="1915"/>
    <n v="107.51"/>
    <n v="102.66"/>
    <n v="184"/>
    <x v="0"/>
    <n v="196593.9"/>
    <n v="4"/>
    <n v="9.608355091383812E-2"/>
    <n v="9287.7500000000164"/>
    <n v="4.7243327488798059E-2"/>
    <x v="0"/>
    <n v="205881.65000000002"/>
    <n v="1"/>
    <n v="0"/>
  </r>
  <r>
    <s v="PO-00697"/>
    <x v="3"/>
    <x v="446"/>
    <d v="2022-02-14T00:00:00"/>
    <x v="3"/>
    <x v="1"/>
    <n v="1116"/>
    <n v="25.65"/>
    <n v="24.28"/>
    <n v="121"/>
    <x v="0"/>
    <n v="27096.48"/>
    <n v="15"/>
    <n v="0.10842293906810035"/>
    <n v="1528.9199999999971"/>
    <n v="5.6425041186161345E-2"/>
    <x v="1"/>
    <n v="28625.399999999998"/>
    <n v="1"/>
    <n v="0"/>
  </r>
  <r>
    <s v="PO-00698"/>
    <x v="1"/>
    <x v="439"/>
    <d v="2023-02-08T00:00:00"/>
    <x v="3"/>
    <x v="1"/>
    <n v="1629"/>
    <n v="48.63"/>
    <n v="43.28"/>
    <n v="260"/>
    <x v="0"/>
    <n v="70503.12"/>
    <n v="5"/>
    <n v="0.15960712093308779"/>
    <n v="8715.1500000000015"/>
    <n v="0.12361367837338265"/>
    <x v="0"/>
    <n v="79218.27"/>
    <n v="1"/>
    <n v="0"/>
  </r>
  <r>
    <s v="PO-00699"/>
    <x v="4"/>
    <x v="36"/>
    <d v="2022-12-18T00:00:00"/>
    <x v="0"/>
    <x v="1"/>
    <n v="334"/>
    <n v="82.54"/>
    <n v="74.63"/>
    <n v="0"/>
    <x v="0"/>
    <n v="24926.42"/>
    <n v="7"/>
    <n v="0"/>
    <n v="2641.9400000000037"/>
    <n v="0.10598954843896571"/>
    <x v="0"/>
    <n v="27568.36"/>
    <n v="1"/>
    <n v="0"/>
  </r>
  <r>
    <s v="PO-00700"/>
    <x v="4"/>
    <x v="447"/>
    <d v="2023-12-06T00:00:00"/>
    <x v="2"/>
    <x v="1"/>
    <n v="446"/>
    <n v="80.63"/>
    <n v="70.37"/>
    <n v="0"/>
    <x v="0"/>
    <n v="31385.02"/>
    <n v="20"/>
    <n v="0"/>
    <n v="4575.9599999999955"/>
    <n v="0.1458007673724597"/>
    <x v="1"/>
    <n v="35960.979999999996"/>
    <n v="1"/>
    <n v="0"/>
  </r>
  <r>
    <s v="PO-00701"/>
    <x v="1"/>
    <x v="352"/>
    <m/>
    <x v="4"/>
    <x v="1"/>
    <n v="61"/>
    <n v="26.47"/>
    <n v="24.62"/>
    <n v="6"/>
    <x v="0"/>
    <n v="1501.8200000000002"/>
    <s v=""/>
    <n v="9.8360655737704916E-2"/>
    <n v="112.84999999999987"/>
    <n v="7.5142160844841502E-2"/>
    <x v="1"/>
    <n v="1614.6699999999998"/>
    <n v="1"/>
    <n v="0"/>
  </r>
  <r>
    <s v="PO-00702"/>
    <x v="1"/>
    <x v="448"/>
    <d v="2023-02-21T00:00:00"/>
    <x v="2"/>
    <x v="1"/>
    <n v="1680"/>
    <n v="88.85"/>
    <n v="87.53"/>
    <n v="0"/>
    <x v="0"/>
    <n v="147050.4"/>
    <n v="2"/>
    <n v="0"/>
    <n v="2217.5999999999885"/>
    <n v="1.5080543813549563E-2"/>
    <x v="0"/>
    <n v="149268"/>
    <n v="1"/>
    <n v="0"/>
  </r>
  <r>
    <s v="PO-00703"/>
    <x v="1"/>
    <x v="167"/>
    <d v="2022-07-06T00:00:00"/>
    <x v="4"/>
    <x v="1"/>
    <n v="1375"/>
    <n v="30.95"/>
    <n v="30.02"/>
    <n v="223"/>
    <x v="0"/>
    <n v="41277.5"/>
    <n v="17"/>
    <n v="0.16218181818181818"/>
    <n v="1278.7499999999995"/>
    <n v="3.0979347101932033E-2"/>
    <x v="1"/>
    <n v="42556.25"/>
    <n v="1"/>
    <n v="0"/>
  </r>
  <r>
    <s v="PO-00704"/>
    <x v="1"/>
    <x v="211"/>
    <d v="2023-05-05T00:00:00"/>
    <x v="4"/>
    <x v="2"/>
    <n v="1971"/>
    <n v="32.4"/>
    <n v="30.48"/>
    <n v="321"/>
    <x v="0"/>
    <n v="60076.08"/>
    <n v="11"/>
    <n v="0.16286149162861491"/>
    <n v="3784.3199999999965"/>
    <n v="6.2992125984251912E-2"/>
    <x v="0"/>
    <n v="63860.399999999994"/>
    <n v="1"/>
    <n v="0"/>
  </r>
  <r>
    <s v="PO-00705"/>
    <x v="1"/>
    <x v="325"/>
    <m/>
    <x v="3"/>
    <x v="3"/>
    <n v="1326"/>
    <n v="59.49"/>
    <n v="56.21"/>
    <n v="0"/>
    <x v="0"/>
    <n v="74534.460000000006"/>
    <s v=""/>
    <n v="0"/>
    <n v="4349.2800000000016"/>
    <n v="5.835260629781179E-2"/>
    <x v="1"/>
    <n v="78883.740000000005"/>
    <n v="1"/>
    <n v="0"/>
  </r>
  <r>
    <s v="PO-00706"/>
    <x v="1"/>
    <x v="449"/>
    <d v="2023-10-13T00:00:00"/>
    <x v="1"/>
    <x v="0"/>
    <n v="548"/>
    <n v="69.7"/>
    <n v="61.87"/>
    <n v="90"/>
    <x v="0"/>
    <n v="33904.76"/>
    <n v="13"/>
    <n v="0.16423357664233576"/>
    <n v="4290.8400000000029"/>
    <n v="0.12655568126717318"/>
    <x v="0"/>
    <n v="38195.599999999999"/>
    <n v="1"/>
    <n v="0"/>
  </r>
  <r>
    <s v="PO-00707"/>
    <x v="3"/>
    <x v="79"/>
    <d v="2023-07-07T00:00:00"/>
    <x v="1"/>
    <x v="1"/>
    <n v="803"/>
    <n v="67.81"/>
    <n v="61.53"/>
    <n v="78"/>
    <x v="0"/>
    <n v="49408.590000000004"/>
    <n v="6"/>
    <n v="9.7135740971357409E-2"/>
    <n v="5042.8400000000011"/>
    <n v="0.10206403380464815"/>
    <x v="0"/>
    <n v="54451.43"/>
    <n v="1"/>
    <n v="0"/>
  </r>
  <r>
    <s v="PO-00708"/>
    <x v="0"/>
    <x v="20"/>
    <d v="2022-02-15T00:00:00"/>
    <x v="1"/>
    <x v="1"/>
    <n v="84"/>
    <n v="18.23"/>
    <n v="15.55"/>
    <n v="0"/>
    <x v="0"/>
    <n v="1306.2"/>
    <n v="18"/>
    <n v="0"/>
    <n v="225.11999999999998"/>
    <n v="0.17234726688102892"/>
    <x v="1"/>
    <n v="1531.32"/>
    <n v="1"/>
    <n v="0"/>
  </r>
  <r>
    <s v="PO-00709"/>
    <x v="4"/>
    <x v="450"/>
    <d v="2023-02-20T00:00:00"/>
    <x v="2"/>
    <x v="1"/>
    <n v="776"/>
    <n v="94.75"/>
    <n v="90.89"/>
    <n v="19"/>
    <x v="0"/>
    <n v="70530.64"/>
    <n v="12"/>
    <n v="2.4484536082474227E-2"/>
    <n v="2995.3599999999997"/>
    <n v="4.24689184728793E-2"/>
    <x v="0"/>
    <n v="73526"/>
    <n v="1"/>
    <n v="0"/>
  </r>
  <r>
    <s v="PO-00710"/>
    <x v="0"/>
    <x v="451"/>
    <d v="2023-09-08T00:00:00"/>
    <x v="1"/>
    <x v="1"/>
    <n v="898"/>
    <n v="37.119999999999997"/>
    <n v="35.54"/>
    <n v="18"/>
    <x v="1"/>
    <n v="31914.92"/>
    <n v="9"/>
    <n v="2.0044543429844099E-2"/>
    <n v="1418.8399999999986"/>
    <n v="4.4456949915588025E-2"/>
    <x v="0"/>
    <n v="33333.759999999995"/>
    <n v="0"/>
    <n v="1"/>
  </r>
  <r>
    <s v="PO-00711"/>
    <x v="3"/>
    <x v="452"/>
    <d v="2023-08-08T00:00:00"/>
    <x v="0"/>
    <x v="0"/>
    <n v="139"/>
    <n v="23.71"/>
    <n v="20.18"/>
    <n v="14"/>
    <x v="0"/>
    <n v="2805.02"/>
    <n v="7"/>
    <n v="0.10071942446043165"/>
    <n v="490.67000000000019"/>
    <n v="0.17492566897918738"/>
    <x v="0"/>
    <n v="3295.69"/>
    <n v="1"/>
    <n v="0"/>
  </r>
  <r>
    <s v="PO-00712"/>
    <x v="2"/>
    <x v="453"/>
    <m/>
    <x v="3"/>
    <x v="1"/>
    <n v="825"/>
    <n v="99.89"/>
    <n v="97.65"/>
    <n v="30"/>
    <x v="0"/>
    <n v="80561.25"/>
    <s v=""/>
    <n v="3.6363636363636362E-2"/>
    <n v="1847.9999999999957"/>
    <n v="2.2939068100358371E-2"/>
    <x v="1"/>
    <n v="82409.25"/>
    <n v="1"/>
    <n v="0"/>
  </r>
  <r>
    <s v="PO-00713"/>
    <x v="0"/>
    <x v="20"/>
    <d v="2022-02-07T00:00:00"/>
    <x v="1"/>
    <x v="1"/>
    <n v="654"/>
    <n v="96.01"/>
    <n v="90.31"/>
    <n v="10"/>
    <x v="0"/>
    <n v="59062.74"/>
    <n v="10"/>
    <n v="1.5290519877675841E-2"/>
    <n v="3727.800000000002"/>
    <n v="6.3115934005093605E-2"/>
    <x v="0"/>
    <n v="62790.54"/>
    <n v="1"/>
    <n v="0"/>
  </r>
  <r>
    <s v="PO-00714"/>
    <x v="2"/>
    <x v="454"/>
    <d v="2022-04-06T00:00:00"/>
    <x v="1"/>
    <x v="1"/>
    <n v="1995"/>
    <n v="88.47"/>
    <n v="82.65"/>
    <n v="87"/>
    <x v="1"/>
    <n v="164886.75"/>
    <n v="10"/>
    <n v="4.3609022556390979E-2"/>
    <n v="11610.899999999987"/>
    <n v="7.0417422867513527E-2"/>
    <x v="0"/>
    <n v="176497.65"/>
    <n v="0"/>
    <n v="1"/>
  </r>
  <r>
    <s v="PO-00715"/>
    <x v="3"/>
    <x v="103"/>
    <d v="2023-10-28T00:00:00"/>
    <x v="1"/>
    <x v="1"/>
    <n v="1019"/>
    <n v="91.56"/>
    <n v="77.930000000000007"/>
    <n v="111"/>
    <x v="1"/>
    <n v="79410.670000000013"/>
    <n v="7"/>
    <n v="0.10893032384690873"/>
    <n v="13888.969999999996"/>
    <n v="0.1749005517772359"/>
    <x v="0"/>
    <n v="93299.64"/>
    <n v="0"/>
    <n v="1"/>
  </r>
  <r>
    <s v="PO-00716"/>
    <x v="4"/>
    <x v="111"/>
    <d v="2023-03-31T00:00:00"/>
    <x v="2"/>
    <x v="3"/>
    <n v="1675"/>
    <n v="73.8"/>
    <n v="65.34"/>
    <n v="42"/>
    <x v="0"/>
    <n v="109444.5"/>
    <n v="16"/>
    <n v="2.5074626865671641E-2"/>
    <n v="14170.499999999989"/>
    <n v="0.12947658402203846"/>
    <x v="1"/>
    <n v="123615"/>
    <n v="1"/>
    <n v="0"/>
  </r>
  <r>
    <s v="PO-00717"/>
    <x v="2"/>
    <x v="455"/>
    <d v="2022-05-31T00:00:00"/>
    <x v="3"/>
    <x v="3"/>
    <n v="1071"/>
    <n v="60.77"/>
    <n v="58.5"/>
    <n v="0"/>
    <x v="0"/>
    <n v="62653.5"/>
    <n v="12"/>
    <n v="0"/>
    <n v="2431.1700000000033"/>
    <n v="3.8803418803418858E-2"/>
    <x v="0"/>
    <n v="65084.670000000006"/>
    <n v="1"/>
    <n v="0"/>
  </r>
  <r>
    <s v="PO-00718"/>
    <x v="3"/>
    <x v="456"/>
    <d v="2023-04-27T00:00:00"/>
    <x v="0"/>
    <x v="1"/>
    <n v="467"/>
    <n v="19.170000000000002"/>
    <n v="17.11"/>
    <n v="49"/>
    <x v="0"/>
    <n v="7990.37"/>
    <n v="9"/>
    <n v="0.10492505353319058"/>
    <n v="962.02000000000112"/>
    <n v="0.12039742840444199"/>
    <x v="0"/>
    <n v="8952.3900000000012"/>
    <n v="1"/>
    <n v="0"/>
  </r>
  <r>
    <s v="PO-00719"/>
    <x v="1"/>
    <x v="457"/>
    <d v="2022-07-25T00:00:00"/>
    <x v="1"/>
    <x v="3"/>
    <n v="164"/>
    <n v="48.16"/>
    <n v="47.46"/>
    <n v="27"/>
    <x v="0"/>
    <n v="7783.4400000000005"/>
    <n v="19"/>
    <n v="0.16463414634146342"/>
    <n v="114.7999999999993"/>
    <n v="1.4749262536873066E-2"/>
    <x v="1"/>
    <n v="7898.24"/>
    <n v="1"/>
    <n v="0"/>
  </r>
  <r>
    <s v="PO-00720"/>
    <x v="4"/>
    <x v="228"/>
    <d v="2022-03-06T00:00:00"/>
    <x v="4"/>
    <x v="0"/>
    <n v="666"/>
    <n v="43.76"/>
    <n v="41.13"/>
    <n v="18"/>
    <x v="0"/>
    <n v="27392.58"/>
    <n v="13"/>
    <n v="2.7027027027027029E-2"/>
    <n v="1751.579999999997"/>
    <n v="6.3943593484074773E-2"/>
    <x v="0"/>
    <n v="29144.16"/>
    <n v="1"/>
    <n v="0"/>
  </r>
  <r>
    <s v="PO-00721"/>
    <x v="1"/>
    <x v="458"/>
    <d v="2022-10-07T00:00:00"/>
    <x v="2"/>
    <x v="2"/>
    <n v="1976"/>
    <n v="34.71"/>
    <n v="31.56"/>
    <n v="286"/>
    <x v="1"/>
    <n v="62362.559999999998"/>
    <n v="13"/>
    <n v="0.14473684210526316"/>
    <n v="6224.4000000000042"/>
    <n v="9.9809885931559011E-2"/>
    <x v="0"/>
    <n v="68586.960000000006"/>
    <n v="0"/>
    <n v="1"/>
  </r>
  <r>
    <s v="PO-00722"/>
    <x v="4"/>
    <x v="82"/>
    <d v="2023-01-29T00:00:00"/>
    <x v="1"/>
    <x v="1"/>
    <n v="1269"/>
    <n v="79.61"/>
    <n v="71.86"/>
    <n v="47"/>
    <x v="0"/>
    <n v="91190.34"/>
    <n v="5"/>
    <n v="3.7037037037037035E-2"/>
    <n v="9834.75"/>
    <n v="0.10784859448928473"/>
    <x v="0"/>
    <n v="101025.09"/>
    <n v="1"/>
    <n v="0"/>
  </r>
  <r>
    <s v="PO-00723"/>
    <x v="4"/>
    <x v="459"/>
    <d v="2022-12-12T00:00:00"/>
    <x v="1"/>
    <x v="1"/>
    <n v="875"/>
    <n v="57.63"/>
    <n v="51.8"/>
    <n v="16"/>
    <x v="0"/>
    <n v="45325"/>
    <n v="10"/>
    <n v="1.8285714285714287E-2"/>
    <n v="5101.2500000000045"/>
    <n v="0.11254826254826265"/>
    <x v="0"/>
    <n v="50426.25"/>
    <n v="1"/>
    <n v="0"/>
  </r>
  <r>
    <s v="PO-00724"/>
    <x v="0"/>
    <x v="96"/>
    <m/>
    <x v="2"/>
    <x v="2"/>
    <n v="1574"/>
    <n v="17.899999999999999"/>
    <n v="15.85"/>
    <n v="31"/>
    <x v="0"/>
    <n v="24947.899999999998"/>
    <s v=""/>
    <n v="1.9695044472681066E-2"/>
    <n v="3226.6999999999985"/>
    <n v="0.1293375394321766"/>
    <x v="1"/>
    <n v="28174.6"/>
    <n v="1"/>
    <n v="0"/>
  </r>
  <r>
    <s v="PO-00725"/>
    <x v="4"/>
    <x v="239"/>
    <d v="2023-04-26T00:00:00"/>
    <x v="0"/>
    <x v="2"/>
    <n v="1699"/>
    <n v="32.049999999999997"/>
    <n v="29.34"/>
    <n v="69"/>
    <x v="0"/>
    <n v="49848.659999999996"/>
    <n v="15"/>
    <n v="4.061212477928193E-2"/>
    <n v="4604.2899999999954"/>
    <n v="9.236537150647571E-2"/>
    <x v="1"/>
    <n v="54452.95"/>
    <n v="1"/>
    <n v="0"/>
  </r>
  <r>
    <s v="PO-00726"/>
    <x v="0"/>
    <x v="371"/>
    <d v="2022-12-17T00:00:00"/>
    <x v="4"/>
    <x v="1"/>
    <n v="1566"/>
    <n v="75.430000000000007"/>
    <n v="71.27"/>
    <n v="27"/>
    <x v="0"/>
    <n v="111608.81999999999"/>
    <n v="16"/>
    <n v="1.7241379310344827E-2"/>
    <n v="6514.5600000000168"/>
    <n v="5.8369580468640533E-2"/>
    <x v="1"/>
    <n v="118123.38"/>
    <n v="1"/>
    <n v="0"/>
  </r>
  <r>
    <s v="PO-00727"/>
    <x v="2"/>
    <x v="460"/>
    <d v="2022-12-30T00:00:00"/>
    <x v="4"/>
    <x v="1"/>
    <n v="1148"/>
    <n v="17.78"/>
    <n v="17.16"/>
    <n v="61"/>
    <x v="0"/>
    <n v="19699.68"/>
    <n v="18"/>
    <n v="5.3135888501742161E-2"/>
    <n v="711.76000000000113"/>
    <n v="3.6130536130536184E-2"/>
    <x v="1"/>
    <n v="20411.440000000002"/>
    <n v="1"/>
    <n v="0"/>
  </r>
  <r>
    <s v="PO-00728"/>
    <x v="4"/>
    <x v="82"/>
    <d v="2023-02-11T00:00:00"/>
    <x v="0"/>
    <x v="1"/>
    <n v="462"/>
    <n v="91.81"/>
    <n v="83.14"/>
    <n v="11"/>
    <x v="0"/>
    <n v="38410.68"/>
    <n v="18"/>
    <n v="2.3809523809523808E-2"/>
    <n v="4005.5400000000009"/>
    <n v="0.10428193408708206"/>
    <x v="1"/>
    <n v="42416.22"/>
    <n v="1"/>
    <n v="0"/>
  </r>
  <r>
    <s v="PO-00729"/>
    <x v="2"/>
    <x v="29"/>
    <d v="2022-10-17T00:00:00"/>
    <x v="2"/>
    <x v="1"/>
    <n v="1449"/>
    <n v="57.02"/>
    <n v="49.28"/>
    <n v="71"/>
    <x v="0"/>
    <n v="71406.720000000001"/>
    <n v="5"/>
    <n v="4.8999309868875088E-2"/>
    <n v="11215.260000000002"/>
    <n v="0.15706168831168835"/>
    <x v="0"/>
    <n v="82621.98000000001"/>
    <n v="1"/>
    <n v="0"/>
  </r>
  <r>
    <s v="PO-00730"/>
    <x v="4"/>
    <x v="461"/>
    <d v="2023-03-27T00:00:00"/>
    <x v="1"/>
    <x v="1"/>
    <n v="1493"/>
    <n v="56.98"/>
    <n v="52.51"/>
    <n v="43"/>
    <x v="0"/>
    <n v="78397.429999999993"/>
    <n v="19"/>
    <n v="2.8801071667782986E-2"/>
    <n v="6673.7099999999982"/>
    <n v="8.5126642544277265E-2"/>
    <x v="1"/>
    <n v="85071.14"/>
    <n v="1"/>
    <n v="0"/>
  </r>
  <r>
    <s v="PO-00731"/>
    <x v="0"/>
    <x v="462"/>
    <d v="2022-09-18T00:00:00"/>
    <x v="0"/>
    <x v="1"/>
    <n v="778"/>
    <n v="65.849999999999994"/>
    <n v="62.08"/>
    <n v="0"/>
    <x v="1"/>
    <n v="48298.239999999998"/>
    <n v="2"/>
    <n v="0"/>
    <n v="2933.0599999999968"/>
    <n v="6.0728092783505092E-2"/>
    <x v="0"/>
    <n v="51231.299999999996"/>
    <n v="0"/>
    <n v="1"/>
  </r>
  <r>
    <s v="PO-00732"/>
    <x v="1"/>
    <x v="266"/>
    <d v="2022-04-11T00:00:00"/>
    <x v="2"/>
    <x v="2"/>
    <n v="1350"/>
    <n v="85.06"/>
    <n v="82.34"/>
    <n v="0"/>
    <x v="1"/>
    <n v="111159"/>
    <n v="17"/>
    <n v="0"/>
    <n v="3671.9999999999986"/>
    <n v="3.3033762448384733E-2"/>
    <x v="1"/>
    <n v="114831"/>
    <n v="0"/>
    <n v="1"/>
  </r>
  <r>
    <s v="PO-00733"/>
    <x v="4"/>
    <x v="341"/>
    <d v="2023-05-05T00:00:00"/>
    <x v="2"/>
    <x v="1"/>
    <n v="1070"/>
    <n v="44.4"/>
    <n v="40.07"/>
    <n v="26"/>
    <x v="0"/>
    <n v="42874.9"/>
    <n v="8"/>
    <n v="2.4299065420560748E-2"/>
    <n v="4633.0999999999985"/>
    <n v="0.10806089343648612"/>
    <x v="0"/>
    <n v="47508"/>
    <n v="1"/>
    <n v="0"/>
  </r>
  <r>
    <s v="PO-00734"/>
    <x v="3"/>
    <x v="152"/>
    <d v="2022-02-03T00:00:00"/>
    <x v="2"/>
    <x v="3"/>
    <n v="810"/>
    <n v="71.02"/>
    <n v="66.8"/>
    <n v="73"/>
    <x v="0"/>
    <n v="54108"/>
    <n v="14"/>
    <n v="9.0123456790123457E-2"/>
    <n v="3418.1999999999989"/>
    <n v="6.3173652694610755E-2"/>
    <x v="0"/>
    <n v="57526.2"/>
    <n v="1"/>
    <n v="0"/>
  </r>
  <r>
    <s v="PO-00735"/>
    <x v="1"/>
    <x v="146"/>
    <d v="2023-07-23T00:00:00"/>
    <x v="2"/>
    <x v="0"/>
    <n v="725"/>
    <n v="66.400000000000006"/>
    <n v="62.1"/>
    <n v="118"/>
    <x v="0"/>
    <n v="45022.5"/>
    <n v="16"/>
    <n v="0.16275862068965516"/>
    <n v="3117.5000000000032"/>
    <n v="6.924315619967801E-2"/>
    <x v="1"/>
    <n v="48140.000000000007"/>
    <n v="1"/>
    <n v="0"/>
  </r>
  <r>
    <s v="PO-00736"/>
    <x v="0"/>
    <x v="463"/>
    <d v="2022-02-28T00:00:00"/>
    <x v="4"/>
    <x v="1"/>
    <n v="1467"/>
    <n v="34.200000000000003"/>
    <n v="30.5"/>
    <n v="25"/>
    <x v="0"/>
    <n v="44743.5"/>
    <n v="5"/>
    <n v="1.7041581458759374E-2"/>
    <n v="5427.9000000000042"/>
    <n v="0.12131147540983615"/>
    <x v="0"/>
    <n v="50171.4"/>
    <n v="1"/>
    <n v="0"/>
  </r>
  <r>
    <s v="PO-00737"/>
    <x v="3"/>
    <x v="345"/>
    <d v="2023-01-12T00:00:00"/>
    <x v="2"/>
    <x v="1"/>
    <n v="1942"/>
    <n v="93.98"/>
    <n v="81.31"/>
    <n v="198"/>
    <x v="0"/>
    <n v="157904.02000000002"/>
    <n v="18"/>
    <n v="0.101956745623069"/>
    <n v="24605.140000000003"/>
    <n v="0.15582339195670888"/>
    <x v="1"/>
    <n v="182509.16"/>
    <n v="1"/>
    <n v="0"/>
  </r>
  <r>
    <s v="PO-00738"/>
    <x v="2"/>
    <x v="464"/>
    <m/>
    <x v="0"/>
    <x v="1"/>
    <n v="506"/>
    <n v="84.63"/>
    <n v="72.69"/>
    <n v="20"/>
    <x v="0"/>
    <n v="36781.14"/>
    <s v=""/>
    <n v="3.9525691699604744E-2"/>
    <n v="6041.6399999999985"/>
    <n v="0.16425918283120094"/>
    <x v="1"/>
    <n v="42822.78"/>
    <n v="1"/>
    <n v="0"/>
  </r>
  <r>
    <s v="PO-00739"/>
    <x v="0"/>
    <x v="23"/>
    <d v="2023-11-13T00:00:00"/>
    <x v="1"/>
    <x v="1"/>
    <n v="969"/>
    <n v="76.53"/>
    <n v="75.64"/>
    <n v="30"/>
    <x v="0"/>
    <n v="73295.16"/>
    <n v="16"/>
    <n v="3.0959752321981424E-2"/>
    <n v="862.41000000000054"/>
    <n v="1.1766261237440515E-2"/>
    <x v="1"/>
    <n v="74157.570000000007"/>
    <n v="1"/>
    <n v="0"/>
  </r>
  <r>
    <s v="PO-00740"/>
    <x v="1"/>
    <x v="160"/>
    <d v="2022-03-19T00:00:00"/>
    <x v="1"/>
    <x v="1"/>
    <n v="241"/>
    <n v="87.42"/>
    <n v="82.15"/>
    <n v="0"/>
    <x v="0"/>
    <n v="19798.150000000001"/>
    <n v="7"/>
    <n v="0"/>
    <n v="1270.069999999999"/>
    <n v="6.4150943396226359E-2"/>
    <x v="0"/>
    <n v="21068.22"/>
    <n v="1"/>
    <n v="0"/>
  </r>
  <r>
    <s v="PO-00741"/>
    <x v="2"/>
    <x v="229"/>
    <d v="2023-11-09T00:00:00"/>
    <x v="3"/>
    <x v="1"/>
    <n v="788"/>
    <n v="97.3"/>
    <n v="94.44"/>
    <n v="32"/>
    <x v="0"/>
    <n v="74418.720000000001"/>
    <n v="10"/>
    <n v="4.060913705583756E-2"/>
    <n v="2253.6799999999994"/>
    <n v="3.0283778060143998E-2"/>
    <x v="0"/>
    <n v="76672.399999999994"/>
    <n v="1"/>
    <n v="0"/>
  </r>
  <r>
    <s v="PO-00742"/>
    <x v="2"/>
    <x v="465"/>
    <d v="2022-02-13T00:00:00"/>
    <x v="0"/>
    <x v="1"/>
    <n v="1762"/>
    <n v="74.12"/>
    <n v="65.709999999999994"/>
    <n v="94"/>
    <x v="0"/>
    <n v="115781.01999999999"/>
    <n v="2"/>
    <n v="5.3348467650397274E-2"/>
    <n v="14818.420000000018"/>
    <n v="0.12798660782224944"/>
    <x v="0"/>
    <n v="130599.44"/>
    <n v="1"/>
    <n v="0"/>
  </r>
  <r>
    <s v="PO-00743"/>
    <x v="0"/>
    <x v="466"/>
    <m/>
    <x v="3"/>
    <x v="3"/>
    <n v="1172"/>
    <n v="85.76"/>
    <n v="81.430000000000007"/>
    <n v="25"/>
    <x v="0"/>
    <n v="95435.96"/>
    <s v=""/>
    <n v="2.1331058020477817E-2"/>
    <n v="5074.7599999999984"/>
    <n v="5.3174505710426111E-2"/>
    <x v="1"/>
    <n v="100510.72"/>
    <n v="1"/>
    <n v="0"/>
  </r>
  <r>
    <s v="PO-00744"/>
    <x v="1"/>
    <x v="180"/>
    <d v="2022-09-30T00:00:00"/>
    <x v="0"/>
    <x v="1"/>
    <n v="1621"/>
    <n v="75.680000000000007"/>
    <n v="73.78"/>
    <n v="226"/>
    <x v="1"/>
    <n v="119597.38"/>
    <n v="19"/>
    <n v="0.13942011104256632"/>
    <n v="3079.9000000000092"/>
    <n v="2.5752236378422413E-2"/>
    <x v="1"/>
    <n v="122677.28000000001"/>
    <n v="0"/>
    <n v="1"/>
  </r>
  <r>
    <s v="PO-00745"/>
    <x v="0"/>
    <x v="343"/>
    <d v="2022-07-26T00:00:00"/>
    <x v="2"/>
    <x v="1"/>
    <n v="1027"/>
    <n v="73.349999999999994"/>
    <n v="65.42"/>
    <n v="24"/>
    <x v="1"/>
    <n v="67186.34"/>
    <n v="2"/>
    <n v="2.3369036027263874E-2"/>
    <n v="8144.1099999999924"/>
    <n v="0.12121675328645663"/>
    <x v="0"/>
    <n v="75330.45"/>
    <n v="0"/>
    <n v="1"/>
  </r>
  <r>
    <s v="PO-00746"/>
    <x v="3"/>
    <x v="440"/>
    <m/>
    <x v="3"/>
    <x v="1"/>
    <n v="1058"/>
    <n v="65.680000000000007"/>
    <n v="57.21"/>
    <n v="101"/>
    <x v="0"/>
    <n v="60528.18"/>
    <s v=""/>
    <n v="9.5463137996219277E-2"/>
    <n v="8961.2600000000057"/>
    <n v="0.14805104002796723"/>
    <x v="1"/>
    <n v="69489.440000000002"/>
    <n v="1"/>
    <n v="0"/>
  </r>
  <r>
    <s v="PO-00747"/>
    <x v="3"/>
    <x v="279"/>
    <d v="2023-10-05T00:00:00"/>
    <x v="2"/>
    <x v="1"/>
    <n v="145"/>
    <n v="85.52"/>
    <n v="81.86"/>
    <n v="11"/>
    <x v="1"/>
    <n v="11869.7"/>
    <n v="6"/>
    <n v="7.586206896551724E-2"/>
    <n v="530.69999999999948"/>
    <n v="4.4710481309552845E-2"/>
    <x v="0"/>
    <n v="12400.4"/>
    <n v="0"/>
    <n v="1"/>
  </r>
  <r>
    <s v="PO-00748"/>
    <x v="4"/>
    <x v="120"/>
    <m/>
    <x v="0"/>
    <x v="1"/>
    <n v="1737"/>
    <n v="24.88"/>
    <n v="24.28"/>
    <n v="46"/>
    <x v="0"/>
    <n v="42174.36"/>
    <s v=""/>
    <n v="2.6482440990213012E-2"/>
    <n v="1042.1999999999964"/>
    <n v="2.4711696869851644E-2"/>
    <x v="1"/>
    <n v="43216.56"/>
    <n v="1"/>
    <n v="0"/>
  </r>
  <r>
    <s v="PO-00749"/>
    <x v="2"/>
    <x v="272"/>
    <d v="2022-09-15T00:00:00"/>
    <x v="4"/>
    <x v="1"/>
    <n v="712"/>
    <n v="92.85"/>
    <n v="89.39"/>
    <n v="43"/>
    <x v="0"/>
    <n v="63645.68"/>
    <n v="13"/>
    <n v="6.0393258426966294E-2"/>
    <n v="2463.5199999999954"/>
    <n v="3.8706790468732447E-2"/>
    <x v="0"/>
    <n v="66109.2"/>
    <n v="1"/>
    <n v="0"/>
  </r>
  <r>
    <s v="PO-00750"/>
    <x v="4"/>
    <x v="467"/>
    <d v="2022-05-16T00:00:00"/>
    <x v="4"/>
    <x v="1"/>
    <n v="1263"/>
    <n v="90.24"/>
    <n v="86.84"/>
    <n v="28"/>
    <x v="0"/>
    <n v="109678.92"/>
    <n v="6"/>
    <n v="2.2169437846397466E-2"/>
    <n v="4294.1999999999889"/>
    <n v="3.9152464302164798E-2"/>
    <x v="0"/>
    <n v="113973.12"/>
    <n v="1"/>
    <n v="0"/>
  </r>
  <r>
    <s v="PO-00751"/>
    <x v="1"/>
    <x v="202"/>
    <m/>
    <x v="4"/>
    <x v="1"/>
    <n v="1809"/>
    <n v="13.58"/>
    <n v="12.68"/>
    <n v="0"/>
    <x v="1"/>
    <n v="22938.12"/>
    <s v=""/>
    <n v="0"/>
    <n v="1628.1000000000006"/>
    <n v="7.0977917981072586E-2"/>
    <x v="1"/>
    <n v="24566.22"/>
    <n v="0"/>
    <n v="1"/>
  </r>
  <r>
    <s v="PO-00752"/>
    <x v="3"/>
    <x v="197"/>
    <m/>
    <x v="4"/>
    <x v="0"/>
    <n v="86"/>
    <n v="93.6"/>
    <n v="88.22"/>
    <n v="5"/>
    <x v="0"/>
    <n v="7586.92"/>
    <s v=""/>
    <n v="5.8139534883720929E-2"/>
    <n v="462.67999999999961"/>
    <n v="6.0983903876671908E-2"/>
    <x v="1"/>
    <n v="8049.5999999999995"/>
    <n v="1"/>
    <n v="0"/>
  </r>
  <r>
    <s v="PO-00753"/>
    <x v="4"/>
    <x v="132"/>
    <m/>
    <x v="1"/>
    <x v="1"/>
    <n v="1853"/>
    <n v="21.92"/>
    <n v="20.72"/>
    <n v="0"/>
    <x v="0"/>
    <n v="38394.159999999996"/>
    <s v=""/>
    <n v="0"/>
    <n v="2223.6000000000054"/>
    <n v="5.7915057915058063E-2"/>
    <x v="1"/>
    <n v="40617.760000000002"/>
    <n v="1"/>
    <n v="0"/>
  </r>
  <r>
    <s v="PO-00754"/>
    <x v="3"/>
    <x v="452"/>
    <d v="2023-08-02T00:00:00"/>
    <x v="4"/>
    <x v="1"/>
    <n v="1442"/>
    <n v="43.98"/>
    <n v="41.82"/>
    <n v="140"/>
    <x v="1"/>
    <n v="60304.44"/>
    <n v="1"/>
    <n v="9.7087378640776698E-2"/>
    <n v="3114.7199999999953"/>
    <n v="5.164992826398844E-2"/>
    <x v="0"/>
    <n v="63419.159999999996"/>
    <n v="0"/>
    <n v="1"/>
  </r>
  <r>
    <s v="PO-00755"/>
    <x v="3"/>
    <x v="16"/>
    <d v="2022-09-01T00:00:00"/>
    <x v="0"/>
    <x v="3"/>
    <n v="1768"/>
    <n v="79.61"/>
    <n v="74.97"/>
    <n v="207"/>
    <x v="1"/>
    <n v="132546.96"/>
    <n v="20"/>
    <n v="0.11708144796380091"/>
    <n v="8203.52"/>
    <n v="6.1891423235961057E-2"/>
    <x v="1"/>
    <n v="140750.48000000001"/>
    <n v="0"/>
    <n v="1"/>
  </r>
  <r>
    <s v="PO-00756"/>
    <x v="3"/>
    <x v="385"/>
    <d v="2023-05-03T00:00:00"/>
    <x v="4"/>
    <x v="2"/>
    <n v="1598"/>
    <n v="26.3"/>
    <n v="26.03"/>
    <n v="154"/>
    <x v="1"/>
    <n v="41595.94"/>
    <n v="11"/>
    <n v="9.6370463078848556E-2"/>
    <n v="431.4599999999993"/>
    <n v="1.0372646945831714E-2"/>
    <x v="0"/>
    <n v="42027.4"/>
    <n v="0"/>
    <n v="1"/>
  </r>
  <r>
    <s v="PO-00757"/>
    <x v="0"/>
    <x v="468"/>
    <d v="2024-01-05T00:00:00"/>
    <x v="1"/>
    <x v="0"/>
    <n v="328"/>
    <n v="93.23"/>
    <n v="82.63"/>
    <n v="6"/>
    <x v="0"/>
    <n v="27102.639999999999"/>
    <n v="18"/>
    <n v="1.8292682926829267E-2"/>
    <n v="3476.8000000000029"/>
    <n v="0.12828270603896902"/>
    <x v="1"/>
    <n v="30579.440000000002"/>
    <n v="1"/>
    <n v="0"/>
  </r>
  <r>
    <s v="PO-00758"/>
    <x v="4"/>
    <x v="469"/>
    <d v="2022-09-25T00:00:00"/>
    <x v="2"/>
    <x v="1"/>
    <n v="266"/>
    <n v="88.29"/>
    <n v="80.22"/>
    <n v="4"/>
    <x v="0"/>
    <n v="21338.52"/>
    <n v="5"/>
    <n v="1.5037593984962405E-2"/>
    <n v="2146.6200000000022"/>
    <n v="0.10059835452505619"/>
    <x v="0"/>
    <n v="23485.140000000003"/>
    <n v="1"/>
    <n v="0"/>
  </r>
  <r>
    <s v="PO-00759"/>
    <x v="2"/>
    <x v="470"/>
    <d v="2023-01-28T00:00:00"/>
    <x v="3"/>
    <x v="1"/>
    <n v="916"/>
    <n v="59.01"/>
    <n v="53.37"/>
    <n v="47"/>
    <x v="0"/>
    <n v="48886.92"/>
    <n v="15"/>
    <n v="5.1310043668122272E-2"/>
    <n v="5166.2400000000007"/>
    <n v="0.10567734682405848"/>
    <x v="1"/>
    <n v="54053.159999999996"/>
    <n v="1"/>
    <n v="0"/>
  </r>
  <r>
    <s v="PO-00760"/>
    <x v="4"/>
    <x v="471"/>
    <d v="2022-06-25T00:00:00"/>
    <x v="2"/>
    <x v="0"/>
    <n v="922"/>
    <n v="10.84"/>
    <n v="9.27"/>
    <n v="29"/>
    <x v="0"/>
    <n v="8546.94"/>
    <n v="4"/>
    <n v="3.1453362255965296E-2"/>
    <n v="1447.5400000000002"/>
    <n v="0.16936353829557715"/>
    <x v="0"/>
    <n v="9994.48"/>
    <n v="1"/>
    <n v="0"/>
  </r>
  <r>
    <s v="PO-00761"/>
    <x v="2"/>
    <x v="359"/>
    <d v="2023-09-28T00:00:00"/>
    <x v="2"/>
    <x v="1"/>
    <n v="1871"/>
    <n v="39.42"/>
    <n v="37.409999999999997"/>
    <n v="101"/>
    <x v="1"/>
    <n v="69994.11"/>
    <n v="15"/>
    <n v="5.3981827899518976E-2"/>
    <n v="3760.7100000000096"/>
    <n v="5.3728949478749136E-2"/>
    <x v="1"/>
    <n v="73754.820000000007"/>
    <n v="0"/>
    <n v="1"/>
  </r>
  <r>
    <s v="PO-00762"/>
    <x v="4"/>
    <x v="169"/>
    <d v="2023-09-20T00:00:00"/>
    <x v="3"/>
    <x v="1"/>
    <n v="1346"/>
    <n v="72.08"/>
    <n v="67.040000000000006"/>
    <n v="38"/>
    <x v="0"/>
    <n v="90235.840000000011"/>
    <n v="6"/>
    <n v="2.8231797919762259E-2"/>
    <n v="6783.8399999999892"/>
    <n v="7.5178997613365023E-2"/>
    <x v="0"/>
    <n v="97019.68"/>
    <n v="1"/>
    <n v="0"/>
  </r>
  <r>
    <s v="PO-00763"/>
    <x v="4"/>
    <x v="132"/>
    <d v="2022-05-09T00:00:00"/>
    <x v="4"/>
    <x v="1"/>
    <n v="1954"/>
    <n v="99.78"/>
    <n v="87.47"/>
    <n v="57"/>
    <x v="0"/>
    <n v="170916.38"/>
    <n v="11"/>
    <n v="2.9170931422722621E-2"/>
    <n v="24053.740000000005"/>
    <n v="0.14073396593117643"/>
    <x v="0"/>
    <n v="194970.12"/>
    <n v="1"/>
    <n v="0"/>
  </r>
  <r>
    <s v="PO-00764"/>
    <x v="3"/>
    <x v="80"/>
    <d v="2022-07-06T00:00:00"/>
    <x v="4"/>
    <x v="1"/>
    <n v="111"/>
    <n v="68.53"/>
    <n v="65.22"/>
    <n v="11"/>
    <x v="0"/>
    <n v="7239.42"/>
    <n v="19"/>
    <n v="9.90990990990991E-2"/>
    <n v="367.41000000000025"/>
    <n v="5.0751303281202122E-2"/>
    <x v="1"/>
    <n v="7606.83"/>
    <n v="1"/>
    <n v="0"/>
  </r>
  <r>
    <s v="PO-00765"/>
    <x v="2"/>
    <x v="472"/>
    <d v="2022-11-22T00:00:00"/>
    <x v="0"/>
    <x v="3"/>
    <n v="645"/>
    <n v="35.049999999999997"/>
    <n v="30.88"/>
    <n v="27"/>
    <x v="0"/>
    <n v="19917.599999999999"/>
    <n v="7"/>
    <n v="4.1860465116279069E-2"/>
    <n v="2689.6499999999987"/>
    <n v="0.1350388601036269"/>
    <x v="0"/>
    <n v="22607.249999999996"/>
    <n v="1"/>
    <n v="0"/>
  </r>
  <r>
    <s v="PO-00766"/>
    <x v="2"/>
    <x v="338"/>
    <d v="2022-05-04T00:00:00"/>
    <x v="4"/>
    <x v="0"/>
    <n v="1953"/>
    <n v="68.069999999999993"/>
    <n v="62.95"/>
    <n v="87"/>
    <x v="0"/>
    <n v="122941.35"/>
    <n v="13"/>
    <n v="4.4546850998463901E-2"/>
    <n v="9999.3599999999806"/>
    <n v="8.1334392374900547E-2"/>
    <x v="0"/>
    <n v="132940.71"/>
    <n v="1"/>
    <n v="0"/>
  </r>
  <r>
    <s v="PO-00767"/>
    <x v="2"/>
    <x v="262"/>
    <d v="2023-09-02T00:00:00"/>
    <x v="4"/>
    <x v="1"/>
    <n v="778"/>
    <n v="64.17"/>
    <n v="61.6"/>
    <n v="47"/>
    <x v="0"/>
    <n v="47924.800000000003"/>
    <n v="17"/>
    <n v="6.0411311053984576E-2"/>
    <n v="1999.4600000000003"/>
    <n v="4.1720779220779221E-2"/>
    <x v="1"/>
    <n v="49924.26"/>
    <n v="1"/>
    <n v="0"/>
  </r>
  <r>
    <s v="PO-00768"/>
    <x v="4"/>
    <x v="473"/>
    <d v="2022-02-09T00:00:00"/>
    <x v="0"/>
    <x v="1"/>
    <n v="1415"/>
    <n v="80.19"/>
    <n v="78.34"/>
    <n v="0"/>
    <x v="0"/>
    <n v="110851.1"/>
    <n v="13"/>
    <n v="0"/>
    <n v="2617.7499999999918"/>
    <n v="2.3615011488383891E-2"/>
    <x v="0"/>
    <n v="113468.84999999999"/>
    <n v="1"/>
    <n v="0"/>
  </r>
  <r>
    <s v="PO-00769"/>
    <x v="2"/>
    <x v="174"/>
    <d v="2022-11-22T00:00:00"/>
    <x v="3"/>
    <x v="1"/>
    <n v="446"/>
    <n v="20.61"/>
    <n v="19.46"/>
    <n v="14"/>
    <x v="0"/>
    <n v="8679.16"/>
    <n v="6"/>
    <n v="3.1390134529147982E-2"/>
    <n v="512.89999999999941"/>
    <n v="5.9095580678314427E-2"/>
    <x v="0"/>
    <n v="9192.06"/>
    <n v="1"/>
    <n v="0"/>
  </r>
  <r>
    <s v="PO-00770"/>
    <x v="4"/>
    <x v="400"/>
    <m/>
    <x v="0"/>
    <x v="1"/>
    <n v="748"/>
    <n v="85.95"/>
    <n v="79.16"/>
    <n v="32"/>
    <x v="0"/>
    <n v="59211.68"/>
    <s v=""/>
    <n v="4.2780748663101602E-2"/>
    <n v="5078.9200000000046"/>
    <n v="8.5775644264780265E-2"/>
    <x v="1"/>
    <n v="64290.6"/>
    <n v="1"/>
    <n v="0"/>
  </r>
  <r>
    <s v="PO-00771"/>
    <x v="0"/>
    <x v="374"/>
    <d v="2023-12-03T00:00:00"/>
    <x v="4"/>
    <x v="3"/>
    <n v="1092"/>
    <n v="65.17"/>
    <n v="63.11"/>
    <n v="21"/>
    <x v="0"/>
    <n v="68916.12"/>
    <n v="8"/>
    <n v="1.9230769230769232E-2"/>
    <n v="2249.5200000000023"/>
    <n v="3.2641419743305373E-2"/>
    <x v="0"/>
    <n v="71165.64"/>
    <n v="1"/>
    <n v="0"/>
  </r>
  <r>
    <s v="PO-00772"/>
    <x v="3"/>
    <x v="474"/>
    <d v="2023-02-02T00:00:00"/>
    <x v="4"/>
    <x v="1"/>
    <n v="226"/>
    <n v="102.47"/>
    <n v="99.16"/>
    <n v="28"/>
    <x v="0"/>
    <n v="22410.16"/>
    <n v="13"/>
    <n v="0.12389380530973451"/>
    <n v="748.06000000000051"/>
    <n v="3.3380395320693854E-2"/>
    <x v="0"/>
    <n v="23158.22"/>
    <n v="1"/>
    <n v="0"/>
  </r>
  <r>
    <s v="PO-00773"/>
    <x v="1"/>
    <x v="475"/>
    <d v="2023-02-20T00:00:00"/>
    <x v="4"/>
    <x v="1"/>
    <n v="1685"/>
    <n v="43.42"/>
    <n v="42.24"/>
    <n v="262"/>
    <x v="0"/>
    <n v="71174.400000000009"/>
    <n v="9"/>
    <n v="0.15548961424332344"/>
    <n v="1988.2999999999995"/>
    <n v="2.793560606060605E-2"/>
    <x v="0"/>
    <n v="73162.7"/>
    <n v="1"/>
    <n v="0"/>
  </r>
  <r>
    <s v="PO-00774"/>
    <x v="0"/>
    <x v="22"/>
    <m/>
    <x v="0"/>
    <x v="1"/>
    <n v="445"/>
    <n v="68.94"/>
    <n v="60.35"/>
    <n v="7"/>
    <x v="0"/>
    <n v="26855.75"/>
    <s v=""/>
    <n v="1.5730337078651686E-2"/>
    <n v="3822.5499999999984"/>
    <n v="0.14233637116818551"/>
    <x v="1"/>
    <n v="30678.3"/>
    <n v="1"/>
    <n v="0"/>
  </r>
  <r>
    <s v="PO-00775"/>
    <x v="2"/>
    <x v="225"/>
    <d v="2022-04-07T00:00:00"/>
    <x v="3"/>
    <x v="1"/>
    <n v="494"/>
    <n v="94.82"/>
    <n v="81.89"/>
    <n v="29"/>
    <x v="0"/>
    <n v="40453.660000000003"/>
    <n v="19"/>
    <n v="5.8704453441295545E-2"/>
    <n v="6387.4199999999964"/>
    <n v="0.15789473684210517"/>
    <x v="1"/>
    <n v="46841.079999999994"/>
    <n v="1"/>
    <n v="0"/>
  </r>
  <r>
    <s v="PO-00776"/>
    <x v="3"/>
    <x v="451"/>
    <d v="2023-09-11T00:00:00"/>
    <x v="1"/>
    <x v="1"/>
    <n v="1306"/>
    <n v="21.05"/>
    <n v="18.27"/>
    <n v="128"/>
    <x v="0"/>
    <n v="23860.62"/>
    <n v="12"/>
    <n v="9.8009188361408886E-2"/>
    <n v="3630.6800000000017"/>
    <n v="0.15216201423097983"/>
    <x v="0"/>
    <n v="27491.3"/>
    <n v="1"/>
    <n v="0"/>
  </r>
  <r>
    <s v="PO-00777"/>
    <x v="3"/>
    <x v="319"/>
    <d v="2023-12-11T00:00:00"/>
    <x v="0"/>
    <x v="1"/>
    <n v="1988"/>
    <n v="105.2"/>
    <n v="93.23"/>
    <n v="187"/>
    <x v="0"/>
    <n v="185341.24000000002"/>
    <n v="2"/>
    <n v="9.406438631790745E-2"/>
    <n v="23796.359999999997"/>
    <n v="0.12839214845006969"/>
    <x v="0"/>
    <n v="209137.6"/>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BBB339-4FC6-42DC-8061-A4DB2234F760}" name="PivotTable19"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4:C68" firstHeaderRow="1" firstDataRow="1" firstDataCol="1"/>
  <pivotFields count="23">
    <pivotField showAll="0"/>
    <pivotField showAll="0">
      <items count="6">
        <item x="0"/>
        <item x="3"/>
        <item x="1"/>
        <item x="4"/>
        <item x="2"/>
        <item t="default"/>
      </items>
    </pivotField>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pivotField showAll="0">
      <items count="6">
        <item x="4"/>
        <item x="1"/>
        <item x="0"/>
        <item x="2"/>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6">
        <item x="0"/>
        <item x="1"/>
        <item x="2"/>
        <item x="3"/>
        <item x="4"/>
        <item t="default"/>
      </items>
    </pivotField>
  </pivotFields>
  <rowFields count="1">
    <field x="22"/>
  </rowFields>
  <rowItems count="4">
    <i>
      <x v="1"/>
    </i>
    <i>
      <x v="2"/>
    </i>
    <i>
      <x v="3"/>
    </i>
    <i t="grand">
      <x/>
    </i>
  </rowItems>
  <colItems count="1">
    <i/>
  </colItems>
  <dataFields count="1">
    <dataField name="Average of Savings %" fld="15" subtotal="average" baseField="0" baseItem="2" numFmtId="171"/>
  </dataFields>
  <formats count="1">
    <format dxfId="21">
      <pivotArea outline="0" collapsedLevelsAreSubtotals="1" fieldPosition="0">
        <references count="1">
          <reference field="4294967294" count="1" selected="0">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C7F9F1-0FD0-4181-8319-0D9A184354D1}" name="PivotTable18"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M89:N92" firstHeaderRow="1" firstDataRow="1" firstDataCol="1"/>
  <pivotFields count="23">
    <pivotField compact="0" outline="0" showAll="0"/>
    <pivotField compact="0" outline="0" showAll="0"/>
    <pivotField compact="0" numFmtId="14" outline="0"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3">
        <item x="1"/>
        <item x="0"/>
        <item t="default"/>
      </items>
    </pivotField>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6"/>
  </rowFields>
  <rowItems count="3">
    <i>
      <x/>
    </i>
    <i>
      <x v="1"/>
    </i>
    <i t="grand">
      <x/>
    </i>
  </rowItems>
  <colItems count="1">
    <i/>
  </colItems>
  <dataFields count="1">
    <dataField name="Count of On-Time Delivery %" fld="16"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6" count="1" selected="0">
            <x v="0"/>
          </reference>
        </references>
      </pivotArea>
    </chartFormat>
    <chartFormat chart="3" format="6">
      <pivotArea type="data" outline="0" fieldPosition="0">
        <references count="2">
          <reference field="4294967294" count="1" selected="0">
            <x v="0"/>
          </reference>
          <reference field="16"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D2A255-7DF4-46D8-B3D6-2253F43B6414}" name="PivotTable17" cacheId="6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3">
  <location ref="J100:K105" firstHeaderRow="1" firstDataRow="1" firstDataCol="1"/>
  <pivotFields count="23">
    <pivotField compact="0" outline="0" showAll="0"/>
    <pivotField axis="axisRow" compact="0" outline="0" showAll="0" sortType="ascending">
      <items count="6">
        <item x="0"/>
        <item x="3"/>
        <item x="1"/>
        <item x="4"/>
        <item x="2"/>
        <item t="default"/>
      </items>
      <autoSortScope>
        <pivotArea dataOnly="0" outline="0" fieldPosition="0">
          <references count="1">
            <reference field="4294967294" count="1" selected="0">
              <x v="0"/>
            </reference>
          </references>
        </pivotArea>
      </autoSortScope>
    </pivotField>
    <pivotField compact="0" numFmtId="14" outline="0"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
  </rowFields>
  <rowItems count="5">
    <i>
      <x/>
    </i>
    <i>
      <x v="3"/>
    </i>
    <i>
      <x v="4"/>
    </i>
    <i>
      <x v="1"/>
    </i>
    <i>
      <x v="2"/>
    </i>
  </rowItems>
  <colItems count="1">
    <i/>
  </colItems>
  <dataFields count="1">
    <dataField name="Average of Defect Rate" fld="13" subtotal="average" baseField="1" baseItem="0" numFmtId="9"/>
  </dataFields>
  <formats count="1">
    <format dxfId="3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8AE6AD-455E-4526-A1FD-52E04C7150A7}" name="PivotTable14"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89:K92" firstHeaderRow="1" firstDataRow="1" firstDataCol="1"/>
  <pivotFields count="23">
    <pivotField compact="0" outline="0" showAll="0"/>
    <pivotField compact="0" outline="0" showAll="0"/>
    <pivotField compact="0" numFmtId="14" outline="0"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0"/>
  </rowFields>
  <rowItems count="3">
    <i>
      <x/>
    </i>
    <i>
      <x v="1"/>
    </i>
    <i t="grand">
      <x/>
    </i>
  </rowItems>
  <colItems count="1">
    <i/>
  </colItems>
  <dataFields count="1">
    <dataField name="Count of Compliance" fld="10" subtotal="count"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49F25C-C0D7-405E-B8BC-4128758F8168}" name="PivotTable13" cacheId="61"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J65:L72" firstHeaderRow="1" firstDataRow="2" firstDataCol="1"/>
  <pivotFields count="23">
    <pivotField compact="0" outline="0" showAll="0"/>
    <pivotField axis="axisRow" compact="0" outline="0" showAll="0">
      <items count="6">
        <item x="0"/>
        <item x="3"/>
        <item x="1"/>
        <item x="4"/>
        <item x="2"/>
        <item t="default"/>
      </items>
    </pivotField>
    <pivotField compact="0" numFmtId="14" outline="0"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
  </rowFields>
  <rowItems count="6">
    <i>
      <x/>
    </i>
    <i>
      <x v="1"/>
    </i>
    <i>
      <x v="2"/>
    </i>
    <i>
      <x v="3"/>
    </i>
    <i>
      <x v="4"/>
    </i>
    <i t="grand">
      <x/>
    </i>
  </rowItems>
  <colFields count="1">
    <field x="10"/>
  </colFields>
  <colItems count="2">
    <i>
      <x/>
    </i>
    <i>
      <x v="1"/>
    </i>
  </colItems>
  <dataFields count="1">
    <dataField name="Count of Compliance" fld="10" subtotal="count"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3EB52E-94B8-47C4-9751-CC560C5C590A}" name="PivotTable12"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50:O56" firstHeaderRow="0" firstDataRow="1" firstDataCol="1"/>
  <pivotFields count="23">
    <pivotField dataField="1" compact="0" outline="0" showAll="0"/>
    <pivotField axis="axisRow" compact="0" outline="0" showAll="0">
      <items count="6">
        <item x="0"/>
        <item x="3"/>
        <item x="1"/>
        <item x="4"/>
        <item x="2"/>
        <item t="default"/>
      </items>
    </pivotField>
    <pivotField compact="0" numFmtId="14" outline="0"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
  </rowFields>
  <rowItems count="6">
    <i>
      <x/>
    </i>
    <i>
      <x v="1"/>
    </i>
    <i>
      <x v="2"/>
    </i>
    <i>
      <x v="3"/>
    </i>
    <i>
      <x v="4"/>
    </i>
    <i t="grand">
      <x/>
    </i>
  </rowItems>
  <colFields count="1">
    <field x="-2"/>
  </colFields>
  <colItems count="5">
    <i>
      <x/>
    </i>
    <i i="1">
      <x v="1"/>
    </i>
    <i i="2">
      <x v="2"/>
    </i>
    <i i="3">
      <x v="3"/>
    </i>
    <i i="4">
      <x v="4"/>
    </i>
  </colItems>
  <dataFields count="5">
    <dataField name="Sum of Quantity" fld="6" baseField="0" baseItem="0"/>
    <dataField name="Sum of Defective_Units" fld="9" baseField="0" baseItem="0"/>
    <dataField name="Count of PO_ID" fld="0" subtotal="count" baseField="0" baseItem="0"/>
    <dataField name="Sum of Compliance Flag" fld="18" baseField="0" baseItem="0"/>
    <dataField name="Sum of Non-Compliance Flag" fld="19"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0DB37C-D202-41DF-8857-63F53756E853}" name="PivotTable11"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77:L80" firstHeaderRow="0" firstDataRow="1" firstDataCol="1"/>
  <pivotFields count="23">
    <pivotField compact="0" outline="0" showAll="0"/>
    <pivotField compact="0" outline="0" showAll="0"/>
    <pivotField compact="0" numFmtId="14" outline="0"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3">
        <item x="1"/>
        <item x="0"/>
        <item t="default"/>
      </items>
    </pivotField>
    <pivotField compact="0" outline="0" showAll="0"/>
    <pivotField dataField="1"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6"/>
  </rowFields>
  <rowItems count="3">
    <i>
      <x/>
    </i>
    <i>
      <x v="1"/>
    </i>
    <i t="grand">
      <x/>
    </i>
  </rowItems>
  <colFields count="1">
    <field x="-2"/>
  </colFields>
  <colItems count="2">
    <i>
      <x/>
    </i>
    <i i="1">
      <x v="1"/>
    </i>
  </colItems>
  <dataFields count="2">
    <dataField name="Count of On-Time Delivery %" fld="16" subtotal="count" baseField="0" baseItem="0"/>
    <dataField name="Count of Compliance Flag" fld="18" subtotal="count" baseField="16"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3EB3E4-1270-41DD-A6AD-346B16AF6059}" name="PivotTable10"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39:O45" firstHeaderRow="0" firstDataRow="1" firstDataCol="1"/>
  <pivotFields count="23">
    <pivotField dataField="1" compact="0" outline="0" showAll="0"/>
    <pivotField compact="0" outline="0" showAll="0"/>
    <pivotField compact="0" numFmtId="14" outline="0"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compact="0" outline="0" showAll="0"/>
    <pivotField axis="axisRow" compact="0" outline="0" showAll="0">
      <items count="6">
        <item x="4"/>
        <item x="1"/>
        <item x="0"/>
        <item x="2"/>
        <item x="3"/>
        <item t="default"/>
      </items>
    </pivotField>
    <pivotField compact="0" outline="0" showAll="0"/>
    <pivotField dataField="1"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4"/>
  </rowFields>
  <rowItems count="6">
    <i>
      <x/>
    </i>
    <i>
      <x v="1"/>
    </i>
    <i>
      <x v="2"/>
    </i>
    <i>
      <x v="3"/>
    </i>
    <i>
      <x v="4"/>
    </i>
    <i t="grand">
      <x/>
    </i>
  </rowItems>
  <colFields count="1">
    <field x="-2"/>
  </colFields>
  <colItems count="5">
    <i>
      <x/>
    </i>
    <i i="1">
      <x v="1"/>
    </i>
    <i i="2">
      <x v="2"/>
    </i>
    <i i="3">
      <x v="3"/>
    </i>
    <i i="4">
      <x v="4"/>
    </i>
  </colItems>
  <dataFields count="5">
    <dataField name="Sum of Quantity" fld="6" baseField="0" baseItem="0"/>
    <dataField name="Sum of Defective_Units" fld="9" baseField="0" baseItem="0"/>
    <dataField name="Count of PO_ID" fld="0" subtotal="count" baseField="0" baseItem="0"/>
    <dataField name="Sum of Compliance Flag" fld="18" baseField="0" baseItem="0"/>
    <dataField name="Sum of Non-Compliance Flag" fld="19"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616575-3B3C-45BD-98F3-E7BBFCB898C8}" name="PivotTable9"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27:L33" firstHeaderRow="0" firstDataRow="1" firstDataCol="1"/>
  <pivotFields count="23">
    <pivotField dataField="1" compact="0" outline="0" showAll="0"/>
    <pivotField axis="axisRow" compact="0" outline="0" showAll="0" sortType="ascending">
      <items count="6">
        <item x="0"/>
        <item x="3"/>
        <item x="1"/>
        <item x="4"/>
        <item x="2"/>
        <item t="default"/>
      </items>
      <autoSortScope>
        <pivotArea dataOnly="0" outline="0" fieldPosition="0">
          <references count="1">
            <reference field="4294967294" count="1" selected="0">
              <x v="0"/>
            </reference>
          </references>
        </pivotArea>
      </autoSortScope>
    </pivotField>
    <pivotField compact="0" numFmtId="14" outline="0"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
  </rowFields>
  <rowItems count="6">
    <i>
      <x v="4"/>
    </i>
    <i>
      <x/>
    </i>
    <i>
      <x v="2"/>
    </i>
    <i>
      <x v="3"/>
    </i>
    <i>
      <x v="1"/>
    </i>
    <i t="grand">
      <x/>
    </i>
  </rowItems>
  <colFields count="1">
    <field x="-2"/>
  </colFields>
  <colItems count="2">
    <i>
      <x/>
    </i>
    <i i="1">
      <x v="1"/>
    </i>
  </colItems>
  <dataFields count="2">
    <dataField name="Average of Lead Time" fld="12" subtotal="average" baseField="1" baseItem="0" numFmtId="179"/>
    <dataField name="Count of PO_ID" fld="0" subtotal="count" baseField="0" baseItem="0"/>
  </dataFields>
  <formats count="1">
    <format dxfId="32">
      <pivotArea outline="0" fieldPosition="0">
        <references count="1">
          <reference field="4294967294" count="1" selected="0">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593D7D-8DD5-4D79-83A8-FA19FF27176C}" name="PivotTable8"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18:K21" firstHeaderRow="1" firstDataRow="1" firstDataCol="1"/>
  <pivotFields count="23">
    <pivotField compact="0" outline="0" showAll="0"/>
    <pivotField compact="0" outline="0" showAll="0"/>
    <pivotField compact="0" numFmtId="14" outline="0"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3">
        <item x="1"/>
        <item x="0"/>
        <item t="default"/>
      </items>
    </pivotField>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6"/>
  </rowFields>
  <rowItems count="3">
    <i>
      <x/>
    </i>
    <i>
      <x v="1"/>
    </i>
    <i t="grand">
      <x/>
    </i>
  </rowItems>
  <colItems count="1">
    <i/>
  </colItems>
  <dataFields count="1">
    <dataField name="Count of On-Time Delivery %" fld="16" subtotal="count"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362A17D-4EF3-43F6-9229-08CE1A1FC933}" name="PivotTable7" cacheId="6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4">
  <location ref="J7:K12" firstHeaderRow="1" firstDataRow="1" firstDataCol="1"/>
  <pivotFields count="23">
    <pivotField compact="0" outline="0" showAll="0"/>
    <pivotField axis="axisRow" compact="0" outline="0" showAll="0" sortType="ascending">
      <items count="6">
        <item x="0"/>
        <item x="3"/>
        <item x="1"/>
        <item x="4"/>
        <item x="2"/>
        <item t="default"/>
      </items>
      <autoSortScope>
        <pivotArea dataOnly="0" outline="0" fieldPosition="0">
          <references count="1">
            <reference field="4294967294" count="1" selected="0">
              <x v="0"/>
            </reference>
          </references>
        </pivotArea>
      </autoSortScope>
    </pivotField>
    <pivotField compact="0" numFmtId="14" outline="0"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
  </rowFields>
  <rowItems count="5">
    <i>
      <x/>
    </i>
    <i>
      <x v="4"/>
    </i>
    <i>
      <x v="1"/>
    </i>
    <i>
      <x v="3"/>
    </i>
    <i>
      <x v="2"/>
    </i>
  </rowItems>
  <colItems count="1">
    <i/>
  </colItems>
  <dataFields count="1">
    <dataField name="Count of Compliance" fld="1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B9548D-DB9A-4AEA-AB71-9DEE9F81A978}" name="PivotTable6"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O4" firstHeaderRow="0" firstDataRow="1" firstDataCol="0"/>
  <pivotFields count="23">
    <pivotField showAll="0"/>
    <pivotField showAll="0"/>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dataField="1"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6">
    <i>
      <x/>
    </i>
    <i i="1">
      <x v="1"/>
    </i>
    <i i="2">
      <x v="2"/>
    </i>
    <i i="3">
      <x v="3"/>
    </i>
    <i i="4">
      <x v="4"/>
    </i>
    <i i="5">
      <x v="5"/>
    </i>
  </colItems>
  <dataFields count="6">
    <dataField name="Count of On-Time Delivery %" fld="16" subtotal="count" baseField="0" baseItem="0"/>
    <dataField name="Average of Lead Time" fld="12" subtotal="average" baseField="0" baseItem="1" numFmtId="1"/>
    <dataField name="Count of Compliance Flag" fld="18" subtotal="count" baseField="0" baseItem="2"/>
    <dataField name="Count of Non-Compliance Flag" fld="19" subtotal="count" baseField="0" baseItem="3"/>
    <dataField name="Sum of Defective_Units" fld="9" baseField="0" baseItem="0"/>
    <dataField name="Average of Defective_Units2" fld="9" subtotal="average" baseField="0" baseItem="5" numFmtId="179"/>
  </dataFields>
  <formats count="2">
    <format dxfId="34">
      <pivotArea outline="0" collapsedLevelsAreSubtotals="1" fieldPosition="0">
        <references count="1">
          <reference field="4294967294" count="1" selected="0">
            <x v="5"/>
          </reference>
        </references>
      </pivotArea>
    </format>
    <format dxfId="33">
      <pivotArea outline="0" collapsedLevelsAreSubtotals="1" fieldPosition="0">
        <references count="1">
          <reference field="4294967294" count="1" selected="0">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33CD4EA-A83D-475F-9541-AF082C558341}" name="PivotTable5" cacheId="6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8">
  <location ref="B50:E54" firstHeaderRow="0" firstDataRow="1" firstDataCol="1"/>
  <pivotFields count="23">
    <pivotField compact="0" outline="0" showAll="0"/>
    <pivotField compact="0" outline="0" showAll="0"/>
    <pivotField compact="0" numFmtId="14" outline="0"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compact="0" outline="0" showAll="0"/>
    <pivotField compact="0" outline="0" showAll="0"/>
    <pivotField axis="axisRow" dataField="1" compact="0" outline="0"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5"/>
  </rowFields>
  <rowItems count="4">
    <i>
      <x v="1"/>
    </i>
    <i>
      <x v="3"/>
    </i>
    <i>
      <x v="2"/>
    </i>
    <i>
      <x/>
    </i>
  </rowItems>
  <colFields count="1">
    <field x="-2"/>
  </colFields>
  <colItems count="3">
    <i>
      <x/>
    </i>
    <i i="1">
      <x v="1"/>
    </i>
    <i i="2">
      <x v="2"/>
    </i>
  </colItems>
  <dataFields count="3">
    <dataField name="Count of Order_Status" fld="5" subtotal="count" baseField="0" baseItem="0"/>
    <dataField name="Sum of Total Spend" fld="11" baseField="0" baseItem="0"/>
    <dataField name="Sum of Total Savings" fld="14"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8B61F27-3B06-40A9-890B-1B47AF5ACAA2}" name="PivotTable4" cacheId="6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5">
  <location ref="B42:C47" firstHeaderRow="1" firstDataRow="1" firstDataCol="1"/>
  <pivotFields count="23">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numFmtId="14" outline="0"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compact="0" outline="0" showAll="0"/>
    <pivotField axis="axisRow" compact="0" outline="0"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4"/>
  </rowFields>
  <rowItems count="5">
    <i>
      <x v="1"/>
    </i>
    <i>
      <x v="2"/>
    </i>
    <i>
      <x/>
    </i>
    <i>
      <x v="4"/>
    </i>
    <i>
      <x v="3"/>
    </i>
  </rowItems>
  <colItems count="1">
    <i/>
  </colItems>
  <dataFields count="1">
    <dataField name="Sum of Total Spend" fld="11" baseField="0" baseItem="0"/>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4"/>
          </reference>
        </references>
      </pivotArea>
    </chartFormat>
    <chartFormat chart="2" format="7">
      <pivotArea type="data" outline="0" fieldPosition="0">
        <references count="2">
          <reference field="4294967294" count="1" selected="0">
            <x v="0"/>
          </reference>
          <reference field="4"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D1EC451-EDD5-43DC-A3C3-F35A29C46CE9}" name="PivotTable3" cacheId="6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5">
  <location ref="B32:C37" firstHeaderRow="1" firstDataRow="1" firstDataCol="1"/>
  <pivotFields count="23">
    <pivotField compact="0" outline="0" showAll="0"/>
    <pivotField axis="axisRow" compact="0" outline="0" showAll="0" sortType="descending">
      <items count="6">
        <item x="0"/>
        <item x="3"/>
        <item x="1"/>
        <item x="4"/>
        <item x="2"/>
        <item t="default"/>
      </items>
      <autoSortScope>
        <pivotArea dataOnly="0" outline="0" fieldPosition="0">
          <references count="1">
            <reference field="4294967294" count="1" selected="0">
              <x v="0"/>
            </reference>
          </references>
        </pivotArea>
      </autoSortScope>
    </pivotField>
    <pivotField compact="0" numFmtId="14" outline="0"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
  </rowFields>
  <rowItems count="5">
    <i>
      <x v="1"/>
    </i>
    <i>
      <x v="3"/>
    </i>
    <i>
      <x v="2"/>
    </i>
    <i>
      <x v="4"/>
    </i>
    <i>
      <x/>
    </i>
  </rowItems>
  <colItems count="1">
    <i/>
  </colItems>
  <dataFields count="1">
    <dataField name="Sum of Total Spend" fld="11" baseField="0" baseItem="0"/>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4"/>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FEBACA9-2D2B-4C04-9096-C7B668A9D0AD}" name="PivotTable2" cacheId="6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5">
  <location ref="B12:C24" firstHeaderRow="1" firstDataRow="1" firstDataCol="1"/>
  <pivotFields count="23">
    <pivotField dataField="1" compact="0" outline="0" showAll="0"/>
    <pivotField compact="0" outline="0" showAll="0"/>
    <pivotField compact="0" numFmtId="14" outline="0"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s>
  <rowFields count="1">
    <field x="20"/>
  </rowFields>
  <rowItems count="12">
    <i>
      <x v="1"/>
    </i>
    <i>
      <x v="2"/>
    </i>
    <i>
      <x v="3"/>
    </i>
    <i>
      <x v="4"/>
    </i>
    <i>
      <x v="5"/>
    </i>
    <i>
      <x v="6"/>
    </i>
    <i>
      <x v="7"/>
    </i>
    <i>
      <x v="8"/>
    </i>
    <i>
      <x v="9"/>
    </i>
    <i>
      <x v="10"/>
    </i>
    <i>
      <x v="11"/>
    </i>
    <i>
      <x v="12"/>
    </i>
  </rowItems>
  <colItems count="1">
    <i/>
  </colItems>
  <dataFields count="1">
    <dataField name="Count of PO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BECC5D5-95D8-4704-87E2-C728791DE656}" name="PivotTable1"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23">
    <pivotField dataField="1" showAll="0"/>
    <pivotField showAll="0">
      <items count="6">
        <item x="0"/>
        <item x="3"/>
        <item x="1"/>
        <item x="4"/>
        <item x="2"/>
        <item t="default"/>
      </items>
    </pivotField>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pivotField dataField="1"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pend" fld="11" baseField="0" baseItem="0"/>
    <dataField name="Sum of Total Savings" fld="14" baseField="0" baseItem="0"/>
    <dataField name="Average of Savings %" fld="15" subtotal="average" baseField="0" baseItem="2" numFmtId="171"/>
    <dataField name="Count of PO_ID" fld="0" subtotal="count" baseField="0" baseItem="0"/>
  </dataFields>
  <formats count="1">
    <format dxfId="23">
      <pivotArea outline="0" collapsedLevelsAreSubtotals="1" fieldPosition="0">
        <references count="1">
          <reference field="4294967294" count="1" selected="0">
            <x v="2"/>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2F82E32-F559-44F8-AE6A-5C9E0FC9D0ED}" autoFormatId="16" applyNumberFormats="0" applyBorderFormats="0" applyFontFormats="0" applyPatternFormats="0" applyAlignmentFormats="0" applyWidthHeightFormats="0">
  <queryTableRefresh nextId="22" unboundColumnsRight="9">
    <queryTableFields count="20">
      <queryTableField id="1" name="PO_ID" tableColumnId="1"/>
      <queryTableField id="2" name="Supplier" tableColumnId="2"/>
      <queryTableField id="3" name="Order_Date" tableColumnId="3"/>
      <queryTableField id="4" name="Delivery_Date" tableColumnId="4"/>
      <queryTableField id="5" name="Item_Category" tableColumnId="5"/>
      <queryTableField id="6" name="Order_Status" tableColumnId="6"/>
      <queryTableField id="7" name="Quantity" tableColumnId="7"/>
      <queryTableField id="8" name="Unit_Price" tableColumnId="8"/>
      <queryTableField id="9" name="Negotiated_Price" tableColumnId="9"/>
      <queryTableField id="10" name="Defective_Units" tableColumnId="10"/>
      <queryTableField id="11" name="Compliance"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 xr10:uid="{585F1BF9-9B51-43D5-BF45-A34FEFFE3E55}" sourceName="Item_Category">
  <pivotTables>
    <pivotTable tabId="3" name="PivotTable1"/>
    <pivotTable tabId="3" name="PivotTable19"/>
  </pivotTables>
  <data>
    <tabular pivotCacheId="1571882447">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27C0A6AD-8FCA-4476-9EBB-BCC50D8D8066}" sourceName="Supplier">
  <pivotTables>
    <pivotTable tabId="3" name="PivotTable1"/>
    <pivotTable tabId="3" name="PivotTable19"/>
  </pivotTables>
  <data>
    <tabular pivotCacheId="1571882447">
      <items count="5">
        <i x="0" s="1"/>
        <i x="3"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5E8BB55-0ECE-416C-8247-BA328B187CC8}" sourceName="Years (Order_Date)">
  <pivotTables>
    <pivotTable tabId="3" name="PivotTable1"/>
    <pivotTable tabId="3" name="PivotTable19"/>
  </pivotTables>
  <data>
    <tabular pivotCacheId="1571882447">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Category" xr10:uid="{434C4CAA-78AE-4A3B-A160-0A1DEA92CFBB}" cache="Slicer_Item_Category" caption="Item_Category" style="slic" rowHeight="234950"/>
  <slicer name="Supplier 1" xr10:uid="{6698D121-14CC-4F16-9FEC-68EBBBCDAAAC}" cache="Slicer_Supplier" caption="Supplier" style="slic" rowHeight="234950"/>
  <slicer name="Years (Order_Date) 2" xr10:uid="{ECE207C8-78B1-45A7-BBE3-F0C1528A7ED3}" cache="Slicer_Years__Order_Date" caption="Years (Order_Date)" style="slic"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Category 1" xr10:uid="{194B3776-D6C2-4CE8-8891-A03E7A01DDD1}" cache="Slicer_Item_Category" caption="Item_Category" style="slic" rowHeight="234950"/>
  <slicer name="Supplier 2" xr10:uid="{801B3089-5424-46C6-8CA9-E154DC7A3582}" cache="Slicer_Supplier" caption="Supplier" style="slic" rowHeight="234950"/>
  <slicer name="Years (Order_Date) 1" xr10:uid="{F073BC18-ADA9-43C8-A427-925AEC13AD22}" cache="Slicer_Years__Order_Date" caption="Years (Order_Date)" style="slic"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15BC3D-47AD-4893-9A3B-EAF01E75F24F}" name="Table1" displayName="Table1" ref="A1:K778" totalsRowShown="0">
  <autoFilter ref="A1:K778" xr:uid="{2D15BC3D-47AD-4893-9A3B-EAF01E75F24F}"/>
  <tableColumns count="11">
    <tableColumn id="1" xr3:uid="{0FA7EDB5-4B3D-4069-A7D9-8DA961642B7E}" name="PO_ID"/>
    <tableColumn id="2" xr3:uid="{7DB3B9D8-A702-476B-B234-E33E6170812D}" name="Supplier"/>
    <tableColumn id="3" xr3:uid="{F4483225-19FC-40B4-954B-E4262B805FCF}" name="Order_Date" dataDxfId="38"/>
    <tableColumn id="4" xr3:uid="{74394139-5FD7-4294-946B-9885877CD6DF}" name="Delivery_Date" dataDxfId="37"/>
    <tableColumn id="5" xr3:uid="{12CB3C03-F59A-45B8-B62C-4FAA6FEFF6D3}" name="Item_Category"/>
    <tableColumn id="6" xr3:uid="{D3EBAE29-6AB5-48CF-823D-5E8150660C89}" name="Order_Status"/>
    <tableColumn id="7" xr3:uid="{442CC588-E562-48EA-887C-A1C845E16875}" name="Quantity"/>
    <tableColumn id="8" xr3:uid="{A5A76C3C-8DCD-4977-A0FD-0EB010D74C9B}" name="Unit_Price"/>
    <tableColumn id="9" xr3:uid="{9BE4525F-072E-4BB3-8709-34098D1BB245}" name="Negotiated_Price"/>
    <tableColumn id="10" xr3:uid="{9B2F2747-630C-4183-98C5-0CB4E964BD07}" name="Defective_Units"/>
    <tableColumn id="11" xr3:uid="{707E55AC-43FC-4FF6-AE2A-8722D7997657}" name="Complian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54D965-1247-4166-A0F4-C1071435EABB}" name="Procurement_kpi_Analysis" displayName="Procurement_kpi_Analysis" ref="A1:T778" tableType="queryTable" totalsRowShown="0">
  <autoFilter ref="A1:T778" xr:uid="{6054D965-1247-4166-A0F4-C1071435EABB}"/>
  <tableColumns count="20">
    <tableColumn id="1" xr3:uid="{34275DA2-1EED-43C4-B236-146202825242}" uniqueName="1" name="PO_ID" queryTableFieldId="1" dataDxfId="43"/>
    <tableColumn id="2" xr3:uid="{40C32A88-1BAC-4C99-8A09-41B5C0147A8B}" uniqueName="2" name="Supplier" queryTableFieldId="2" dataDxfId="42"/>
    <tableColumn id="3" xr3:uid="{727AFCEF-3CE9-4D87-AB43-F1D4599E3DEE}" uniqueName="3" name="Order_Date" queryTableFieldId="3" dataDxfId="10"/>
    <tableColumn id="4" xr3:uid="{88F04AA7-1F00-419A-9C48-33403E999C95}" uniqueName="4" name="Delivery_Date" queryTableFieldId="4" dataDxfId="9"/>
    <tableColumn id="5" xr3:uid="{2F50B7B4-39B5-4FAC-A806-F552C57D94E4}" uniqueName="5" name="Item_Category" queryTableFieldId="5" dataDxfId="41"/>
    <tableColumn id="6" xr3:uid="{4D79BE97-7754-4EC0-8BBE-6493E2C900AC}" uniqueName="6" name="Order_Status" queryTableFieldId="6" dataDxfId="40"/>
    <tableColumn id="7" xr3:uid="{BC70801F-5153-4EE7-B962-0DA817CCC950}" uniqueName="7" name="Quantity" queryTableFieldId="7"/>
    <tableColumn id="8" xr3:uid="{4620C3F7-1E50-436E-9649-CD1331A647B6}" uniqueName="8" name="Unit_Price" queryTableFieldId="8"/>
    <tableColumn id="9" xr3:uid="{18A61BF2-7D58-4E66-9FB7-3E67208C9DC2}" uniqueName="9" name="Negotiated_Price" queryTableFieldId="9"/>
    <tableColumn id="10" xr3:uid="{5C5A3B88-8ADA-4000-ACA7-614281228520}" uniqueName="10" name="Defective_Units" queryTableFieldId="10"/>
    <tableColumn id="11" xr3:uid="{37BB3F94-2D16-4070-B233-C45B5E4C60EC}" uniqueName="11" name="Compliance" queryTableFieldId="11" dataDxfId="39"/>
    <tableColumn id="12" xr3:uid="{A5D2E462-1260-4F8B-A0AC-B22CCEEBCE1F}" uniqueName="12" name="Total Spend" queryTableFieldId="12" dataDxfId="36">
      <calculatedColumnFormula>Procurement_kpi_Analysis[[#This Row],[Quantity]]*Procurement_kpi_Analysis[[#This Row],[Negotiated_Price]]</calculatedColumnFormula>
    </tableColumn>
    <tableColumn id="13" xr3:uid="{BD33A912-BFA6-4564-9066-04C961E5BF39}" uniqueName="13" name="Lead Time" queryTableFieldId="13" dataDxfId="35">
      <calculatedColumnFormula>IF(Procurement_kpi_Analysis[[#This Row],[Delivery_Date]]="","",Procurement_kpi_Analysis[[#This Row],[Delivery_Date]]-Procurement_kpi_Analysis[[#This Row],[Order_Date]])</calculatedColumnFormula>
    </tableColumn>
    <tableColumn id="14" xr3:uid="{C4A4A6E6-2F2C-4F4C-B4FB-CF3BF817578A}" uniqueName="14" name="Defect Rate" queryTableFieldId="14" dataDxfId="8">
      <calculatedColumnFormula>Procurement_kpi_Analysis[[#This Row],[Defective_Units]]/Procurement_kpi_Analysis[[#This Row],[Quantity]]</calculatedColumnFormula>
    </tableColumn>
    <tableColumn id="15" xr3:uid="{AFCEB5B9-FD88-46E7-A1B2-7A697C8BF45A}" uniqueName="15" name="Total Savings" queryTableFieldId="15" dataDxfId="7">
      <calculatedColumnFormula>(Procurement_kpi_Analysis[[#This Row],[Unit_Price]]-Procurement_kpi_Analysis[[#This Row],[Negotiated_Price]])*Procurement_kpi_Analysis[[#This Row],[Quantity]]</calculatedColumnFormula>
    </tableColumn>
    <tableColumn id="16" xr3:uid="{E53675E4-D637-4194-8C10-13E79AF4BF47}" uniqueName="16" name="Savings %" queryTableFieldId="16" dataDxfId="6">
      <calculatedColumnFormula>Procurement_kpi_Analysis[[#This Row],[Total Savings]]/Procurement_kpi_Analysis[[#This Row],[Total Spend]]</calculatedColumnFormula>
    </tableColumn>
    <tableColumn id="17" xr3:uid="{FB433460-F4D0-4E66-9FC0-7B8BDF353677}" uniqueName="17" name="On-Time Delivery %" queryTableFieldId="17" dataDxfId="5">
      <calculatedColumnFormula>IF(Procurement_kpi_Analysis[[#This Row],[Lead Time]]&lt;=14,"On Time","Late")</calculatedColumnFormula>
    </tableColumn>
    <tableColumn id="18" xr3:uid="{D81FFE31-D937-4C0D-B999-761FB85CEC00}" uniqueName="18" name="Original Cost" queryTableFieldId="18" dataDxfId="4">
      <calculatedColumnFormula>Procurement_kpi_Analysis[[#This Row],[Unit_Price]]*Procurement_kpi_Analysis[[#This Row],[Quantity]]</calculatedColumnFormula>
    </tableColumn>
    <tableColumn id="19" xr3:uid="{62125BE1-5D24-44FA-ADE5-49760AE22986}" uniqueName="19" name="Compliance Flag" queryTableFieldId="19" dataDxfId="3">
      <calculatedColumnFormula>IF(Procurement_kpi_Analysis[[#This Row],[Compliance]]="Yes",1,0)</calculatedColumnFormula>
    </tableColumn>
    <tableColumn id="20" xr3:uid="{D95E09A5-19B3-42C6-B1AF-8C212D29B95E}" uniqueName="20" name="Non-Compliance Flag" queryTableFieldId="20" dataDxfId="2">
      <calculatedColumnFormula>IF(Procurement_kpi_Analysis[[#This Row],[Compliance]]="No",1,0)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F8BA9-A86D-4468-982B-434DB295B480}">
  <dimension ref="A1:K778"/>
  <sheetViews>
    <sheetView workbookViewId="0">
      <selection sqref="A1:K778"/>
    </sheetView>
  </sheetViews>
  <sheetFormatPr defaultRowHeight="14.4" x14ac:dyDescent="0.3"/>
  <cols>
    <col min="1" max="1" width="23.88671875" customWidth="1"/>
    <col min="2" max="2" width="20.88671875" customWidth="1"/>
    <col min="3" max="3" width="25.6640625" customWidth="1"/>
    <col min="4" max="4" width="24.88671875" customWidth="1"/>
    <col min="5" max="5" width="18.6640625" customWidth="1"/>
    <col min="6" max="6" width="18.44140625" customWidth="1"/>
    <col min="7" max="7" width="17" customWidth="1"/>
    <col min="8" max="8" width="16.77734375" customWidth="1"/>
    <col min="9" max="9" width="18" customWidth="1"/>
    <col min="10" max="10" width="16.109375" customWidth="1"/>
    <col min="11" max="11" width="12.77734375"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s="1">
        <v>45216</v>
      </c>
      <c r="D2" s="1">
        <v>45224</v>
      </c>
      <c r="E2" t="s">
        <v>13</v>
      </c>
      <c r="F2" t="s">
        <v>14</v>
      </c>
      <c r="G2">
        <v>1176</v>
      </c>
      <c r="H2">
        <v>20.13</v>
      </c>
      <c r="I2">
        <v>17.809999999999999</v>
      </c>
      <c r="K2" t="s">
        <v>15</v>
      </c>
    </row>
    <row r="3" spans="1:11" x14ac:dyDescent="0.3">
      <c r="A3" t="s">
        <v>16</v>
      </c>
      <c r="B3" t="s">
        <v>17</v>
      </c>
      <c r="C3" s="1">
        <v>44676</v>
      </c>
      <c r="D3" s="1">
        <v>44686</v>
      </c>
      <c r="E3" t="s">
        <v>13</v>
      </c>
      <c r="F3" t="s">
        <v>18</v>
      </c>
      <c r="G3">
        <v>1509</v>
      </c>
      <c r="H3">
        <v>39.32</v>
      </c>
      <c r="I3">
        <v>37.340000000000003</v>
      </c>
      <c r="J3">
        <v>235</v>
      </c>
      <c r="K3" t="s">
        <v>15</v>
      </c>
    </row>
    <row r="4" spans="1:11" x14ac:dyDescent="0.3">
      <c r="A4" t="s">
        <v>19</v>
      </c>
      <c r="B4" t="s">
        <v>20</v>
      </c>
      <c r="C4" s="1">
        <v>44587</v>
      </c>
      <c r="D4" s="1">
        <v>44607</v>
      </c>
      <c r="E4" t="s">
        <v>21</v>
      </c>
      <c r="F4" t="s">
        <v>18</v>
      </c>
      <c r="G4">
        <v>910</v>
      </c>
      <c r="H4">
        <v>95.51</v>
      </c>
      <c r="I4">
        <v>92.26</v>
      </c>
      <c r="J4">
        <v>41</v>
      </c>
      <c r="K4" t="s">
        <v>15</v>
      </c>
    </row>
    <row r="5" spans="1:11" x14ac:dyDescent="0.3">
      <c r="A5" t="s">
        <v>22</v>
      </c>
      <c r="B5" t="s">
        <v>23</v>
      </c>
      <c r="C5" s="1">
        <v>44843</v>
      </c>
      <c r="D5" s="1">
        <v>44862</v>
      </c>
      <c r="E5" t="s">
        <v>24</v>
      </c>
      <c r="F5" t="s">
        <v>18</v>
      </c>
      <c r="G5">
        <v>1344</v>
      </c>
      <c r="H5">
        <v>99.85</v>
      </c>
      <c r="I5">
        <v>95.52</v>
      </c>
      <c r="J5">
        <v>112</v>
      </c>
      <c r="K5" t="s">
        <v>15</v>
      </c>
    </row>
    <row r="6" spans="1:11" x14ac:dyDescent="0.3">
      <c r="A6" t="s">
        <v>25</v>
      </c>
      <c r="B6" t="s">
        <v>17</v>
      </c>
      <c r="C6" s="1">
        <v>44812</v>
      </c>
      <c r="D6" s="1">
        <v>44824</v>
      </c>
      <c r="E6" t="s">
        <v>26</v>
      </c>
      <c r="F6" t="s">
        <v>18</v>
      </c>
      <c r="G6">
        <v>1180</v>
      </c>
      <c r="H6">
        <v>64.069999999999993</v>
      </c>
      <c r="I6">
        <v>60.53</v>
      </c>
      <c r="J6">
        <v>171</v>
      </c>
      <c r="K6" t="s">
        <v>27</v>
      </c>
    </row>
    <row r="7" spans="1:11" x14ac:dyDescent="0.3">
      <c r="A7" t="s">
        <v>28</v>
      </c>
      <c r="B7" t="s">
        <v>29</v>
      </c>
      <c r="C7" s="1">
        <v>44790</v>
      </c>
      <c r="D7" s="1">
        <v>44802</v>
      </c>
      <c r="E7" t="s">
        <v>21</v>
      </c>
      <c r="F7" t="s">
        <v>18</v>
      </c>
      <c r="G7">
        <v>1145</v>
      </c>
      <c r="H7">
        <v>69.209999999999994</v>
      </c>
      <c r="I7">
        <v>63.57</v>
      </c>
      <c r="J7">
        <v>39</v>
      </c>
      <c r="K7" t="s">
        <v>15</v>
      </c>
    </row>
    <row r="8" spans="1:11" x14ac:dyDescent="0.3">
      <c r="A8" t="s">
        <v>30</v>
      </c>
      <c r="B8" t="s">
        <v>20</v>
      </c>
      <c r="C8" s="1">
        <v>44704</v>
      </c>
      <c r="D8" s="1">
        <v>44715</v>
      </c>
      <c r="E8" t="s">
        <v>21</v>
      </c>
      <c r="F8" t="s">
        <v>18</v>
      </c>
      <c r="G8">
        <v>1774</v>
      </c>
      <c r="H8">
        <v>51.37</v>
      </c>
      <c r="I8">
        <v>47.82</v>
      </c>
      <c r="J8">
        <v>96</v>
      </c>
      <c r="K8" t="s">
        <v>27</v>
      </c>
    </row>
    <row r="9" spans="1:11" x14ac:dyDescent="0.3">
      <c r="A9" t="s">
        <v>31</v>
      </c>
      <c r="B9" t="s">
        <v>12</v>
      </c>
      <c r="C9" s="1">
        <v>44666</v>
      </c>
      <c r="D9" s="1">
        <v>44680</v>
      </c>
      <c r="E9" t="s">
        <v>21</v>
      </c>
      <c r="F9" t="s">
        <v>18</v>
      </c>
      <c r="G9">
        <v>1094</v>
      </c>
      <c r="H9">
        <v>36.93</v>
      </c>
      <c r="I9">
        <v>32.78</v>
      </c>
      <c r="J9">
        <v>22</v>
      </c>
      <c r="K9" t="s">
        <v>15</v>
      </c>
    </row>
    <row r="10" spans="1:11" x14ac:dyDescent="0.3">
      <c r="A10" t="s">
        <v>32</v>
      </c>
      <c r="B10" t="s">
        <v>20</v>
      </c>
      <c r="C10" s="1">
        <v>45254</v>
      </c>
      <c r="D10" s="1">
        <v>45258</v>
      </c>
      <c r="E10" t="s">
        <v>26</v>
      </c>
      <c r="F10" t="s">
        <v>33</v>
      </c>
      <c r="G10">
        <v>1688</v>
      </c>
      <c r="H10">
        <v>43.93</v>
      </c>
      <c r="I10">
        <v>39.89</v>
      </c>
      <c r="J10">
        <v>89</v>
      </c>
      <c r="K10" t="s">
        <v>15</v>
      </c>
    </row>
    <row r="11" spans="1:11" x14ac:dyDescent="0.3">
      <c r="A11" t="s">
        <v>34</v>
      </c>
      <c r="B11" t="s">
        <v>20</v>
      </c>
      <c r="C11" s="1">
        <v>45120</v>
      </c>
      <c r="D11" s="1">
        <v>45132</v>
      </c>
      <c r="E11" t="s">
        <v>26</v>
      </c>
      <c r="F11" t="s">
        <v>35</v>
      </c>
      <c r="G11">
        <v>171</v>
      </c>
      <c r="H11">
        <v>76.87</v>
      </c>
      <c r="I11">
        <v>70.2</v>
      </c>
      <c r="J11">
        <v>8</v>
      </c>
      <c r="K11" t="s">
        <v>15</v>
      </c>
    </row>
    <row r="12" spans="1:11" x14ac:dyDescent="0.3">
      <c r="A12" t="s">
        <v>36</v>
      </c>
      <c r="B12" t="s">
        <v>29</v>
      </c>
      <c r="C12" s="1">
        <v>44651</v>
      </c>
      <c r="D12" s="1">
        <v>44666</v>
      </c>
      <c r="E12" t="s">
        <v>26</v>
      </c>
      <c r="F12" t="s">
        <v>18</v>
      </c>
      <c r="G12">
        <v>5000</v>
      </c>
      <c r="H12">
        <v>78.489999999999995</v>
      </c>
      <c r="I12">
        <v>73.680000000000007</v>
      </c>
      <c r="J12">
        <v>18</v>
      </c>
      <c r="K12" t="s">
        <v>15</v>
      </c>
    </row>
    <row r="13" spans="1:11" x14ac:dyDescent="0.3">
      <c r="A13" t="s">
        <v>37</v>
      </c>
      <c r="B13" t="s">
        <v>23</v>
      </c>
      <c r="C13" s="1">
        <v>45166</v>
      </c>
      <c r="D13" s="1">
        <v>45180</v>
      </c>
      <c r="E13" t="s">
        <v>26</v>
      </c>
      <c r="F13" t="s">
        <v>18</v>
      </c>
      <c r="G13">
        <v>5000</v>
      </c>
      <c r="H13">
        <v>88.96</v>
      </c>
      <c r="I13">
        <v>86.58</v>
      </c>
      <c r="J13">
        <v>115</v>
      </c>
      <c r="K13" t="s">
        <v>15</v>
      </c>
    </row>
    <row r="14" spans="1:11" x14ac:dyDescent="0.3">
      <c r="A14" t="s">
        <v>38</v>
      </c>
      <c r="B14" t="s">
        <v>23</v>
      </c>
      <c r="C14" s="1">
        <v>44994</v>
      </c>
      <c r="D14" s="1">
        <v>45011</v>
      </c>
      <c r="E14" t="s">
        <v>39</v>
      </c>
      <c r="F14" t="s">
        <v>35</v>
      </c>
      <c r="G14">
        <v>5000</v>
      </c>
      <c r="H14">
        <v>86.74</v>
      </c>
      <c r="I14">
        <v>74.86</v>
      </c>
      <c r="J14">
        <v>51</v>
      </c>
      <c r="K14" t="s">
        <v>15</v>
      </c>
    </row>
    <row r="15" spans="1:11" x14ac:dyDescent="0.3">
      <c r="A15" t="s">
        <v>40</v>
      </c>
      <c r="B15" t="s">
        <v>23</v>
      </c>
      <c r="C15" s="1">
        <v>44594</v>
      </c>
      <c r="E15" t="s">
        <v>21</v>
      </c>
      <c r="F15" t="s">
        <v>18</v>
      </c>
      <c r="G15">
        <v>5000</v>
      </c>
      <c r="H15">
        <v>18.3</v>
      </c>
      <c r="I15">
        <v>16.88</v>
      </c>
      <c r="K15" t="s">
        <v>15</v>
      </c>
    </row>
    <row r="16" spans="1:11" x14ac:dyDescent="0.3">
      <c r="A16" t="s">
        <v>41</v>
      </c>
      <c r="B16" t="s">
        <v>17</v>
      </c>
      <c r="C16" s="1">
        <v>44592</v>
      </c>
      <c r="D16" s="1">
        <v>44610</v>
      </c>
      <c r="E16" t="s">
        <v>39</v>
      </c>
      <c r="F16" t="s">
        <v>35</v>
      </c>
      <c r="G16">
        <v>5000</v>
      </c>
      <c r="H16">
        <v>54.5</v>
      </c>
      <c r="I16">
        <v>48.45</v>
      </c>
      <c r="J16">
        <v>22</v>
      </c>
      <c r="K16" t="s">
        <v>15</v>
      </c>
    </row>
    <row r="17" spans="1:11" x14ac:dyDescent="0.3">
      <c r="A17" t="s">
        <v>42</v>
      </c>
      <c r="B17" t="s">
        <v>23</v>
      </c>
      <c r="C17" s="1">
        <v>44657</v>
      </c>
      <c r="D17" s="1">
        <v>44672</v>
      </c>
      <c r="E17" t="s">
        <v>24</v>
      </c>
      <c r="F17" t="s">
        <v>18</v>
      </c>
      <c r="G17">
        <v>5000</v>
      </c>
      <c r="H17">
        <v>15.41</v>
      </c>
      <c r="I17">
        <v>15.12</v>
      </c>
      <c r="K17" t="s">
        <v>15</v>
      </c>
    </row>
    <row r="18" spans="1:11" x14ac:dyDescent="0.3">
      <c r="A18" t="s">
        <v>43</v>
      </c>
      <c r="B18" t="s">
        <v>17</v>
      </c>
      <c r="C18" s="1">
        <v>44785</v>
      </c>
      <c r="D18" s="1">
        <v>44804</v>
      </c>
      <c r="E18" t="s">
        <v>21</v>
      </c>
      <c r="F18" t="s">
        <v>18</v>
      </c>
      <c r="G18">
        <v>1173</v>
      </c>
      <c r="H18">
        <v>61.54</v>
      </c>
      <c r="I18">
        <v>55.49</v>
      </c>
      <c r="J18">
        <v>172</v>
      </c>
      <c r="K18" t="s">
        <v>27</v>
      </c>
    </row>
    <row r="19" spans="1:11" x14ac:dyDescent="0.3">
      <c r="A19" t="s">
        <v>44</v>
      </c>
      <c r="B19" t="s">
        <v>29</v>
      </c>
      <c r="C19" s="1">
        <v>44800</v>
      </c>
      <c r="D19" s="1">
        <v>44808</v>
      </c>
      <c r="E19" t="s">
        <v>26</v>
      </c>
      <c r="F19" t="s">
        <v>18</v>
      </c>
      <c r="G19">
        <v>921</v>
      </c>
      <c r="H19">
        <v>51.48</v>
      </c>
      <c r="I19">
        <v>50.61</v>
      </c>
      <c r="K19" t="s">
        <v>15</v>
      </c>
    </row>
    <row r="20" spans="1:11" x14ac:dyDescent="0.3">
      <c r="A20" t="s">
        <v>45</v>
      </c>
      <c r="B20" t="s">
        <v>20</v>
      </c>
      <c r="C20" s="1">
        <v>45079</v>
      </c>
      <c r="D20" s="1">
        <v>45082</v>
      </c>
      <c r="E20" t="s">
        <v>26</v>
      </c>
      <c r="F20" t="s">
        <v>33</v>
      </c>
      <c r="G20">
        <v>1737</v>
      </c>
      <c r="H20">
        <v>97.53</v>
      </c>
      <c r="I20">
        <v>87.37</v>
      </c>
      <c r="J20">
        <v>79</v>
      </c>
      <c r="K20" t="s">
        <v>15</v>
      </c>
    </row>
    <row r="21" spans="1:11" x14ac:dyDescent="0.3">
      <c r="A21" t="s">
        <v>46</v>
      </c>
      <c r="B21" t="s">
        <v>17</v>
      </c>
      <c r="C21" s="1">
        <v>45178</v>
      </c>
      <c r="D21" s="1">
        <v>45193</v>
      </c>
      <c r="E21" t="s">
        <v>26</v>
      </c>
      <c r="F21" t="s">
        <v>18</v>
      </c>
      <c r="G21">
        <v>180</v>
      </c>
      <c r="H21">
        <v>45.74</v>
      </c>
      <c r="I21">
        <v>38.89</v>
      </c>
      <c r="K21" t="s">
        <v>27</v>
      </c>
    </row>
    <row r="22" spans="1:11" x14ac:dyDescent="0.3">
      <c r="A22" t="s">
        <v>47</v>
      </c>
      <c r="B22" t="s">
        <v>29</v>
      </c>
      <c r="C22" s="1">
        <v>44589</v>
      </c>
      <c r="D22" s="1">
        <v>44604</v>
      </c>
      <c r="E22" t="s">
        <v>39</v>
      </c>
      <c r="F22" t="s">
        <v>14</v>
      </c>
      <c r="G22">
        <v>1735</v>
      </c>
      <c r="H22">
        <v>20.54</v>
      </c>
      <c r="I22">
        <v>19.690000000000001</v>
      </c>
      <c r="J22">
        <v>49</v>
      </c>
      <c r="K22" t="s">
        <v>15</v>
      </c>
    </row>
    <row r="23" spans="1:11" x14ac:dyDescent="0.3">
      <c r="A23" t="s">
        <v>48</v>
      </c>
      <c r="B23" t="s">
        <v>17</v>
      </c>
      <c r="C23" s="1">
        <v>45136</v>
      </c>
      <c r="D23" s="1">
        <v>45149</v>
      </c>
      <c r="E23" t="s">
        <v>26</v>
      </c>
      <c r="F23" t="s">
        <v>18</v>
      </c>
      <c r="G23">
        <v>1382</v>
      </c>
      <c r="H23">
        <v>24.93</v>
      </c>
      <c r="I23">
        <v>23.75</v>
      </c>
      <c r="K23" t="s">
        <v>15</v>
      </c>
    </row>
    <row r="24" spans="1:11" x14ac:dyDescent="0.3">
      <c r="A24" t="s">
        <v>49</v>
      </c>
      <c r="B24" t="s">
        <v>29</v>
      </c>
      <c r="C24" s="1">
        <v>44765</v>
      </c>
      <c r="D24" s="1">
        <v>44781</v>
      </c>
      <c r="E24" t="s">
        <v>21</v>
      </c>
      <c r="F24" t="s">
        <v>18</v>
      </c>
      <c r="G24">
        <v>819</v>
      </c>
      <c r="H24">
        <v>80.89</v>
      </c>
      <c r="I24">
        <v>77.03</v>
      </c>
      <c r="J24">
        <v>29</v>
      </c>
      <c r="K24" t="s">
        <v>15</v>
      </c>
    </row>
    <row r="25" spans="1:11" x14ac:dyDescent="0.3">
      <c r="A25" t="s">
        <v>50</v>
      </c>
      <c r="B25" t="s">
        <v>23</v>
      </c>
      <c r="C25" s="1">
        <v>45227</v>
      </c>
      <c r="D25" s="1">
        <v>45233</v>
      </c>
      <c r="E25" t="s">
        <v>13</v>
      </c>
      <c r="F25" t="s">
        <v>33</v>
      </c>
      <c r="G25">
        <v>393</v>
      </c>
      <c r="H25">
        <v>72.53</v>
      </c>
      <c r="I25">
        <v>66.31</v>
      </c>
      <c r="J25">
        <v>42</v>
      </c>
      <c r="K25" t="s">
        <v>27</v>
      </c>
    </row>
    <row r="26" spans="1:11" x14ac:dyDescent="0.3">
      <c r="A26" t="s">
        <v>51</v>
      </c>
      <c r="B26" t="s">
        <v>23</v>
      </c>
      <c r="C26" s="1">
        <v>45280</v>
      </c>
      <c r="D26" s="1">
        <v>45292</v>
      </c>
      <c r="E26" t="s">
        <v>21</v>
      </c>
      <c r="F26" t="s">
        <v>18</v>
      </c>
      <c r="G26">
        <v>1565</v>
      </c>
      <c r="H26">
        <v>21.3</v>
      </c>
      <c r="I26">
        <v>20.09</v>
      </c>
      <c r="J26">
        <v>161</v>
      </c>
      <c r="K26" t="s">
        <v>15</v>
      </c>
    </row>
    <row r="27" spans="1:11" x14ac:dyDescent="0.3">
      <c r="A27" t="s">
        <v>52</v>
      </c>
      <c r="B27" t="s">
        <v>29</v>
      </c>
      <c r="C27" s="1">
        <v>45120</v>
      </c>
      <c r="D27" s="1">
        <v>45131</v>
      </c>
      <c r="E27" t="s">
        <v>24</v>
      </c>
      <c r="F27" t="s">
        <v>18</v>
      </c>
      <c r="G27">
        <v>1487</v>
      </c>
      <c r="H27">
        <v>19.149999999999999</v>
      </c>
      <c r="I27">
        <v>17.239999999999998</v>
      </c>
      <c r="K27" t="s">
        <v>15</v>
      </c>
    </row>
    <row r="28" spans="1:11" x14ac:dyDescent="0.3">
      <c r="A28" t="s">
        <v>53</v>
      </c>
      <c r="B28" t="s">
        <v>12</v>
      </c>
      <c r="C28" s="1">
        <v>44991</v>
      </c>
      <c r="D28" s="1">
        <v>45011</v>
      </c>
      <c r="E28" t="s">
        <v>21</v>
      </c>
      <c r="F28" t="s">
        <v>18</v>
      </c>
      <c r="G28">
        <v>855</v>
      </c>
      <c r="H28">
        <v>78.2</v>
      </c>
      <c r="I28">
        <v>67.16</v>
      </c>
      <c r="J28">
        <v>17</v>
      </c>
      <c r="K28" t="s">
        <v>15</v>
      </c>
    </row>
    <row r="29" spans="1:11" x14ac:dyDescent="0.3">
      <c r="A29" t="s">
        <v>54</v>
      </c>
      <c r="B29" t="s">
        <v>29</v>
      </c>
      <c r="C29" s="1">
        <v>44787</v>
      </c>
      <c r="D29" s="1">
        <v>44796</v>
      </c>
      <c r="E29" t="s">
        <v>26</v>
      </c>
      <c r="F29" t="s">
        <v>18</v>
      </c>
      <c r="G29">
        <v>435</v>
      </c>
      <c r="H29">
        <v>17.13</v>
      </c>
      <c r="I29">
        <v>15.84</v>
      </c>
      <c r="J29">
        <v>8</v>
      </c>
      <c r="K29" t="s">
        <v>15</v>
      </c>
    </row>
    <row r="30" spans="1:11" x14ac:dyDescent="0.3">
      <c r="A30" t="s">
        <v>55</v>
      </c>
      <c r="B30" t="s">
        <v>17</v>
      </c>
      <c r="C30" s="1">
        <v>45021</v>
      </c>
      <c r="D30" s="1">
        <v>45038</v>
      </c>
      <c r="E30" t="s">
        <v>21</v>
      </c>
      <c r="F30" t="s">
        <v>18</v>
      </c>
      <c r="G30">
        <v>1265</v>
      </c>
      <c r="H30">
        <v>90.26</v>
      </c>
      <c r="I30">
        <v>79.47</v>
      </c>
      <c r="J30">
        <v>187</v>
      </c>
      <c r="K30" t="s">
        <v>15</v>
      </c>
    </row>
    <row r="31" spans="1:11" x14ac:dyDescent="0.3">
      <c r="A31" t="s">
        <v>56</v>
      </c>
      <c r="B31" t="s">
        <v>29</v>
      </c>
      <c r="C31" s="1">
        <v>45165</v>
      </c>
      <c r="E31" t="s">
        <v>21</v>
      </c>
      <c r="F31" t="s">
        <v>18</v>
      </c>
      <c r="G31">
        <v>1005</v>
      </c>
      <c r="H31">
        <v>80.55</v>
      </c>
      <c r="I31">
        <v>73.31</v>
      </c>
      <c r="J31">
        <v>30</v>
      </c>
      <c r="K31" t="s">
        <v>15</v>
      </c>
    </row>
    <row r="32" spans="1:11" x14ac:dyDescent="0.3">
      <c r="A32" t="s">
        <v>57</v>
      </c>
      <c r="B32" t="s">
        <v>20</v>
      </c>
      <c r="C32" s="1">
        <v>44846</v>
      </c>
      <c r="D32" s="1">
        <v>44860</v>
      </c>
      <c r="E32" t="s">
        <v>39</v>
      </c>
      <c r="F32" t="s">
        <v>18</v>
      </c>
      <c r="G32">
        <v>326</v>
      </c>
      <c r="H32">
        <v>18.100000000000001</v>
      </c>
      <c r="I32">
        <v>15.92</v>
      </c>
      <c r="K32" t="s">
        <v>27</v>
      </c>
    </row>
    <row r="33" spans="1:11" x14ac:dyDescent="0.3">
      <c r="A33" t="s">
        <v>58</v>
      </c>
      <c r="B33" t="s">
        <v>12</v>
      </c>
      <c r="C33" s="1">
        <v>44568</v>
      </c>
      <c r="D33" s="1">
        <v>44576</v>
      </c>
      <c r="E33" t="s">
        <v>13</v>
      </c>
      <c r="F33" t="s">
        <v>18</v>
      </c>
      <c r="G33">
        <v>1234</v>
      </c>
      <c r="H33">
        <v>17.64</v>
      </c>
      <c r="I33">
        <v>15.66</v>
      </c>
      <c r="J33">
        <v>26</v>
      </c>
      <c r="K33" t="s">
        <v>15</v>
      </c>
    </row>
    <row r="34" spans="1:11" x14ac:dyDescent="0.3">
      <c r="A34" t="s">
        <v>59</v>
      </c>
      <c r="B34" t="s">
        <v>29</v>
      </c>
      <c r="C34" s="1">
        <v>44725</v>
      </c>
      <c r="D34" s="1">
        <v>44741</v>
      </c>
      <c r="E34" t="s">
        <v>21</v>
      </c>
      <c r="F34" t="s">
        <v>18</v>
      </c>
      <c r="G34">
        <v>509</v>
      </c>
      <c r="H34">
        <v>101.27</v>
      </c>
      <c r="I34">
        <v>97.82</v>
      </c>
      <c r="J34">
        <v>19</v>
      </c>
      <c r="K34" t="s">
        <v>15</v>
      </c>
    </row>
    <row r="35" spans="1:11" x14ac:dyDescent="0.3">
      <c r="A35" t="s">
        <v>60</v>
      </c>
      <c r="B35" t="s">
        <v>12</v>
      </c>
      <c r="C35" s="1">
        <v>45276</v>
      </c>
      <c r="D35" s="1">
        <v>45277</v>
      </c>
      <c r="E35" t="s">
        <v>24</v>
      </c>
      <c r="F35" t="s">
        <v>18</v>
      </c>
      <c r="G35">
        <v>1387</v>
      </c>
      <c r="H35">
        <v>48.71</v>
      </c>
      <c r="I35">
        <v>43.71</v>
      </c>
      <c r="J35">
        <v>27</v>
      </c>
      <c r="K35" t="s">
        <v>15</v>
      </c>
    </row>
    <row r="36" spans="1:11" x14ac:dyDescent="0.3">
      <c r="A36" t="s">
        <v>61</v>
      </c>
      <c r="B36" t="s">
        <v>12</v>
      </c>
      <c r="C36" s="1">
        <v>44994</v>
      </c>
      <c r="D36" s="1">
        <v>45002</v>
      </c>
      <c r="E36" t="s">
        <v>21</v>
      </c>
      <c r="F36" t="s">
        <v>18</v>
      </c>
      <c r="G36">
        <v>71</v>
      </c>
      <c r="H36">
        <v>46.39</v>
      </c>
      <c r="I36">
        <v>43.18</v>
      </c>
      <c r="J36">
        <v>0</v>
      </c>
      <c r="K36" t="s">
        <v>15</v>
      </c>
    </row>
    <row r="37" spans="1:11" x14ac:dyDescent="0.3">
      <c r="A37" t="s">
        <v>62</v>
      </c>
      <c r="B37" t="s">
        <v>29</v>
      </c>
      <c r="C37" s="1">
        <v>44910</v>
      </c>
      <c r="D37" s="1">
        <v>44918</v>
      </c>
      <c r="E37" t="s">
        <v>13</v>
      </c>
      <c r="F37" t="s">
        <v>18</v>
      </c>
      <c r="G37">
        <v>302</v>
      </c>
      <c r="H37">
        <v>87.73</v>
      </c>
      <c r="I37">
        <v>81.52</v>
      </c>
      <c r="J37">
        <v>9</v>
      </c>
      <c r="K37" t="s">
        <v>15</v>
      </c>
    </row>
    <row r="38" spans="1:11" x14ac:dyDescent="0.3">
      <c r="A38" t="s">
        <v>63</v>
      </c>
      <c r="B38" t="s">
        <v>29</v>
      </c>
      <c r="C38" s="1">
        <v>44846</v>
      </c>
      <c r="D38" s="1">
        <v>44865</v>
      </c>
      <c r="E38" t="s">
        <v>13</v>
      </c>
      <c r="F38" t="s">
        <v>35</v>
      </c>
      <c r="G38">
        <v>797</v>
      </c>
      <c r="H38">
        <v>99.54</v>
      </c>
      <c r="I38">
        <v>91.37</v>
      </c>
      <c r="J38">
        <v>18</v>
      </c>
      <c r="K38" t="s">
        <v>15</v>
      </c>
    </row>
    <row r="39" spans="1:11" x14ac:dyDescent="0.3">
      <c r="A39" t="s">
        <v>64</v>
      </c>
      <c r="B39" t="s">
        <v>23</v>
      </c>
      <c r="C39" s="1">
        <v>44721</v>
      </c>
      <c r="D39" s="1">
        <v>44739</v>
      </c>
      <c r="E39" t="s">
        <v>13</v>
      </c>
      <c r="F39" t="s">
        <v>35</v>
      </c>
      <c r="G39">
        <v>906</v>
      </c>
      <c r="H39">
        <v>101.21</v>
      </c>
      <c r="I39">
        <v>90.9</v>
      </c>
      <c r="J39">
        <v>94</v>
      </c>
      <c r="K39" t="s">
        <v>15</v>
      </c>
    </row>
    <row r="40" spans="1:11" x14ac:dyDescent="0.3">
      <c r="A40" t="s">
        <v>65</v>
      </c>
      <c r="B40" t="s">
        <v>29</v>
      </c>
      <c r="C40" s="1">
        <v>44782</v>
      </c>
      <c r="D40" s="1">
        <v>44796</v>
      </c>
      <c r="E40" t="s">
        <v>13</v>
      </c>
      <c r="F40" t="s">
        <v>18</v>
      </c>
      <c r="G40">
        <v>1634</v>
      </c>
      <c r="H40">
        <v>80.53</v>
      </c>
      <c r="I40">
        <v>76.150000000000006</v>
      </c>
      <c r="J40">
        <v>50</v>
      </c>
      <c r="K40" t="s">
        <v>15</v>
      </c>
    </row>
    <row r="41" spans="1:11" x14ac:dyDescent="0.3">
      <c r="A41" t="s">
        <v>66</v>
      </c>
      <c r="B41" t="s">
        <v>29</v>
      </c>
      <c r="C41" s="1">
        <v>44906</v>
      </c>
      <c r="E41" t="s">
        <v>13</v>
      </c>
      <c r="F41" t="s">
        <v>18</v>
      </c>
      <c r="G41">
        <v>524</v>
      </c>
      <c r="H41">
        <v>46.28</v>
      </c>
      <c r="I41">
        <v>39.65</v>
      </c>
      <c r="J41">
        <v>14</v>
      </c>
      <c r="K41" t="s">
        <v>15</v>
      </c>
    </row>
    <row r="42" spans="1:11" x14ac:dyDescent="0.3">
      <c r="A42" t="s">
        <v>67</v>
      </c>
      <c r="B42" t="s">
        <v>23</v>
      </c>
      <c r="C42" s="1">
        <v>44666</v>
      </c>
      <c r="D42" s="1">
        <v>44678</v>
      </c>
      <c r="E42" t="s">
        <v>39</v>
      </c>
      <c r="F42" t="s">
        <v>18</v>
      </c>
      <c r="G42">
        <v>1132</v>
      </c>
      <c r="H42">
        <v>17.78</v>
      </c>
      <c r="I42">
        <v>15.36</v>
      </c>
      <c r="J42">
        <v>96</v>
      </c>
      <c r="K42" t="s">
        <v>15</v>
      </c>
    </row>
    <row r="43" spans="1:11" x14ac:dyDescent="0.3">
      <c r="A43" t="s">
        <v>68</v>
      </c>
      <c r="B43" t="s">
        <v>23</v>
      </c>
      <c r="C43" s="1">
        <v>44656</v>
      </c>
      <c r="D43" s="1">
        <v>44665</v>
      </c>
      <c r="E43" t="s">
        <v>13</v>
      </c>
      <c r="F43" t="s">
        <v>18</v>
      </c>
      <c r="G43">
        <v>560</v>
      </c>
      <c r="H43">
        <v>81.14</v>
      </c>
      <c r="I43">
        <v>77.87</v>
      </c>
      <c r="J43">
        <v>34</v>
      </c>
      <c r="K43" t="s">
        <v>27</v>
      </c>
    </row>
    <row r="44" spans="1:11" x14ac:dyDescent="0.3">
      <c r="A44" t="s">
        <v>69</v>
      </c>
      <c r="B44" t="s">
        <v>20</v>
      </c>
      <c r="C44" s="1">
        <v>44951</v>
      </c>
      <c r="D44" s="1">
        <v>44959</v>
      </c>
      <c r="E44" t="s">
        <v>39</v>
      </c>
      <c r="F44" t="s">
        <v>18</v>
      </c>
      <c r="G44">
        <v>1755</v>
      </c>
      <c r="H44">
        <v>63.87</v>
      </c>
      <c r="I44">
        <v>58.4</v>
      </c>
      <c r="J44">
        <v>85</v>
      </c>
      <c r="K44" t="s">
        <v>15</v>
      </c>
    </row>
    <row r="45" spans="1:11" x14ac:dyDescent="0.3">
      <c r="A45" t="s">
        <v>70</v>
      </c>
      <c r="B45" t="s">
        <v>29</v>
      </c>
      <c r="C45" s="1">
        <v>44661</v>
      </c>
      <c r="D45" s="1">
        <v>44668</v>
      </c>
      <c r="E45" t="s">
        <v>21</v>
      </c>
      <c r="F45" t="s">
        <v>18</v>
      </c>
      <c r="G45">
        <v>1549</v>
      </c>
      <c r="H45">
        <v>48.9</v>
      </c>
      <c r="I45">
        <v>42.42</v>
      </c>
      <c r="J45">
        <v>48</v>
      </c>
      <c r="K45" t="s">
        <v>15</v>
      </c>
    </row>
    <row r="46" spans="1:11" x14ac:dyDescent="0.3">
      <c r="A46" t="s">
        <v>71</v>
      </c>
      <c r="B46" t="s">
        <v>17</v>
      </c>
      <c r="C46" s="1">
        <v>44929</v>
      </c>
      <c r="D46" s="1">
        <v>44947</v>
      </c>
      <c r="E46" t="s">
        <v>21</v>
      </c>
      <c r="F46" t="s">
        <v>18</v>
      </c>
      <c r="G46">
        <v>749</v>
      </c>
      <c r="H46">
        <v>97.07</v>
      </c>
      <c r="I46">
        <v>94.16</v>
      </c>
      <c r="J46">
        <v>123</v>
      </c>
      <c r="K46" t="s">
        <v>15</v>
      </c>
    </row>
    <row r="47" spans="1:11" x14ac:dyDescent="0.3">
      <c r="A47" t="s">
        <v>72</v>
      </c>
      <c r="B47" t="s">
        <v>12</v>
      </c>
      <c r="C47" s="1">
        <v>44914</v>
      </c>
      <c r="E47" t="s">
        <v>39</v>
      </c>
      <c r="F47" t="s">
        <v>18</v>
      </c>
      <c r="G47">
        <v>1025</v>
      </c>
      <c r="H47">
        <v>21.11</v>
      </c>
      <c r="I47">
        <v>19.25</v>
      </c>
      <c r="J47">
        <v>15</v>
      </c>
      <c r="K47" t="s">
        <v>15</v>
      </c>
    </row>
    <row r="48" spans="1:11" x14ac:dyDescent="0.3">
      <c r="A48" t="s">
        <v>73</v>
      </c>
      <c r="B48" t="s">
        <v>23</v>
      </c>
      <c r="C48" s="1">
        <v>45180</v>
      </c>
      <c r="D48" s="1">
        <v>45187</v>
      </c>
      <c r="E48" t="s">
        <v>26</v>
      </c>
      <c r="F48" t="s">
        <v>18</v>
      </c>
      <c r="G48">
        <v>1856</v>
      </c>
      <c r="H48">
        <v>59.77</v>
      </c>
      <c r="I48">
        <v>50.81</v>
      </c>
      <c r="J48">
        <v>191</v>
      </c>
      <c r="K48" t="s">
        <v>15</v>
      </c>
    </row>
    <row r="49" spans="1:11" x14ac:dyDescent="0.3">
      <c r="A49" t="s">
        <v>74</v>
      </c>
      <c r="B49" t="s">
        <v>29</v>
      </c>
      <c r="C49" s="1">
        <v>44832</v>
      </c>
      <c r="D49" s="1">
        <v>44848</v>
      </c>
      <c r="E49" t="s">
        <v>13</v>
      </c>
      <c r="F49" t="s">
        <v>18</v>
      </c>
      <c r="G49">
        <v>239</v>
      </c>
      <c r="H49">
        <v>11.46</v>
      </c>
      <c r="I49">
        <v>11.28</v>
      </c>
      <c r="J49">
        <v>4</v>
      </c>
      <c r="K49" t="s">
        <v>15</v>
      </c>
    </row>
    <row r="50" spans="1:11" x14ac:dyDescent="0.3">
      <c r="A50" t="s">
        <v>75</v>
      </c>
      <c r="B50" t="s">
        <v>17</v>
      </c>
      <c r="C50" s="1">
        <v>44606</v>
      </c>
      <c r="D50" s="1">
        <v>44625</v>
      </c>
      <c r="E50" t="s">
        <v>13</v>
      </c>
      <c r="F50" t="s">
        <v>35</v>
      </c>
      <c r="G50">
        <v>1007</v>
      </c>
      <c r="H50">
        <v>52.44</v>
      </c>
      <c r="I50">
        <v>46.06</v>
      </c>
      <c r="J50">
        <v>167</v>
      </c>
      <c r="K50" t="s">
        <v>15</v>
      </c>
    </row>
    <row r="51" spans="1:11" x14ac:dyDescent="0.3">
      <c r="A51" t="s">
        <v>76</v>
      </c>
      <c r="B51" t="s">
        <v>12</v>
      </c>
      <c r="C51" s="1">
        <v>45032</v>
      </c>
      <c r="E51" t="s">
        <v>21</v>
      </c>
      <c r="F51" t="s">
        <v>35</v>
      </c>
      <c r="G51">
        <v>736</v>
      </c>
      <c r="H51">
        <v>16.2</v>
      </c>
      <c r="I51">
        <v>15.33</v>
      </c>
      <c r="J51">
        <v>18</v>
      </c>
      <c r="K51" t="s">
        <v>15</v>
      </c>
    </row>
    <row r="52" spans="1:11" x14ac:dyDescent="0.3">
      <c r="A52" t="s">
        <v>77</v>
      </c>
      <c r="B52" t="s">
        <v>29</v>
      </c>
      <c r="C52" s="1">
        <v>45111</v>
      </c>
      <c r="D52" s="1">
        <v>45121</v>
      </c>
      <c r="E52" t="s">
        <v>39</v>
      </c>
      <c r="F52" t="s">
        <v>18</v>
      </c>
      <c r="G52">
        <v>1007</v>
      </c>
      <c r="H52">
        <v>22.56</v>
      </c>
      <c r="I52">
        <v>19.59</v>
      </c>
      <c r="K52" t="s">
        <v>15</v>
      </c>
    </row>
    <row r="53" spans="1:11" x14ac:dyDescent="0.3">
      <c r="A53" t="s">
        <v>78</v>
      </c>
      <c r="B53" t="s">
        <v>17</v>
      </c>
      <c r="C53" s="1">
        <v>44689</v>
      </c>
      <c r="E53" t="s">
        <v>13</v>
      </c>
      <c r="F53" t="s">
        <v>18</v>
      </c>
      <c r="G53">
        <v>612</v>
      </c>
      <c r="H53">
        <v>20.99</v>
      </c>
      <c r="I53">
        <v>19.75</v>
      </c>
      <c r="J53">
        <v>102</v>
      </c>
      <c r="K53" t="s">
        <v>15</v>
      </c>
    </row>
    <row r="54" spans="1:11" x14ac:dyDescent="0.3">
      <c r="A54" t="s">
        <v>79</v>
      </c>
      <c r="B54" t="s">
        <v>12</v>
      </c>
      <c r="C54" s="1">
        <v>44949</v>
      </c>
      <c r="D54" s="1">
        <v>44959</v>
      </c>
      <c r="E54" t="s">
        <v>21</v>
      </c>
      <c r="F54" t="s">
        <v>35</v>
      </c>
      <c r="G54">
        <v>1949</v>
      </c>
      <c r="H54">
        <v>72.53</v>
      </c>
      <c r="I54">
        <v>63.26</v>
      </c>
      <c r="J54">
        <v>48</v>
      </c>
      <c r="K54" t="s">
        <v>27</v>
      </c>
    </row>
    <row r="55" spans="1:11" x14ac:dyDescent="0.3">
      <c r="A55" t="s">
        <v>80</v>
      </c>
      <c r="B55" t="s">
        <v>17</v>
      </c>
      <c r="C55" s="1">
        <v>44642</v>
      </c>
      <c r="D55" s="1">
        <v>44648</v>
      </c>
      <c r="E55" t="s">
        <v>13</v>
      </c>
      <c r="F55" t="s">
        <v>14</v>
      </c>
      <c r="G55">
        <v>1640</v>
      </c>
      <c r="H55">
        <v>77.92</v>
      </c>
      <c r="I55">
        <v>76.41</v>
      </c>
      <c r="J55">
        <v>262</v>
      </c>
      <c r="K55" t="s">
        <v>27</v>
      </c>
    </row>
    <row r="56" spans="1:11" x14ac:dyDescent="0.3">
      <c r="A56" t="s">
        <v>81</v>
      </c>
      <c r="B56" t="s">
        <v>23</v>
      </c>
      <c r="C56" s="1">
        <v>45127</v>
      </c>
      <c r="D56" s="1">
        <v>45145</v>
      </c>
      <c r="E56" t="s">
        <v>39</v>
      </c>
      <c r="F56" t="s">
        <v>18</v>
      </c>
      <c r="G56">
        <v>1317</v>
      </c>
      <c r="H56">
        <v>68.13</v>
      </c>
      <c r="I56">
        <v>60.52</v>
      </c>
      <c r="J56">
        <v>136</v>
      </c>
      <c r="K56" t="s">
        <v>15</v>
      </c>
    </row>
    <row r="57" spans="1:11" x14ac:dyDescent="0.3">
      <c r="A57" t="s">
        <v>82</v>
      </c>
      <c r="B57" t="s">
        <v>29</v>
      </c>
      <c r="C57" s="1">
        <v>44862</v>
      </c>
      <c r="D57" s="1">
        <v>44864</v>
      </c>
      <c r="E57" t="s">
        <v>26</v>
      </c>
      <c r="F57" t="s">
        <v>18</v>
      </c>
      <c r="G57">
        <v>881</v>
      </c>
      <c r="H57">
        <v>100.94</v>
      </c>
      <c r="I57">
        <v>95.05</v>
      </c>
      <c r="J57">
        <v>30</v>
      </c>
      <c r="K57" t="s">
        <v>15</v>
      </c>
    </row>
    <row r="58" spans="1:11" x14ac:dyDescent="0.3">
      <c r="A58" t="s">
        <v>83</v>
      </c>
      <c r="B58" t="s">
        <v>17</v>
      </c>
      <c r="C58" s="1">
        <v>45205</v>
      </c>
      <c r="E58" t="s">
        <v>24</v>
      </c>
      <c r="F58" t="s">
        <v>18</v>
      </c>
      <c r="G58">
        <v>1578</v>
      </c>
      <c r="H58">
        <v>48.33</v>
      </c>
      <c r="I58">
        <v>42.77</v>
      </c>
      <c r="J58">
        <v>206</v>
      </c>
      <c r="K58" t="s">
        <v>15</v>
      </c>
    </row>
    <row r="59" spans="1:11" x14ac:dyDescent="0.3">
      <c r="A59" t="s">
        <v>84</v>
      </c>
      <c r="B59" t="s">
        <v>17</v>
      </c>
      <c r="C59" s="1">
        <v>45195</v>
      </c>
      <c r="D59" s="1">
        <v>45200</v>
      </c>
      <c r="E59" t="s">
        <v>21</v>
      </c>
      <c r="F59" t="s">
        <v>18</v>
      </c>
      <c r="G59">
        <v>1204</v>
      </c>
      <c r="H59">
        <v>39.29</v>
      </c>
      <c r="I59">
        <v>35.44</v>
      </c>
      <c r="K59" t="s">
        <v>15</v>
      </c>
    </row>
    <row r="60" spans="1:11" x14ac:dyDescent="0.3">
      <c r="A60" t="s">
        <v>85</v>
      </c>
      <c r="B60" t="s">
        <v>29</v>
      </c>
      <c r="C60" s="1">
        <v>44932</v>
      </c>
      <c r="D60" s="1">
        <v>44948</v>
      </c>
      <c r="E60" t="s">
        <v>21</v>
      </c>
      <c r="F60" t="s">
        <v>35</v>
      </c>
      <c r="G60">
        <v>1558</v>
      </c>
      <c r="H60">
        <v>93.46</v>
      </c>
      <c r="I60">
        <v>91.27</v>
      </c>
      <c r="J60">
        <v>39</v>
      </c>
      <c r="K60" t="s">
        <v>15</v>
      </c>
    </row>
    <row r="61" spans="1:11" x14ac:dyDescent="0.3">
      <c r="A61" t="s">
        <v>86</v>
      </c>
      <c r="B61" t="s">
        <v>12</v>
      </c>
      <c r="C61" s="1">
        <v>45153</v>
      </c>
      <c r="D61" s="1">
        <v>45154</v>
      </c>
      <c r="E61" t="s">
        <v>24</v>
      </c>
      <c r="F61" t="s">
        <v>18</v>
      </c>
      <c r="G61">
        <v>1892</v>
      </c>
      <c r="H61">
        <v>32.99</v>
      </c>
      <c r="I61">
        <v>28.81</v>
      </c>
      <c r="J61">
        <v>35</v>
      </c>
      <c r="K61" t="s">
        <v>15</v>
      </c>
    </row>
    <row r="62" spans="1:11" x14ac:dyDescent="0.3">
      <c r="A62" t="s">
        <v>87</v>
      </c>
      <c r="B62" t="s">
        <v>29</v>
      </c>
      <c r="C62" s="1">
        <v>44758</v>
      </c>
      <c r="D62" s="1">
        <v>44774</v>
      </c>
      <c r="E62" t="s">
        <v>24</v>
      </c>
      <c r="F62" t="s">
        <v>18</v>
      </c>
      <c r="G62">
        <v>696</v>
      </c>
      <c r="H62">
        <v>99.59</v>
      </c>
      <c r="I62">
        <v>90.18</v>
      </c>
      <c r="J62">
        <v>25</v>
      </c>
      <c r="K62" t="s">
        <v>15</v>
      </c>
    </row>
    <row r="63" spans="1:11" x14ac:dyDescent="0.3">
      <c r="A63" t="s">
        <v>88</v>
      </c>
      <c r="B63" t="s">
        <v>17</v>
      </c>
      <c r="C63" s="1">
        <v>45283</v>
      </c>
      <c r="D63" s="1">
        <v>45294</v>
      </c>
      <c r="E63" t="s">
        <v>21</v>
      </c>
      <c r="F63" t="s">
        <v>33</v>
      </c>
      <c r="G63">
        <v>70</v>
      </c>
      <c r="H63">
        <v>12.37</v>
      </c>
      <c r="I63">
        <v>11.04</v>
      </c>
      <c r="J63">
        <v>10</v>
      </c>
      <c r="K63" t="s">
        <v>15</v>
      </c>
    </row>
    <row r="64" spans="1:11" x14ac:dyDescent="0.3">
      <c r="A64" t="s">
        <v>89</v>
      </c>
      <c r="B64" t="s">
        <v>20</v>
      </c>
      <c r="C64" s="1">
        <v>44633</v>
      </c>
      <c r="D64" s="1">
        <v>44635</v>
      </c>
      <c r="E64" t="s">
        <v>26</v>
      </c>
      <c r="F64" t="s">
        <v>18</v>
      </c>
      <c r="G64">
        <v>890</v>
      </c>
      <c r="H64">
        <v>98.26</v>
      </c>
      <c r="I64">
        <v>93.14</v>
      </c>
      <c r="J64">
        <v>49</v>
      </c>
      <c r="K64" t="s">
        <v>15</v>
      </c>
    </row>
    <row r="65" spans="1:11" x14ac:dyDescent="0.3">
      <c r="A65" t="s">
        <v>90</v>
      </c>
      <c r="B65" t="s">
        <v>12</v>
      </c>
      <c r="C65" s="1">
        <v>44608</v>
      </c>
      <c r="D65" s="1">
        <v>44624</v>
      </c>
      <c r="E65" t="s">
        <v>21</v>
      </c>
      <c r="F65" t="s">
        <v>18</v>
      </c>
      <c r="G65">
        <v>216</v>
      </c>
      <c r="H65">
        <v>13.95</v>
      </c>
      <c r="I65">
        <v>12.31</v>
      </c>
      <c r="J65">
        <v>5</v>
      </c>
      <c r="K65" t="s">
        <v>15</v>
      </c>
    </row>
    <row r="66" spans="1:11" x14ac:dyDescent="0.3">
      <c r="A66" t="s">
        <v>91</v>
      </c>
      <c r="B66" t="s">
        <v>17</v>
      </c>
      <c r="C66" s="1">
        <v>45239</v>
      </c>
      <c r="D66" s="1">
        <v>45242</v>
      </c>
      <c r="E66" t="s">
        <v>24</v>
      </c>
      <c r="F66" t="s">
        <v>18</v>
      </c>
      <c r="G66">
        <v>1347</v>
      </c>
      <c r="H66">
        <v>100.13</v>
      </c>
      <c r="I66">
        <v>94.3</v>
      </c>
      <c r="J66">
        <v>200</v>
      </c>
      <c r="K66" t="s">
        <v>15</v>
      </c>
    </row>
    <row r="67" spans="1:11" x14ac:dyDescent="0.3">
      <c r="A67" t="s">
        <v>92</v>
      </c>
      <c r="B67" t="s">
        <v>20</v>
      </c>
      <c r="C67" s="1">
        <v>44795</v>
      </c>
      <c r="D67" s="1">
        <v>44798</v>
      </c>
      <c r="E67" t="s">
        <v>13</v>
      </c>
      <c r="F67" t="s">
        <v>33</v>
      </c>
      <c r="G67">
        <v>437</v>
      </c>
      <c r="H67">
        <v>59.51</v>
      </c>
      <c r="I67">
        <v>56.45</v>
      </c>
      <c r="J67">
        <v>25</v>
      </c>
      <c r="K67" t="s">
        <v>27</v>
      </c>
    </row>
    <row r="68" spans="1:11" x14ac:dyDescent="0.3">
      <c r="A68" t="s">
        <v>93</v>
      </c>
      <c r="B68" t="s">
        <v>12</v>
      </c>
      <c r="C68" s="1">
        <v>44858</v>
      </c>
      <c r="D68" s="1">
        <v>44860</v>
      </c>
      <c r="E68" t="s">
        <v>39</v>
      </c>
      <c r="F68" t="s">
        <v>18</v>
      </c>
      <c r="G68">
        <v>650</v>
      </c>
      <c r="H68">
        <v>103.84</v>
      </c>
      <c r="I68">
        <v>88.28</v>
      </c>
      <c r="J68">
        <v>12</v>
      </c>
      <c r="K68" t="s">
        <v>15</v>
      </c>
    </row>
    <row r="69" spans="1:11" x14ac:dyDescent="0.3">
      <c r="A69" t="s">
        <v>94</v>
      </c>
      <c r="B69" t="s">
        <v>23</v>
      </c>
      <c r="C69" s="1">
        <v>44643</v>
      </c>
      <c r="D69" s="1">
        <v>44662</v>
      </c>
      <c r="E69" t="s">
        <v>13</v>
      </c>
      <c r="F69" t="s">
        <v>18</v>
      </c>
      <c r="G69">
        <v>365</v>
      </c>
      <c r="H69">
        <v>16.809999999999999</v>
      </c>
      <c r="I69">
        <v>15.41</v>
      </c>
      <c r="J69">
        <v>38</v>
      </c>
      <c r="K69" t="s">
        <v>15</v>
      </c>
    </row>
    <row r="70" spans="1:11" x14ac:dyDescent="0.3">
      <c r="A70" t="s">
        <v>95</v>
      </c>
      <c r="B70" t="s">
        <v>29</v>
      </c>
      <c r="C70" s="1">
        <v>44800</v>
      </c>
      <c r="E70" t="s">
        <v>26</v>
      </c>
      <c r="F70" t="s">
        <v>14</v>
      </c>
      <c r="G70">
        <v>63</v>
      </c>
      <c r="H70">
        <v>61.94</v>
      </c>
      <c r="I70">
        <v>53.8</v>
      </c>
      <c r="K70" t="s">
        <v>15</v>
      </c>
    </row>
    <row r="71" spans="1:11" x14ac:dyDescent="0.3">
      <c r="A71" t="s">
        <v>96</v>
      </c>
      <c r="B71" t="s">
        <v>12</v>
      </c>
      <c r="C71" s="1">
        <v>44665</v>
      </c>
      <c r="D71" s="1">
        <v>44673</v>
      </c>
      <c r="E71" t="s">
        <v>21</v>
      </c>
      <c r="F71" t="s">
        <v>18</v>
      </c>
      <c r="G71">
        <v>291</v>
      </c>
      <c r="H71">
        <v>98.7</v>
      </c>
      <c r="I71">
        <v>87.02</v>
      </c>
      <c r="J71">
        <v>9</v>
      </c>
      <c r="K71" t="s">
        <v>15</v>
      </c>
    </row>
    <row r="72" spans="1:11" x14ac:dyDescent="0.3">
      <c r="A72" t="s">
        <v>97</v>
      </c>
      <c r="B72" t="s">
        <v>12</v>
      </c>
      <c r="C72" s="1">
        <v>44951</v>
      </c>
      <c r="D72" s="1">
        <v>44965</v>
      </c>
      <c r="E72" t="s">
        <v>21</v>
      </c>
      <c r="F72" t="s">
        <v>14</v>
      </c>
      <c r="G72">
        <v>826</v>
      </c>
      <c r="H72">
        <v>60.5</v>
      </c>
      <c r="I72">
        <v>57.18</v>
      </c>
      <c r="J72">
        <v>18</v>
      </c>
      <c r="K72" t="s">
        <v>15</v>
      </c>
    </row>
    <row r="73" spans="1:11" x14ac:dyDescent="0.3">
      <c r="A73" t="s">
        <v>98</v>
      </c>
      <c r="B73" t="s">
        <v>17</v>
      </c>
      <c r="C73" s="1">
        <v>44846</v>
      </c>
      <c r="D73" s="1">
        <v>44866</v>
      </c>
      <c r="E73" t="s">
        <v>39</v>
      </c>
      <c r="F73" t="s">
        <v>35</v>
      </c>
      <c r="G73">
        <v>1419</v>
      </c>
      <c r="H73">
        <v>69.64</v>
      </c>
      <c r="I73">
        <v>59.28</v>
      </c>
      <c r="J73">
        <v>194</v>
      </c>
      <c r="K73" t="s">
        <v>15</v>
      </c>
    </row>
    <row r="74" spans="1:11" x14ac:dyDescent="0.3">
      <c r="A74" t="s">
        <v>99</v>
      </c>
      <c r="B74" t="s">
        <v>20</v>
      </c>
      <c r="C74" s="1">
        <v>45026</v>
      </c>
      <c r="D74" s="1">
        <v>45043</v>
      </c>
      <c r="E74" t="s">
        <v>13</v>
      </c>
      <c r="F74" t="s">
        <v>18</v>
      </c>
      <c r="G74">
        <v>614</v>
      </c>
      <c r="H74">
        <v>78.06</v>
      </c>
      <c r="I74">
        <v>73.95</v>
      </c>
      <c r="J74">
        <v>40</v>
      </c>
      <c r="K74" t="s">
        <v>15</v>
      </c>
    </row>
    <row r="75" spans="1:11" x14ac:dyDescent="0.3">
      <c r="A75" t="s">
        <v>100</v>
      </c>
      <c r="B75" t="s">
        <v>12</v>
      </c>
      <c r="C75" s="1">
        <v>45212</v>
      </c>
      <c r="D75" s="1">
        <v>45227</v>
      </c>
      <c r="E75" t="s">
        <v>39</v>
      </c>
      <c r="F75" t="s">
        <v>18</v>
      </c>
      <c r="G75">
        <v>947</v>
      </c>
      <c r="H75">
        <v>56.25</v>
      </c>
      <c r="I75">
        <v>54.25</v>
      </c>
      <c r="J75">
        <v>19</v>
      </c>
      <c r="K75" t="s">
        <v>15</v>
      </c>
    </row>
    <row r="76" spans="1:11" x14ac:dyDescent="0.3">
      <c r="A76" t="s">
        <v>101</v>
      </c>
      <c r="B76" t="s">
        <v>29</v>
      </c>
      <c r="C76" s="1">
        <v>44935</v>
      </c>
      <c r="D76" s="1">
        <v>44954</v>
      </c>
      <c r="E76" t="s">
        <v>26</v>
      </c>
      <c r="F76" t="s">
        <v>18</v>
      </c>
      <c r="G76">
        <v>1413</v>
      </c>
      <c r="H76">
        <v>70.47</v>
      </c>
      <c r="I76">
        <v>69.650000000000006</v>
      </c>
      <c r="K76" t="s">
        <v>15</v>
      </c>
    </row>
    <row r="77" spans="1:11" x14ac:dyDescent="0.3">
      <c r="A77" t="s">
        <v>102</v>
      </c>
      <c r="B77" t="s">
        <v>12</v>
      </c>
      <c r="C77" s="1">
        <v>44728</v>
      </c>
      <c r="E77" t="s">
        <v>13</v>
      </c>
      <c r="F77" t="s">
        <v>33</v>
      </c>
      <c r="G77">
        <v>141</v>
      </c>
      <c r="H77">
        <v>64.150000000000006</v>
      </c>
      <c r="I77">
        <v>58.32</v>
      </c>
      <c r="K77" t="s">
        <v>15</v>
      </c>
    </row>
    <row r="78" spans="1:11" x14ac:dyDescent="0.3">
      <c r="A78" t="s">
        <v>103</v>
      </c>
      <c r="B78" t="s">
        <v>12</v>
      </c>
      <c r="C78" s="1">
        <v>44941</v>
      </c>
      <c r="D78" s="1">
        <v>44961</v>
      </c>
      <c r="E78" t="s">
        <v>13</v>
      </c>
      <c r="F78" t="s">
        <v>18</v>
      </c>
      <c r="G78">
        <v>1440</v>
      </c>
      <c r="H78">
        <v>96.57</v>
      </c>
      <c r="I78">
        <v>83.87</v>
      </c>
      <c r="J78">
        <v>36</v>
      </c>
      <c r="K78" t="s">
        <v>15</v>
      </c>
    </row>
    <row r="79" spans="1:11" x14ac:dyDescent="0.3">
      <c r="A79" t="s">
        <v>104</v>
      </c>
      <c r="B79" t="s">
        <v>17</v>
      </c>
      <c r="C79" s="1">
        <v>44925</v>
      </c>
      <c r="D79" s="1">
        <v>44929</v>
      </c>
      <c r="E79" t="s">
        <v>26</v>
      </c>
      <c r="F79" t="s">
        <v>18</v>
      </c>
      <c r="G79">
        <v>1005</v>
      </c>
      <c r="H79">
        <v>14.87</v>
      </c>
      <c r="I79">
        <v>12.79</v>
      </c>
      <c r="K79" t="s">
        <v>27</v>
      </c>
    </row>
    <row r="80" spans="1:11" x14ac:dyDescent="0.3">
      <c r="A80" t="s">
        <v>105</v>
      </c>
      <c r="B80" t="s">
        <v>12</v>
      </c>
      <c r="C80" s="1">
        <v>44776</v>
      </c>
      <c r="E80" t="s">
        <v>21</v>
      </c>
      <c r="F80" t="s">
        <v>18</v>
      </c>
      <c r="G80">
        <v>1528</v>
      </c>
      <c r="H80">
        <v>36.520000000000003</v>
      </c>
      <c r="I80">
        <v>33</v>
      </c>
      <c r="J80">
        <v>31</v>
      </c>
      <c r="K80" t="s">
        <v>27</v>
      </c>
    </row>
    <row r="81" spans="1:11" x14ac:dyDescent="0.3">
      <c r="A81" t="s">
        <v>106</v>
      </c>
      <c r="B81" t="s">
        <v>20</v>
      </c>
      <c r="C81" s="1">
        <v>45248</v>
      </c>
      <c r="D81" s="1">
        <v>45255</v>
      </c>
      <c r="E81" t="s">
        <v>21</v>
      </c>
      <c r="F81" t="s">
        <v>18</v>
      </c>
      <c r="G81">
        <v>1501</v>
      </c>
      <c r="H81">
        <v>106.05</v>
      </c>
      <c r="I81">
        <v>100.99</v>
      </c>
      <c r="J81">
        <v>77</v>
      </c>
      <c r="K81" t="s">
        <v>27</v>
      </c>
    </row>
    <row r="82" spans="1:11" x14ac:dyDescent="0.3">
      <c r="A82" t="s">
        <v>107</v>
      </c>
      <c r="B82" t="s">
        <v>17</v>
      </c>
      <c r="C82" s="1">
        <v>44835</v>
      </c>
      <c r="D82" s="1">
        <v>44838</v>
      </c>
      <c r="E82" t="s">
        <v>24</v>
      </c>
      <c r="F82" t="s">
        <v>18</v>
      </c>
      <c r="G82">
        <v>558</v>
      </c>
      <c r="H82">
        <v>94.18</v>
      </c>
      <c r="I82">
        <v>81.400000000000006</v>
      </c>
      <c r="K82" t="s">
        <v>27</v>
      </c>
    </row>
    <row r="83" spans="1:11" x14ac:dyDescent="0.3">
      <c r="A83" t="s">
        <v>108</v>
      </c>
      <c r="B83" t="s">
        <v>23</v>
      </c>
      <c r="C83" s="1">
        <v>45280</v>
      </c>
      <c r="D83" s="1">
        <v>45286</v>
      </c>
      <c r="E83" t="s">
        <v>21</v>
      </c>
      <c r="F83" t="s">
        <v>18</v>
      </c>
      <c r="G83">
        <v>825</v>
      </c>
      <c r="H83">
        <v>56.88</v>
      </c>
      <c r="I83">
        <v>50.84</v>
      </c>
      <c r="K83" t="s">
        <v>15</v>
      </c>
    </row>
    <row r="84" spans="1:11" x14ac:dyDescent="0.3">
      <c r="A84" t="s">
        <v>109</v>
      </c>
      <c r="B84" t="s">
        <v>23</v>
      </c>
      <c r="C84" s="1">
        <v>45261</v>
      </c>
      <c r="D84" s="1">
        <v>45267</v>
      </c>
      <c r="E84" t="s">
        <v>39</v>
      </c>
      <c r="F84" t="s">
        <v>14</v>
      </c>
      <c r="G84">
        <v>84</v>
      </c>
      <c r="H84">
        <v>73.38</v>
      </c>
      <c r="I84">
        <v>71.42</v>
      </c>
      <c r="J84">
        <v>9</v>
      </c>
      <c r="K84" t="s">
        <v>15</v>
      </c>
    </row>
    <row r="85" spans="1:11" x14ac:dyDescent="0.3">
      <c r="A85" t="s">
        <v>110</v>
      </c>
      <c r="B85" t="s">
        <v>17</v>
      </c>
      <c r="C85" s="1">
        <v>45225</v>
      </c>
      <c r="D85" s="1">
        <v>45240</v>
      </c>
      <c r="E85" t="s">
        <v>26</v>
      </c>
      <c r="F85" t="s">
        <v>18</v>
      </c>
      <c r="G85">
        <v>255</v>
      </c>
      <c r="H85">
        <v>38.64</v>
      </c>
      <c r="I85">
        <v>33.590000000000003</v>
      </c>
      <c r="J85">
        <v>27</v>
      </c>
      <c r="K85" t="s">
        <v>27</v>
      </c>
    </row>
    <row r="86" spans="1:11" x14ac:dyDescent="0.3">
      <c r="A86" t="s">
        <v>111</v>
      </c>
      <c r="B86" t="s">
        <v>20</v>
      </c>
      <c r="C86" s="1">
        <v>44635</v>
      </c>
      <c r="D86" s="1">
        <v>44651</v>
      </c>
      <c r="E86" t="s">
        <v>21</v>
      </c>
      <c r="F86" t="s">
        <v>18</v>
      </c>
      <c r="G86">
        <v>1154</v>
      </c>
      <c r="H86">
        <v>27.2</v>
      </c>
      <c r="I86">
        <v>26.07</v>
      </c>
      <c r="J86">
        <v>58</v>
      </c>
      <c r="K86" t="s">
        <v>15</v>
      </c>
    </row>
    <row r="87" spans="1:11" x14ac:dyDescent="0.3">
      <c r="A87" t="s">
        <v>112</v>
      </c>
      <c r="B87" t="s">
        <v>17</v>
      </c>
      <c r="C87" s="1">
        <v>45185</v>
      </c>
      <c r="D87" s="1">
        <v>45193</v>
      </c>
      <c r="E87" t="s">
        <v>13</v>
      </c>
      <c r="F87" t="s">
        <v>18</v>
      </c>
      <c r="G87">
        <v>1635</v>
      </c>
      <c r="H87">
        <v>56.91</v>
      </c>
      <c r="I87">
        <v>54.37</v>
      </c>
      <c r="J87">
        <v>262</v>
      </c>
      <c r="K87" t="s">
        <v>27</v>
      </c>
    </row>
    <row r="88" spans="1:11" x14ac:dyDescent="0.3">
      <c r="A88" t="s">
        <v>113</v>
      </c>
      <c r="B88" t="s">
        <v>17</v>
      </c>
      <c r="C88" s="1">
        <v>45212</v>
      </c>
      <c r="D88" s="1">
        <v>45222</v>
      </c>
      <c r="E88" t="s">
        <v>26</v>
      </c>
      <c r="F88" t="s">
        <v>18</v>
      </c>
      <c r="G88">
        <v>1945</v>
      </c>
      <c r="H88">
        <v>46.19</v>
      </c>
      <c r="I88">
        <v>40.119999999999997</v>
      </c>
      <c r="J88">
        <v>278</v>
      </c>
      <c r="K88" t="s">
        <v>27</v>
      </c>
    </row>
    <row r="89" spans="1:11" x14ac:dyDescent="0.3">
      <c r="A89" t="s">
        <v>114</v>
      </c>
      <c r="B89" t="s">
        <v>17</v>
      </c>
      <c r="C89" s="1">
        <v>44737</v>
      </c>
      <c r="D89" s="1">
        <v>44752</v>
      </c>
      <c r="E89" t="s">
        <v>21</v>
      </c>
      <c r="F89" t="s">
        <v>33</v>
      </c>
      <c r="G89">
        <v>1461</v>
      </c>
      <c r="H89">
        <v>64.09</v>
      </c>
      <c r="I89">
        <v>63.39</v>
      </c>
      <c r="J89">
        <v>228</v>
      </c>
      <c r="K89" t="s">
        <v>27</v>
      </c>
    </row>
    <row r="90" spans="1:11" x14ac:dyDescent="0.3">
      <c r="A90" t="s">
        <v>115</v>
      </c>
      <c r="B90" t="s">
        <v>17</v>
      </c>
      <c r="C90" s="1">
        <v>45108</v>
      </c>
      <c r="D90" s="1">
        <v>45116</v>
      </c>
      <c r="E90" t="s">
        <v>39</v>
      </c>
      <c r="F90" t="s">
        <v>18</v>
      </c>
      <c r="G90">
        <v>1075</v>
      </c>
      <c r="H90">
        <v>18.53</v>
      </c>
      <c r="I90">
        <v>16.12</v>
      </c>
      <c r="J90">
        <v>147</v>
      </c>
      <c r="K90" t="s">
        <v>15</v>
      </c>
    </row>
    <row r="91" spans="1:11" x14ac:dyDescent="0.3">
      <c r="A91" t="s">
        <v>116</v>
      </c>
      <c r="B91" t="s">
        <v>12</v>
      </c>
      <c r="C91" s="1">
        <v>44812</v>
      </c>
      <c r="E91" t="s">
        <v>24</v>
      </c>
      <c r="F91" t="s">
        <v>18</v>
      </c>
      <c r="G91">
        <v>1071</v>
      </c>
      <c r="H91">
        <v>101.6</v>
      </c>
      <c r="I91">
        <v>93.91</v>
      </c>
      <c r="J91">
        <v>25</v>
      </c>
      <c r="K91" t="s">
        <v>15</v>
      </c>
    </row>
    <row r="92" spans="1:11" x14ac:dyDescent="0.3">
      <c r="A92" t="s">
        <v>117</v>
      </c>
      <c r="B92" t="s">
        <v>29</v>
      </c>
      <c r="C92" s="1">
        <v>44729</v>
      </c>
      <c r="D92" s="1">
        <v>44748</v>
      </c>
      <c r="E92" t="s">
        <v>24</v>
      </c>
      <c r="F92" t="s">
        <v>35</v>
      </c>
      <c r="G92">
        <v>1463</v>
      </c>
      <c r="H92">
        <v>101.23</v>
      </c>
      <c r="I92">
        <v>86.17</v>
      </c>
      <c r="J92">
        <v>43</v>
      </c>
      <c r="K92" t="s">
        <v>15</v>
      </c>
    </row>
    <row r="93" spans="1:11" x14ac:dyDescent="0.3">
      <c r="A93" t="s">
        <v>118</v>
      </c>
      <c r="B93" t="s">
        <v>23</v>
      </c>
      <c r="C93" s="1">
        <v>45035</v>
      </c>
      <c r="D93" s="1">
        <v>45042</v>
      </c>
      <c r="E93" t="s">
        <v>26</v>
      </c>
      <c r="F93" t="s">
        <v>18</v>
      </c>
      <c r="G93">
        <v>615</v>
      </c>
      <c r="H93">
        <v>78.3</v>
      </c>
      <c r="I93">
        <v>73.680000000000007</v>
      </c>
      <c r="J93">
        <v>69</v>
      </c>
      <c r="K93" t="s">
        <v>15</v>
      </c>
    </row>
    <row r="94" spans="1:11" x14ac:dyDescent="0.3">
      <c r="A94" t="s">
        <v>119</v>
      </c>
      <c r="B94" t="s">
        <v>20</v>
      </c>
      <c r="C94" s="1">
        <v>44950</v>
      </c>
      <c r="D94" s="1">
        <v>44968</v>
      </c>
      <c r="E94" t="s">
        <v>39</v>
      </c>
      <c r="F94" t="s">
        <v>18</v>
      </c>
      <c r="G94">
        <v>1179</v>
      </c>
      <c r="H94">
        <v>61.74</v>
      </c>
      <c r="I94">
        <v>56.28</v>
      </c>
      <c r="K94" t="s">
        <v>15</v>
      </c>
    </row>
    <row r="95" spans="1:11" x14ac:dyDescent="0.3">
      <c r="A95" t="s">
        <v>120</v>
      </c>
      <c r="B95" t="s">
        <v>12</v>
      </c>
      <c r="C95" s="1">
        <v>44838</v>
      </c>
      <c r="D95" s="1">
        <v>44843</v>
      </c>
      <c r="E95" t="s">
        <v>39</v>
      </c>
      <c r="F95" t="s">
        <v>33</v>
      </c>
      <c r="G95">
        <v>1845</v>
      </c>
      <c r="H95">
        <v>39.56</v>
      </c>
      <c r="I95">
        <v>37.630000000000003</v>
      </c>
      <c r="J95">
        <v>45</v>
      </c>
      <c r="K95" t="s">
        <v>15</v>
      </c>
    </row>
    <row r="96" spans="1:11" x14ac:dyDescent="0.3">
      <c r="A96" t="s">
        <v>121</v>
      </c>
      <c r="B96" t="s">
        <v>23</v>
      </c>
      <c r="C96" s="1">
        <v>45217</v>
      </c>
      <c r="E96" t="s">
        <v>39</v>
      </c>
      <c r="F96" t="s">
        <v>14</v>
      </c>
      <c r="G96">
        <v>1895</v>
      </c>
      <c r="H96">
        <v>91.98</v>
      </c>
      <c r="I96">
        <v>86.27</v>
      </c>
      <c r="J96">
        <v>170</v>
      </c>
      <c r="K96" t="s">
        <v>15</v>
      </c>
    </row>
    <row r="97" spans="1:11" x14ac:dyDescent="0.3">
      <c r="A97" t="s">
        <v>122</v>
      </c>
      <c r="B97" t="s">
        <v>29</v>
      </c>
      <c r="C97" s="1">
        <v>45266</v>
      </c>
      <c r="D97" s="1">
        <v>45269</v>
      </c>
      <c r="E97" t="s">
        <v>21</v>
      </c>
      <c r="F97" t="s">
        <v>33</v>
      </c>
      <c r="G97">
        <v>1550</v>
      </c>
      <c r="H97">
        <v>79.86</v>
      </c>
      <c r="I97">
        <v>69.569999999999993</v>
      </c>
      <c r="J97">
        <v>32</v>
      </c>
      <c r="K97" t="s">
        <v>27</v>
      </c>
    </row>
    <row r="98" spans="1:11" x14ac:dyDescent="0.3">
      <c r="A98" t="s">
        <v>123</v>
      </c>
      <c r="B98" t="s">
        <v>17</v>
      </c>
      <c r="C98" s="1">
        <v>45132</v>
      </c>
      <c r="D98" s="1">
        <v>45142</v>
      </c>
      <c r="E98" t="s">
        <v>24</v>
      </c>
      <c r="F98" t="s">
        <v>18</v>
      </c>
      <c r="G98">
        <v>752</v>
      </c>
      <c r="H98">
        <v>26.85</v>
      </c>
      <c r="I98">
        <v>24.37</v>
      </c>
      <c r="K98" t="s">
        <v>27</v>
      </c>
    </row>
    <row r="99" spans="1:11" x14ac:dyDescent="0.3">
      <c r="A99" t="s">
        <v>124</v>
      </c>
      <c r="B99" t="s">
        <v>29</v>
      </c>
      <c r="C99" s="1">
        <v>44786</v>
      </c>
      <c r="D99" s="1">
        <v>44805</v>
      </c>
      <c r="E99" t="s">
        <v>39</v>
      </c>
      <c r="F99" t="s">
        <v>18</v>
      </c>
      <c r="G99">
        <v>451</v>
      </c>
      <c r="H99">
        <v>95.2</v>
      </c>
      <c r="I99">
        <v>90.07</v>
      </c>
      <c r="J99">
        <v>21</v>
      </c>
      <c r="K99" t="s">
        <v>15</v>
      </c>
    </row>
    <row r="100" spans="1:11" x14ac:dyDescent="0.3">
      <c r="A100" t="s">
        <v>125</v>
      </c>
      <c r="B100" t="s">
        <v>23</v>
      </c>
      <c r="C100" s="1">
        <v>45263</v>
      </c>
      <c r="E100" t="s">
        <v>13</v>
      </c>
      <c r="F100" t="s">
        <v>18</v>
      </c>
      <c r="G100">
        <v>779</v>
      </c>
      <c r="H100">
        <v>93.69</v>
      </c>
      <c r="I100">
        <v>90.92</v>
      </c>
      <c r="J100">
        <v>66</v>
      </c>
      <c r="K100" t="s">
        <v>15</v>
      </c>
    </row>
    <row r="101" spans="1:11" x14ac:dyDescent="0.3">
      <c r="A101" t="s">
        <v>126</v>
      </c>
      <c r="B101" t="s">
        <v>23</v>
      </c>
      <c r="C101" s="1">
        <v>44894</v>
      </c>
      <c r="D101" s="1">
        <v>44909</v>
      </c>
      <c r="E101" t="s">
        <v>21</v>
      </c>
      <c r="F101" t="s">
        <v>35</v>
      </c>
      <c r="G101">
        <v>1629</v>
      </c>
      <c r="H101">
        <v>100.26</v>
      </c>
      <c r="I101">
        <v>86.44</v>
      </c>
      <c r="J101">
        <v>187</v>
      </c>
      <c r="K101" t="s">
        <v>27</v>
      </c>
    </row>
    <row r="102" spans="1:11" x14ac:dyDescent="0.3">
      <c r="A102" t="s">
        <v>127</v>
      </c>
      <c r="B102" t="s">
        <v>12</v>
      </c>
      <c r="C102" s="1">
        <v>44619</v>
      </c>
      <c r="D102" s="1">
        <v>44614</v>
      </c>
      <c r="E102" t="s">
        <v>13</v>
      </c>
      <c r="F102" t="s">
        <v>18</v>
      </c>
      <c r="G102">
        <v>211</v>
      </c>
      <c r="H102">
        <v>75.69</v>
      </c>
      <c r="I102">
        <v>65.400000000000006</v>
      </c>
      <c r="J102">
        <v>2</v>
      </c>
      <c r="K102" t="s">
        <v>15</v>
      </c>
    </row>
    <row r="103" spans="1:11" x14ac:dyDescent="0.3">
      <c r="A103" t="s">
        <v>128</v>
      </c>
      <c r="B103" t="s">
        <v>12</v>
      </c>
      <c r="C103" s="1">
        <v>44796</v>
      </c>
      <c r="E103" t="s">
        <v>13</v>
      </c>
      <c r="F103" t="s">
        <v>18</v>
      </c>
      <c r="G103">
        <v>251</v>
      </c>
      <c r="H103">
        <v>67.489999999999995</v>
      </c>
      <c r="I103">
        <v>64.48</v>
      </c>
      <c r="J103">
        <v>2</v>
      </c>
      <c r="K103" t="s">
        <v>15</v>
      </c>
    </row>
    <row r="104" spans="1:11" x14ac:dyDescent="0.3">
      <c r="A104" t="s">
        <v>129</v>
      </c>
      <c r="B104" t="s">
        <v>20</v>
      </c>
      <c r="C104" s="1">
        <v>44594</v>
      </c>
      <c r="D104" s="1">
        <v>44610</v>
      </c>
      <c r="E104" t="s">
        <v>26</v>
      </c>
      <c r="F104" t="s">
        <v>18</v>
      </c>
      <c r="G104">
        <v>1045</v>
      </c>
      <c r="H104">
        <v>47.88</v>
      </c>
      <c r="I104">
        <v>44.65</v>
      </c>
      <c r="J104">
        <v>69</v>
      </c>
      <c r="K104" t="s">
        <v>15</v>
      </c>
    </row>
    <row r="105" spans="1:11" x14ac:dyDescent="0.3">
      <c r="A105" t="s">
        <v>130</v>
      </c>
      <c r="B105" t="s">
        <v>17</v>
      </c>
      <c r="C105" s="1">
        <v>44885</v>
      </c>
      <c r="D105" s="1">
        <v>44905</v>
      </c>
      <c r="E105" t="s">
        <v>21</v>
      </c>
      <c r="F105" t="s">
        <v>18</v>
      </c>
      <c r="G105">
        <v>319</v>
      </c>
      <c r="H105">
        <v>98.64</v>
      </c>
      <c r="I105">
        <v>89.15</v>
      </c>
      <c r="J105">
        <v>57</v>
      </c>
      <c r="K105" t="s">
        <v>15</v>
      </c>
    </row>
    <row r="106" spans="1:11" x14ac:dyDescent="0.3">
      <c r="A106" t="s">
        <v>131</v>
      </c>
      <c r="B106" t="s">
        <v>29</v>
      </c>
      <c r="C106" s="1">
        <v>44972</v>
      </c>
      <c r="D106" s="1">
        <v>44986</v>
      </c>
      <c r="E106" t="s">
        <v>13</v>
      </c>
      <c r="F106" t="s">
        <v>33</v>
      </c>
      <c r="G106">
        <v>1936</v>
      </c>
      <c r="H106">
        <v>93.66</v>
      </c>
      <c r="I106">
        <v>92.24</v>
      </c>
      <c r="J106">
        <v>58</v>
      </c>
      <c r="K106" t="s">
        <v>15</v>
      </c>
    </row>
    <row r="107" spans="1:11" x14ac:dyDescent="0.3">
      <c r="A107" t="s">
        <v>132</v>
      </c>
      <c r="B107" t="s">
        <v>17</v>
      </c>
      <c r="C107" s="1">
        <v>44836</v>
      </c>
      <c r="D107" s="1">
        <v>44856</v>
      </c>
      <c r="E107" t="s">
        <v>21</v>
      </c>
      <c r="F107" t="s">
        <v>14</v>
      </c>
      <c r="G107">
        <v>865</v>
      </c>
      <c r="H107">
        <v>14.7</v>
      </c>
      <c r="I107">
        <v>13.14</v>
      </c>
      <c r="J107">
        <v>135</v>
      </c>
      <c r="K107" t="s">
        <v>27</v>
      </c>
    </row>
    <row r="108" spans="1:11" x14ac:dyDescent="0.3">
      <c r="A108" t="s">
        <v>133</v>
      </c>
      <c r="B108" t="s">
        <v>29</v>
      </c>
      <c r="C108" s="1">
        <v>44629</v>
      </c>
      <c r="D108" s="1">
        <v>44632</v>
      </c>
      <c r="E108" t="s">
        <v>39</v>
      </c>
      <c r="F108" t="s">
        <v>18</v>
      </c>
      <c r="G108">
        <v>1344</v>
      </c>
      <c r="H108">
        <v>12.5</v>
      </c>
      <c r="I108">
        <v>10.87</v>
      </c>
      <c r="J108">
        <v>44</v>
      </c>
      <c r="K108" t="s">
        <v>15</v>
      </c>
    </row>
    <row r="109" spans="1:11" x14ac:dyDescent="0.3">
      <c r="A109" t="s">
        <v>134</v>
      </c>
      <c r="B109" t="s">
        <v>17</v>
      </c>
      <c r="C109" s="1">
        <v>44778</v>
      </c>
      <c r="D109" s="1">
        <v>44797</v>
      </c>
      <c r="E109" t="s">
        <v>26</v>
      </c>
      <c r="F109" t="s">
        <v>35</v>
      </c>
      <c r="G109">
        <v>505</v>
      </c>
      <c r="H109">
        <v>45.42</v>
      </c>
      <c r="I109">
        <v>40.369999999999997</v>
      </c>
      <c r="J109">
        <v>62</v>
      </c>
      <c r="K109" t="s">
        <v>15</v>
      </c>
    </row>
    <row r="110" spans="1:11" x14ac:dyDescent="0.3">
      <c r="A110" t="s">
        <v>135</v>
      </c>
      <c r="B110" t="s">
        <v>23</v>
      </c>
      <c r="C110" s="1">
        <v>45142</v>
      </c>
      <c r="D110" s="1">
        <v>45143</v>
      </c>
      <c r="E110" t="s">
        <v>24</v>
      </c>
      <c r="F110" t="s">
        <v>18</v>
      </c>
      <c r="G110">
        <v>1535</v>
      </c>
      <c r="H110">
        <v>90.83</v>
      </c>
      <c r="I110">
        <v>78.28</v>
      </c>
      <c r="J110">
        <v>151</v>
      </c>
      <c r="K110" t="s">
        <v>27</v>
      </c>
    </row>
    <row r="111" spans="1:11" x14ac:dyDescent="0.3">
      <c r="A111" t="s">
        <v>136</v>
      </c>
      <c r="B111" t="s">
        <v>23</v>
      </c>
      <c r="C111" s="1">
        <v>44884</v>
      </c>
      <c r="E111" t="s">
        <v>13</v>
      </c>
      <c r="F111" t="s">
        <v>18</v>
      </c>
      <c r="G111">
        <v>1800</v>
      </c>
      <c r="H111">
        <v>103.8</v>
      </c>
      <c r="I111">
        <v>96.27</v>
      </c>
      <c r="J111">
        <v>166</v>
      </c>
      <c r="K111" t="s">
        <v>15</v>
      </c>
    </row>
    <row r="112" spans="1:11" x14ac:dyDescent="0.3">
      <c r="A112" t="s">
        <v>137</v>
      </c>
      <c r="B112" t="s">
        <v>17</v>
      </c>
      <c r="C112" s="1">
        <v>44779</v>
      </c>
      <c r="D112" s="1">
        <v>44788</v>
      </c>
      <c r="E112" t="s">
        <v>26</v>
      </c>
      <c r="F112" t="s">
        <v>35</v>
      </c>
      <c r="G112">
        <v>1325</v>
      </c>
      <c r="H112">
        <v>24.36</v>
      </c>
      <c r="I112">
        <v>22.75</v>
      </c>
      <c r="J112">
        <v>206</v>
      </c>
      <c r="K112" t="s">
        <v>15</v>
      </c>
    </row>
    <row r="113" spans="1:11" x14ac:dyDescent="0.3">
      <c r="A113" t="s">
        <v>138</v>
      </c>
      <c r="B113" t="s">
        <v>20</v>
      </c>
      <c r="C113" s="1">
        <v>45233</v>
      </c>
      <c r="D113" s="1">
        <v>45239</v>
      </c>
      <c r="E113" t="s">
        <v>26</v>
      </c>
      <c r="F113" t="s">
        <v>18</v>
      </c>
      <c r="G113">
        <v>1066</v>
      </c>
      <c r="H113">
        <v>70.45</v>
      </c>
      <c r="I113">
        <v>65.88</v>
      </c>
      <c r="J113">
        <v>56</v>
      </c>
      <c r="K113" t="s">
        <v>27</v>
      </c>
    </row>
    <row r="114" spans="1:11" x14ac:dyDescent="0.3">
      <c r="A114" t="s">
        <v>139</v>
      </c>
      <c r="B114" t="s">
        <v>23</v>
      </c>
      <c r="C114" s="1">
        <v>45073</v>
      </c>
      <c r="D114" s="1">
        <v>45088</v>
      </c>
      <c r="E114" t="s">
        <v>26</v>
      </c>
      <c r="F114" t="s">
        <v>18</v>
      </c>
      <c r="G114">
        <v>1775</v>
      </c>
      <c r="H114">
        <v>47.82</v>
      </c>
      <c r="I114">
        <v>45.86</v>
      </c>
      <c r="J114">
        <v>180</v>
      </c>
      <c r="K114" t="s">
        <v>15</v>
      </c>
    </row>
    <row r="115" spans="1:11" x14ac:dyDescent="0.3">
      <c r="A115" t="s">
        <v>140</v>
      </c>
      <c r="B115" t="s">
        <v>20</v>
      </c>
      <c r="C115" s="1">
        <v>44967</v>
      </c>
      <c r="E115" t="s">
        <v>26</v>
      </c>
      <c r="F115" t="s">
        <v>33</v>
      </c>
      <c r="G115">
        <v>345</v>
      </c>
      <c r="H115">
        <v>103.62</v>
      </c>
      <c r="I115">
        <v>98.09</v>
      </c>
      <c r="J115">
        <v>25</v>
      </c>
      <c r="K115" t="s">
        <v>27</v>
      </c>
    </row>
    <row r="116" spans="1:11" x14ac:dyDescent="0.3">
      <c r="A116" t="s">
        <v>141</v>
      </c>
      <c r="B116" t="s">
        <v>23</v>
      </c>
      <c r="C116" s="1">
        <v>45220</v>
      </c>
      <c r="D116" s="1">
        <v>45239</v>
      </c>
      <c r="E116" t="s">
        <v>39</v>
      </c>
      <c r="F116" t="s">
        <v>18</v>
      </c>
      <c r="G116">
        <v>1798</v>
      </c>
      <c r="H116">
        <v>94.8</v>
      </c>
      <c r="I116">
        <v>91.83</v>
      </c>
      <c r="K116" t="s">
        <v>15</v>
      </c>
    </row>
    <row r="117" spans="1:11" x14ac:dyDescent="0.3">
      <c r="A117" t="s">
        <v>142</v>
      </c>
      <c r="B117" t="s">
        <v>12</v>
      </c>
      <c r="C117" s="1">
        <v>45031</v>
      </c>
      <c r="D117" s="1">
        <v>45047</v>
      </c>
      <c r="E117" t="s">
        <v>21</v>
      </c>
      <c r="F117" t="s">
        <v>18</v>
      </c>
      <c r="G117">
        <v>769</v>
      </c>
      <c r="H117">
        <v>91.86</v>
      </c>
      <c r="I117">
        <v>86.55</v>
      </c>
      <c r="J117">
        <v>17</v>
      </c>
      <c r="K117" t="s">
        <v>15</v>
      </c>
    </row>
    <row r="118" spans="1:11" x14ac:dyDescent="0.3">
      <c r="A118" t="s">
        <v>143</v>
      </c>
      <c r="B118" t="s">
        <v>12</v>
      </c>
      <c r="C118" s="1">
        <v>44708</v>
      </c>
      <c r="E118" t="s">
        <v>24</v>
      </c>
      <c r="F118" t="s">
        <v>18</v>
      </c>
      <c r="G118">
        <v>1822</v>
      </c>
      <c r="H118">
        <v>53.23</v>
      </c>
      <c r="I118">
        <v>47.49</v>
      </c>
      <c r="J118">
        <v>39</v>
      </c>
      <c r="K118" t="s">
        <v>15</v>
      </c>
    </row>
    <row r="119" spans="1:11" x14ac:dyDescent="0.3">
      <c r="A119" t="s">
        <v>144</v>
      </c>
      <c r="B119" t="s">
        <v>17</v>
      </c>
      <c r="C119" s="1">
        <v>44833</v>
      </c>
      <c r="D119" s="1">
        <v>44847</v>
      </c>
      <c r="E119" t="s">
        <v>24</v>
      </c>
      <c r="F119" t="s">
        <v>18</v>
      </c>
      <c r="G119">
        <v>387</v>
      </c>
      <c r="H119">
        <v>49.23</v>
      </c>
      <c r="I119">
        <v>45.41</v>
      </c>
      <c r="J119">
        <v>61</v>
      </c>
      <c r="K119" t="s">
        <v>15</v>
      </c>
    </row>
    <row r="120" spans="1:11" x14ac:dyDescent="0.3">
      <c r="A120" t="s">
        <v>145</v>
      </c>
      <c r="B120" t="s">
        <v>29</v>
      </c>
      <c r="C120" s="1">
        <v>44704</v>
      </c>
      <c r="D120" s="1">
        <v>44708</v>
      </c>
      <c r="E120" t="s">
        <v>21</v>
      </c>
      <c r="F120" t="s">
        <v>18</v>
      </c>
      <c r="G120">
        <v>928</v>
      </c>
      <c r="H120">
        <v>35.299999999999997</v>
      </c>
      <c r="I120">
        <v>32.520000000000003</v>
      </c>
      <c r="J120">
        <v>26</v>
      </c>
      <c r="K120" t="s">
        <v>15</v>
      </c>
    </row>
    <row r="121" spans="1:11" x14ac:dyDescent="0.3">
      <c r="A121" t="s">
        <v>146</v>
      </c>
      <c r="B121" t="s">
        <v>12</v>
      </c>
      <c r="C121" s="1">
        <v>44814</v>
      </c>
      <c r="D121" s="1">
        <v>44825</v>
      </c>
      <c r="E121" t="s">
        <v>24</v>
      </c>
      <c r="F121" t="s">
        <v>33</v>
      </c>
      <c r="G121">
        <v>1126</v>
      </c>
      <c r="H121">
        <v>15.68</v>
      </c>
      <c r="I121">
        <v>14.97</v>
      </c>
      <c r="J121">
        <v>27</v>
      </c>
      <c r="K121" t="s">
        <v>15</v>
      </c>
    </row>
    <row r="122" spans="1:11" x14ac:dyDescent="0.3">
      <c r="A122" t="s">
        <v>147</v>
      </c>
      <c r="B122" t="s">
        <v>23</v>
      </c>
      <c r="C122" s="1">
        <v>45136</v>
      </c>
      <c r="D122" s="1">
        <v>45152</v>
      </c>
      <c r="E122" t="s">
        <v>26</v>
      </c>
      <c r="F122" t="s">
        <v>14</v>
      </c>
      <c r="G122">
        <v>841</v>
      </c>
      <c r="H122">
        <v>95.73</v>
      </c>
      <c r="I122">
        <v>85.33</v>
      </c>
      <c r="J122">
        <v>81</v>
      </c>
      <c r="K122" t="s">
        <v>15</v>
      </c>
    </row>
    <row r="123" spans="1:11" x14ac:dyDescent="0.3">
      <c r="A123" t="s">
        <v>148</v>
      </c>
      <c r="B123" t="s">
        <v>23</v>
      </c>
      <c r="C123" s="1">
        <v>45113</v>
      </c>
      <c r="D123" s="1">
        <v>45126</v>
      </c>
      <c r="E123" t="s">
        <v>39</v>
      </c>
      <c r="F123" t="s">
        <v>18</v>
      </c>
      <c r="G123">
        <v>1995</v>
      </c>
      <c r="H123">
        <v>90.65</v>
      </c>
      <c r="I123">
        <v>77.75</v>
      </c>
      <c r="J123">
        <v>206</v>
      </c>
      <c r="K123" t="s">
        <v>15</v>
      </c>
    </row>
    <row r="124" spans="1:11" x14ac:dyDescent="0.3">
      <c r="A124" t="s">
        <v>149</v>
      </c>
      <c r="B124" t="s">
        <v>12</v>
      </c>
      <c r="C124" s="1">
        <v>44831</v>
      </c>
      <c r="D124" s="1">
        <v>44849</v>
      </c>
      <c r="E124" t="s">
        <v>26</v>
      </c>
      <c r="F124" t="s">
        <v>18</v>
      </c>
      <c r="G124">
        <v>266</v>
      </c>
      <c r="H124">
        <v>103.97</v>
      </c>
      <c r="I124">
        <v>101.44</v>
      </c>
      <c r="J124">
        <v>6</v>
      </c>
      <c r="K124" t="s">
        <v>15</v>
      </c>
    </row>
    <row r="125" spans="1:11" x14ac:dyDescent="0.3">
      <c r="A125" t="s">
        <v>150</v>
      </c>
      <c r="B125" t="s">
        <v>12</v>
      </c>
      <c r="C125" s="1">
        <v>45160</v>
      </c>
      <c r="D125" s="1">
        <v>45163</v>
      </c>
      <c r="E125" t="s">
        <v>26</v>
      </c>
      <c r="F125" t="s">
        <v>14</v>
      </c>
      <c r="G125">
        <v>813</v>
      </c>
      <c r="H125">
        <v>109.17</v>
      </c>
      <c r="I125">
        <v>107.39</v>
      </c>
      <c r="J125">
        <v>14</v>
      </c>
      <c r="K125" t="s">
        <v>15</v>
      </c>
    </row>
    <row r="126" spans="1:11" x14ac:dyDescent="0.3">
      <c r="A126" t="s">
        <v>151</v>
      </c>
      <c r="B126" t="s">
        <v>29</v>
      </c>
      <c r="C126" s="1">
        <v>45000</v>
      </c>
      <c r="D126" s="1">
        <v>45011</v>
      </c>
      <c r="E126" t="s">
        <v>39</v>
      </c>
      <c r="F126" t="s">
        <v>18</v>
      </c>
      <c r="G126">
        <v>237</v>
      </c>
      <c r="H126">
        <v>64.19</v>
      </c>
      <c r="I126">
        <v>59.01</v>
      </c>
      <c r="J126">
        <v>7</v>
      </c>
      <c r="K126" t="s">
        <v>15</v>
      </c>
    </row>
    <row r="127" spans="1:11" x14ac:dyDescent="0.3">
      <c r="A127" t="s">
        <v>152</v>
      </c>
      <c r="B127" t="s">
        <v>12</v>
      </c>
      <c r="C127" s="1">
        <v>45159</v>
      </c>
      <c r="D127" s="1">
        <v>45172</v>
      </c>
      <c r="E127" t="s">
        <v>13</v>
      </c>
      <c r="F127" t="s">
        <v>14</v>
      </c>
      <c r="G127">
        <v>429</v>
      </c>
      <c r="H127">
        <v>86.73</v>
      </c>
      <c r="I127">
        <v>75.09</v>
      </c>
      <c r="J127">
        <v>9</v>
      </c>
      <c r="K127" t="s">
        <v>15</v>
      </c>
    </row>
    <row r="128" spans="1:11" x14ac:dyDescent="0.3">
      <c r="A128" t="s">
        <v>153</v>
      </c>
      <c r="B128" t="s">
        <v>17</v>
      </c>
      <c r="C128" s="1">
        <v>44970</v>
      </c>
      <c r="D128" s="1">
        <v>44971</v>
      </c>
      <c r="E128" t="s">
        <v>24</v>
      </c>
      <c r="F128" t="s">
        <v>18</v>
      </c>
      <c r="G128">
        <v>542</v>
      </c>
      <c r="H128">
        <v>101.21</v>
      </c>
      <c r="I128">
        <v>93.11</v>
      </c>
      <c r="J128">
        <v>78</v>
      </c>
      <c r="K128" t="s">
        <v>27</v>
      </c>
    </row>
    <row r="129" spans="1:11" x14ac:dyDescent="0.3">
      <c r="A129" t="s">
        <v>154</v>
      </c>
      <c r="B129" t="s">
        <v>29</v>
      </c>
      <c r="C129" s="1">
        <v>44932</v>
      </c>
      <c r="D129" s="1">
        <v>44950</v>
      </c>
      <c r="E129" t="s">
        <v>39</v>
      </c>
      <c r="F129" t="s">
        <v>18</v>
      </c>
      <c r="G129">
        <v>1114</v>
      </c>
      <c r="H129">
        <v>91.66</v>
      </c>
      <c r="I129">
        <v>85.53</v>
      </c>
      <c r="J129">
        <v>35</v>
      </c>
      <c r="K129" t="s">
        <v>15</v>
      </c>
    </row>
    <row r="130" spans="1:11" x14ac:dyDescent="0.3">
      <c r="A130" t="s">
        <v>155</v>
      </c>
      <c r="B130" t="s">
        <v>12</v>
      </c>
      <c r="C130" s="1">
        <v>44786</v>
      </c>
      <c r="D130" s="1">
        <v>44788</v>
      </c>
      <c r="E130" t="s">
        <v>21</v>
      </c>
      <c r="F130" t="s">
        <v>18</v>
      </c>
      <c r="G130">
        <v>1230</v>
      </c>
      <c r="H130">
        <v>33.39</v>
      </c>
      <c r="I130">
        <v>30.85</v>
      </c>
      <c r="J130">
        <v>26</v>
      </c>
      <c r="K130" t="s">
        <v>15</v>
      </c>
    </row>
    <row r="131" spans="1:11" x14ac:dyDescent="0.3">
      <c r="A131" t="s">
        <v>156</v>
      </c>
      <c r="B131" t="s">
        <v>23</v>
      </c>
      <c r="C131" s="1">
        <v>44703</v>
      </c>
      <c r="D131" s="1">
        <v>44715</v>
      </c>
      <c r="E131" t="s">
        <v>21</v>
      </c>
      <c r="F131" t="s">
        <v>18</v>
      </c>
      <c r="G131">
        <v>64</v>
      </c>
      <c r="H131">
        <v>51.56</v>
      </c>
      <c r="I131">
        <v>50.88</v>
      </c>
      <c r="J131">
        <v>5</v>
      </c>
      <c r="K131" t="s">
        <v>15</v>
      </c>
    </row>
    <row r="132" spans="1:11" x14ac:dyDescent="0.3">
      <c r="A132" t="s">
        <v>157</v>
      </c>
      <c r="B132" t="s">
        <v>12</v>
      </c>
      <c r="C132" s="1">
        <v>45083</v>
      </c>
      <c r="D132" s="1">
        <v>45099</v>
      </c>
      <c r="E132" t="s">
        <v>21</v>
      </c>
      <c r="F132" t="s">
        <v>18</v>
      </c>
      <c r="G132">
        <v>1886</v>
      </c>
      <c r="H132">
        <v>23.46</v>
      </c>
      <c r="I132">
        <v>23.18</v>
      </c>
      <c r="K132" t="s">
        <v>15</v>
      </c>
    </row>
    <row r="133" spans="1:11" x14ac:dyDescent="0.3">
      <c r="A133" t="s">
        <v>158</v>
      </c>
      <c r="B133" t="s">
        <v>17</v>
      </c>
      <c r="C133" s="1">
        <v>45067</v>
      </c>
      <c r="D133" s="1">
        <v>45069</v>
      </c>
      <c r="E133" t="s">
        <v>13</v>
      </c>
      <c r="F133" t="s">
        <v>18</v>
      </c>
      <c r="G133">
        <v>114</v>
      </c>
      <c r="H133">
        <v>103.53</v>
      </c>
      <c r="I133">
        <v>101.54</v>
      </c>
      <c r="J133">
        <v>14</v>
      </c>
      <c r="K133" t="s">
        <v>15</v>
      </c>
    </row>
    <row r="134" spans="1:11" x14ac:dyDescent="0.3">
      <c r="A134" t="s">
        <v>159</v>
      </c>
      <c r="B134" t="s">
        <v>17</v>
      </c>
      <c r="C134" s="1">
        <v>44655</v>
      </c>
      <c r="D134" s="1">
        <v>44673</v>
      </c>
      <c r="E134" t="s">
        <v>39</v>
      </c>
      <c r="F134" t="s">
        <v>14</v>
      </c>
      <c r="G134">
        <v>1930</v>
      </c>
      <c r="H134">
        <v>65.52</v>
      </c>
      <c r="I134">
        <v>56.9</v>
      </c>
      <c r="J134">
        <v>282</v>
      </c>
      <c r="K134" t="s">
        <v>15</v>
      </c>
    </row>
    <row r="135" spans="1:11" x14ac:dyDescent="0.3">
      <c r="A135" t="s">
        <v>160</v>
      </c>
      <c r="B135" t="s">
        <v>23</v>
      </c>
      <c r="C135" s="1">
        <v>44610</v>
      </c>
      <c r="D135" s="1">
        <v>44620</v>
      </c>
      <c r="E135" t="s">
        <v>13</v>
      </c>
      <c r="F135" t="s">
        <v>35</v>
      </c>
      <c r="G135">
        <v>1912</v>
      </c>
      <c r="H135">
        <v>30.73</v>
      </c>
      <c r="I135">
        <v>29.82</v>
      </c>
      <c r="J135">
        <v>191</v>
      </c>
      <c r="K135" t="s">
        <v>15</v>
      </c>
    </row>
    <row r="136" spans="1:11" x14ac:dyDescent="0.3">
      <c r="A136" t="s">
        <v>161</v>
      </c>
      <c r="B136" t="s">
        <v>29</v>
      </c>
      <c r="C136" s="1">
        <v>44674</v>
      </c>
      <c r="D136" s="1">
        <v>44690</v>
      </c>
      <c r="E136" t="s">
        <v>21</v>
      </c>
      <c r="F136" t="s">
        <v>18</v>
      </c>
      <c r="G136">
        <v>570</v>
      </c>
      <c r="H136">
        <v>71.510000000000005</v>
      </c>
      <c r="I136">
        <v>66.47</v>
      </c>
      <c r="K136" t="s">
        <v>15</v>
      </c>
    </row>
    <row r="137" spans="1:11" x14ac:dyDescent="0.3">
      <c r="A137" t="s">
        <v>162</v>
      </c>
      <c r="B137" t="s">
        <v>23</v>
      </c>
      <c r="C137" s="1">
        <v>44718</v>
      </c>
      <c r="D137" s="1">
        <v>44738</v>
      </c>
      <c r="E137" t="s">
        <v>26</v>
      </c>
      <c r="F137" t="s">
        <v>18</v>
      </c>
      <c r="G137">
        <v>1417</v>
      </c>
      <c r="H137">
        <v>67.27</v>
      </c>
      <c r="I137">
        <v>60.62</v>
      </c>
      <c r="K137" t="s">
        <v>15</v>
      </c>
    </row>
    <row r="138" spans="1:11" x14ac:dyDescent="0.3">
      <c r="A138" t="s">
        <v>163</v>
      </c>
      <c r="B138" t="s">
        <v>12</v>
      </c>
      <c r="C138" s="1">
        <v>45204</v>
      </c>
      <c r="D138" s="1">
        <v>45210</v>
      </c>
      <c r="E138" t="s">
        <v>26</v>
      </c>
      <c r="F138" t="s">
        <v>18</v>
      </c>
      <c r="G138">
        <v>1202</v>
      </c>
      <c r="H138">
        <v>46.67</v>
      </c>
      <c r="I138">
        <v>44.13</v>
      </c>
      <c r="J138">
        <v>21</v>
      </c>
      <c r="K138" t="s">
        <v>27</v>
      </c>
    </row>
    <row r="139" spans="1:11" x14ac:dyDescent="0.3">
      <c r="A139" t="s">
        <v>164</v>
      </c>
      <c r="B139" t="s">
        <v>23</v>
      </c>
      <c r="C139" s="1">
        <v>44725</v>
      </c>
      <c r="D139" s="1">
        <v>44726</v>
      </c>
      <c r="E139" t="s">
        <v>13</v>
      </c>
      <c r="F139" t="s">
        <v>18</v>
      </c>
      <c r="G139">
        <v>697</v>
      </c>
      <c r="H139">
        <v>20.73</v>
      </c>
      <c r="I139">
        <v>19.829999999999998</v>
      </c>
      <c r="J139">
        <v>78</v>
      </c>
      <c r="K139" t="s">
        <v>27</v>
      </c>
    </row>
    <row r="140" spans="1:11" x14ac:dyDescent="0.3">
      <c r="A140" t="s">
        <v>165</v>
      </c>
      <c r="B140" t="s">
        <v>29</v>
      </c>
      <c r="C140" s="1">
        <v>45258</v>
      </c>
      <c r="D140" s="1">
        <v>45261</v>
      </c>
      <c r="E140" t="s">
        <v>21</v>
      </c>
      <c r="F140" t="s">
        <v>18</v>
      </c>
      <c r="G140">
        <v>1545</v>
      </c>
      <c r="H140">
        <v>78.19</v>
      </c>
      <c r="I140">
        <v>76.91</v>
      </c>
      <c r="J140">
        <v>42</v>
      </c>
      <c r="K140" t="s">
        <v>15</v>
      </c>
    </row>
    <row r="141" spans="1:11" x14ac:dyDescent="0.3">
      <c r="A141" t="s">
        <v>166</v>
      </c>
      <c r="B141" t="s">
        <v>20</v>
      </c>
      <c r="C141" s="1">
        <v>44994</v>
      </c>
      <c r="D141" s="1">
        <v>44998</v>
      </c>
      <c r="E141" t="s">
        <v>21</v>
      </c>
      <c r="F141" t="s">
        <v>33</v>
      </c>
      <c r="G141">
        <v>1136</v>
      </c>
      <c r="H141">
        <v>60.81</v>
      </c>
      <c r="I141">
        <v>58.25</v>
      </c>
      <c r="J141">
        <v>62</v>
      </c>
      <c r="K141" t="s">
        <v>15</v>
      </c>
    </row>
    <row r="142" spans="1:11" x14ac:dyDescent="0.3">
      <c r="A142" t="s">
        <v>167</v>
      </c>
      <c r="B142" t="s">
        <v>23</v>
      </c>
      <c r="C142" s="1">
        <v>45172</v>
      </c>
      <c r="D142" s="1">
        <v>45176</v>
      </c>
      <c r="E142" t="s">
        <v>21</v>
      </c>
      <c r="F142" t="s">
        <v>18</v>
      </c>
      <c r="G142">
        <v>1212</v>
      </c>
      <c r="H142">
        <v>87.46</v>
      </c>
      <c r="I142">
        <v>74.55</v>
      </c>
      <c r="J142">
        <v>118</v>
      </c>
      <c r="K142" t="s">
        <v>27</v>
      </c>
    </row>
    <row r="143" spans="1:11" x14ac:dyDescent="0.3">
      <c r="A143" t="s">
        <v>168</v>
      </c>
      <c r="B143" t="s">
        <v>29</v>
      </c>
      <c r="C143" s="1">
        <v>44627</v>
      </c>
      <c r="D143" s="1">
        <v>44632</v>
      </c>
      <c r="E143" t="s">
        <v>21</v>
      </c>
      <c r="F143" t="s">
        <v>18</v>
      </c>
      <c r="G143">
        <v>1572</v>
      </c>
      <c r="H143">
        <v>57.38</v>
      </c>
      <c r="I143">
        <v>49.32</v>
      </c>
      <c r="J143">
        <v>40</v>
      </c>
      <c r="K143" t="s">
        <v>15</v>
      </c>
    </row>
    <row r="144" spans="1:11" x14ac:dyDescent="0.3">
      <c r="A144" t="s">
        <v>169</v>
      </c>
      <c r="B144" t="s">
        <v>20</v>
      </c>
      <c r="C144" s="1">
        <v>44956</v>
      </c>
      <c r="D144" s="1">
        <v>44966</v>
      </c>
      <c r="E144" t="s">
        <v>39</v>
      </c>
      <c r="F144" t="s">
        <v>18</v>
      </c>
      <c r="G144">
        <v>642</v>
      </c>
      <c r="H144">
        <v>91.9</v>
      </c>
      <c r="I144">
        <v>81.489999999999995</v>
      </c>
      <c r="J144">
        <v>26</v>
      </c>
      <c r="K144" t="s">
        <v>15</v>
      </c>
    </row>
    <row r="145" spans="1:11" x14ac:dyDescent="0.3">
      <c r="A145" t="s">
        <v>170</v>
      </c>
      <c r="B145" t="s">
        <v>29</v>
      </c>
      <c r="C145" s="1">
        <v>44952</v>
      </c>
      <c r="D145" s="1">
        <v>44961</v>
      </c>
      <c r="E145" t="s">
        <v>13</v>
      </c>
      <c r="F145" t="s">
        <v>18</v>
      </c>
      <c r="G145">
        <v>441</v>
      </c>
      <c r="H145">
        <v>63.25</v>
      </c>
      <c r="I145">
        <v>54.12</v>
      </c>
      <c r="J145">
        <v>16</v>
      </c>
      <c r="K145" t="s">
        <v>15</v>
      </c>
    </row>
    <row r="146" spans="1:11" x14ac:dyDescent="0.3">
      <c r="A146" t="s">
        <v>171</v>
      </c>
      <c r="B146" t="s">
        <v>29</v>
      </c>
      <c r="C146" s="1">
        <v>45172</v>
      </c>
      <c r="D146" s="1">
        <v>45188</v>
      </c>
      <c r="E146" t="s">
        <v>13</v>
      </c>
      <c r="F146" t="s">
        <v>18</v>
      </c>
      <c r="G146">
        <v>1748</v>
      </c>
      <c r="H146">
        <v>66.53</v>
      </c>
      <c r="I146">
        <v>57.11</v>
      </c>
      <c r="K146" t="s">
        <v>15</v>
      </c>
    </row>
    <row r="147" spans="1:11" x14ac:dyDescent="0.3">
      <c r="A147" t="s">
        <v>172</v>
      </c>
      <c r="B147" t="s">
        <v>20</v>
      </c>
      <c r="C147" s="1">
        <v>45041</v>
      </c>
      <c r="E147" t="s">
        <v>39</v>
      </c>
      <c r="F147" t="s">
        <v>35</v>
      </c>
      <c r="G147">
        <v>468</v>
      </c>
      <c r="H147">
        <v>95.57</v>
      </c>
      <c r="I147">
        <v>91.8</v>
      </c>
      <c r="J147">
        <v>24</v>
      </c>
      <c r="K147" t="s">
        <v>15</v>
      </c>
    </row>
    <row r="148" spans="1:11" x14ac:dyDescent="0.3">
      <c r="A148" t="s">
        <v>173</v>
      </c>
      <c r="B148" t="s">
        <v>23</v>
      </c>
      <c r="C148" s="1">
        <v>45103</v>
      </c>
      <c r="D148" s="1">
        <v>45121</v>
      </c>
      <c r="E148" t="s">
        <v>26</v>
      </c>
      <c r="F148" t="s">
        <v>18</v>
      </c>
      <c r="G148">
        <v>338</v>
      </c>
      <c r="H148">
        <v>50.25</v>
      </c>
      <c r="I148">
        <v>46.28</v>
      </c>
      <c r="J148">
        <v>49</v>
      </c>
      <c r="K148" t="s">
        <v>27</v>
      </c>
    </row>
    <row r="149" spans="1:11" x14ac:dyDescent="0.3">
      <c r="A149" t="s">
        <v>174</v>
      </c>
      <c r="B149" t="s">
        <v>20</v>
      </c>
      <c r="C149" s="1">
        <v>44819</v>
      </c>
      <c r="D149" s="1">
        <v>44826</v>
      </c>
      <c r="E149" t="s">
        <v>13</v>
      </c>
      <c r="F149" t="s">
        <v>18</v>
      </c>
      <c r="G149">
        <v>428</v>
      </c>
      <c r="H149">
        <v>22.94</v>
      </c>
      <c r="I149">
        <v>21.52</v>
      </c>
      <c r="J149">
        <v>26</v>
      </c>
      <c r="K149" t="s">
        <v>15</v>
      </c>
    </row>
    <row r="150" spans="1:11" x14ac:dyDescent="0.3">
      <c r="A150" t="s">
        <v>175</v>
      </c>
      <c r="B150" t="s">
        <v>23</v>
      </c>
      <c r="C150" s="1">
        <v>45128</v>
      </c>
      <c r="E150" t="s">
        <v>24</v>
      </c>
      <c r="F150" t="s">
        <v>18</v>
      </c>
      <c r="G150">
        <v>1846</v>
      </c>
      <c r="H150">
        <v>13.72</v>
      </c>
      <c r="I150">
        <v>12.62</v>
      </c>
      <c r="J150">
        <v>216</v>
      </c>
      <c r="K150" t="s">
        <v>15</v>
      </c>
    </row>
    <row r="151" spans="1:11" x14ac:dyDescent="0.3">
      <c r="A151" t="s">
        <v>176</v>
      </c>
      <c r="B151" t="s">
        <v>29</v>
      </c>
      <c r="C151" s="1">
        <v>44573</v>
      </c>
      <c r="D151" s="1">
        <v>44578</v>
      </c>
      <c r="E151" t="s">
        <v>13</v>
      </c>
      <c r="F151" t="s">
        <v>18</v>
      </c>
      <c r="G151">
        <v>1563</v>
      </c>
      <c r="H151">
        <v>77.959999999999994</v>
      </c>
      <c r="I151">
        <v>70.8</v>
      </c>
      <c r="J151">
        <v>41</v>
      </c>
      <c r="K151" t="s">
        <v>15</v>
      </c>
    </row>
    <row r="152" spans="1:11" x14ac:dyDescent="0.3">
      <c r="A152" t="s">
        <v>177</v>
      </c>
      <c r="B152" t="s">
        <v>23</v>
      </c>
      <c r="C152" s="1">
        <v>45258</v>
      </c>
      <c r="D152" s="1">
        <v>45267</v>
      </c>
      <c r="E152" t="s">
        <v>13</v>
      </c>
      <c r="F152" t="s">
        <v>18</v>
      </c>
      <c r="G152">
        <v>280</v>
      </c>
      <c r="H152">
        <v>73.069999999999993</v>
      </c>
      <c r="I152">
        <v>69.290000000000006</v>
      </c>
      <c r="J152">
        <v>30</v>
      </c>
      <c r="K152" t="s">
        <v>15</v>
      </c>
    </row>
    <row r="153" spans="1:11" x14ac:dyDescent="0.3">
      <c r="A153" t="s">
        <v>178</v>
      </c>
      <c r="B153" t="s">
        <v>17</v>
      </c>
      <c r="C153" s="1">
        <v>44679</v>
      </c>
      <c r="D153" s="1">
        <v>44693</v>
      </c>
      <c r="E153" t="s">
        <v>26</v>
      </c>
      <c r="F153" t="s">
        <v>18</v>
      </c>
      <c r="G153">
        <v>1067</v>
      </c>
      <c r="H153">
        <v>74.47</v>
      </c>
      <c r="I153">
        <v>64.16</v>
      </c>
      <c r="K153" t="s">
        <v>27</v>
      </c>
    </row>
    <row r="154" spans="1:11" x14ac:dyDescent="0.3">
      <c r="A154" t="s">
        <v>179</v>
      </c>
      <c r="B154" t="s">
        <v>20</v>
      </c>
      <c r="C154" s="1">
        <v>45260</v>
      </c>
      <c r="D154" s="1">
        <v>45277</v>
      </c>
      <c r="E154" t="s">
        <v>39</v>
      </c>
      <c r="F154" t="s">
        <v>35</v>
      </c>
      <c r="G154">
        <v>90</v>
      </c>
      <c r="H154">
        <v>32.380000000000003</v>
      </c>
      <c r="I154">
        <v>29.96</v>
      </c>
      <c r="J154">
        <v>7</v>
      </c>
      <c r="K154" t="s">
        <v>15</v>
      </c>
    </row>
    <row r="155" spans="1:11" x14ac:dyDescent="0.3">
      <c r="A155" t="s">
        <v>180</v>
      </c>
      <c r="B155" t="s">
        <v>20</v>
      </c>
      <c r="C155" s="1">
        <v>45111</v>
      </c>
      <c r="D155" s="1">
        <v>45112</v>
      </c>
      <c r="E155" t="s">
        <v>26</v>
      </c>
      <c r="F155" t="s">
        <v>18</v>
      </c>
      <c r="G155">
        <v>1101</v>
      </c>
      <c r="H155">
        <v>24.28</v>
      </c>
      <c r="I155">
        <v>22.73</v>
      </c>
      <c r="J155">
        <v>59</v>
      </c>
      <c r="K155" t="s">
        <v>27</v>
      </c>
    </row>
    <row r="156" spans="1:11" x14ac:dyDescent="0.3">
      <c r="A156" t="s">
        <v>181</v>
      </c>
      <c r="B156" t="s">
        <v>12</v>
      </c>
      <c r="C156" s="1">
        <v>44835</v>
      </c>
      <c r="D156" s="1">
        <v>44845</v>
      </c>
      <c r="E156" t="s">
        <v>26</v>
      </c>
      <c r="F156" t="s">
        <v>18</v>
      </c>
      <c r="G156">
        <v>184</v>
      </c>
      <c r="H156">
        <v>11.82</v>
      </c>
      <c r="I156">
        <v>10.51</v>
      </c>
      <c r="J156">
        <v>4</v>
      </c>
      <c r="K156" t="s">
        <v>15</v>
      </c>
    </row>
    <row r="157" spans="1:11" x14ac:dyDescent="0.3">
      <c r="A157" t="s">
        <v>182</v>
      </c>
      <c r="B157" t="s">
        <v>29</v>
      </c>
      <c r="C157" s="1">
        <v>45218</v>
      </c>
      <c r="D157" s="1">
        <v>45237</v>
      </c>
      <c r="E157" t="s">
        <v>39</v>
      </c>
      <c r="F157" t="s">
        <v>18</v>
      </c>
      <c r="G157">
        <v>250</v>
      </c>
      <c r="H157">
        <v>45.92</v>
      </c>
      <c r="I157">
        <v>41.02</v>
      </c>
      <c r="J157">
        <v>3</v>
      </c>
      <c r="K157" t="s">
        <v>15</v>
      </c>
    </row>
    <row r="158" spans="1:11" x14ac:dyDescent="0.3">
      <c r="A158" t="s">
        <v>183</v>
      </c>
      <c r="B158" t="s">
        <v>29</v>
      </c>
      <c r="C158" s="1">
        <v>44910</v>
      </c>
      <c r="E158" t="s">
        <v>24</v>
      </c>
      <c r="F158" t="s">
        <v>14</v>
      </c>
      <c r="G158">
        <v>1913</v>
      </c>
      <c r="H158">
        <v>66.56</v>
      </c>
      <c r="I158">
        <v>61.34</v>
      </c>
      <c r="J158">
        <v>61</v>
      </c>
      <c r="K158" t="s">
        <v>15</v>
      </c>
    </row>
    <row r="159" spans="1:11" x14ac:dyDescent="0.3">
      <c r="A159" t="s">
        <v>184</v>
      </c>
      <c r="B159" t="s">
        <v>23</v>
      </c>
      <c r="C159" s="1">
        <v>44676</v>
      </c>
      <c r="D159" s="1">
        <v>44681</v>
      </c>
      <c r="E159" t="s">
        <v>39</v>
      </c>
      <c r="F159" t="s">
        <v>18</v>
      </c>
      <c r="G159">
        <v>829</v>
      </c>
      <c r="H159">
        <v>45.98</v>
      </c>
      <c r="I159">
        <v>40.39</v>
      </c>
      <c r="K159" t="s">
        <v>15</v>
      </c>
    </row>
    <row r="160" spans="1:11" x14ac:dyDescent="0.3">
      <c r="A160" t="s">
        <v>185</v>
      </c>
      <c r="B160" t="s">
        <v>17</v>
      </c>
      <c r="C160" s="1">
        <v>44862</v>
      </c>
      <c r="D160" s="1">
        <v>44878</v>
      </c>
      <c r="E160" t="s">
        <v>26</v>
      </c>
      <c r="F160" t="s">
        <v>18</v>
      </c>
      <c r="G160">
        <v>979</v>
      </c>
      <c r="H160">
        <v>51.59</v>
      </c>
      <c r="I160">
        <v>49.69</v>
      </c>
      <c r="J160">
        <v>148</v>
      </c>
      <c r="K160" t="s">
        <v>15</v>
      </c>
    </row>
    <row r="161" spans="1:11" x14ac:dyDescent="0.3">
      <c r="A161" t="s">
        <v>186</v>
      </c>
      <c r="B161" t="s">
        <v>29</v>
      </c>
      <c r="C161" s="1">
        <v>45007</v>
      </c>
      <c r="D161" s="1">
        <v>45025</v>
      </c>
      <c r="E161" t="s">
        <v>39</v>
      </c>
      <c r="F161" t="s">
        <v>33</v>
      </c>
      <c r="G161">
        <v>1106</v>
      </c>
      <c r="H161">
        <v>97.77</v>
      </c>
      <c r="I161">
        <v>90.45</v>
      </c>
      <c r="J161">
        <v>31</v>
      </c>
      <c r="K161" t="s">
        <v>15</v>
      </c>
    </row>
    <row r="162" spans="1:11" x14ac:dyDescent="0.3">
      <c r="A162" t="s">
        <v>187</v>
      </c>
      <c r="B162" t="s">
        <v>17</v>
      </c>
      <c r="C162" s="1">
        <v>44723</v>
      </c>
      <c r="D162" s="1">
        <v>44736</v>
      </c>
      <c r="E162" t="s">
        <v>13</v>
      </c>
      <c r="F162" t="s">
        <v>35</v>
      </c>
      <c r="G162">
        <v>1121</v>
      </c>
      <c r="H162">
        <v>42.38</v>
      </c>
      <c r="I162">
        <v>38.340000000000003</v>
      </c>
      <c r="J162">
        <v>152</v>
      </c>
      <c r="K162" t="s">
        <v>15</v>
      </c>
    </row>
    <row r="163" spans="1:11" x14ac:dyDescent="0.3">
      <c r="A163" t="s">
        <v>188</v>
      </c>
      <c r="B163" t="s">
        <v>12</v>
      </c>
      <c r="C163" s="1">
        <v>45026</v>
      </c>
      <c r="D163" s="1">
        <v>45037</v>
      </c>
      <c r="E163" t="s">
        <v>13</v>
      </c>
      <c r="F163" t="s">
        <v>18</v>
      </c>
      <c r="G163">
        <v>552</v>
      </c>
      <c r="H163">
        <v>60.48</v>
      </c>
      <c r="I163">
        <v>56.78</v>
      </c>
      <c r="J163">
        <v>10</v>
      </c>
      <c r="K163" t="s">
        <v>15</v>
      </c>
    </row>
    <row r="164" spans="1:11" x14ac:dyDescent="0.3">
      <c r="A164" t="s">
        <v>189</v>
      </c>
      <c r="B164" t="s">
        <v>20</v>
      </c>
      <c r="C164" s="1">
        <v>44565</v>
      </c>
      <c r="D164" s="1">
        <v>44573</v>
      </c>
      <c r="E164" t="s">
        <v>24</v>
      </c>
      <c r="F164" t="s">
        <v>18</v>
      </c>
      <c r="G164">
        <v>456</v>
      </c>
      <c r="H164">
        <v>80.53</v>
      </c>
      <c r="I164">
        <v>77.86</v>
      </c>
      <c r="J164">
        <v>26</v>
      </c>
      <c r="K164" t="s">
        <v>15</v>
      </c>
    </row>
    <row r="165" spans="1:11" x14ac:dyDescent="0.3">
      <c r="A165" t="s">
        <v>190</v>
      </c>
      <c r="B165" t="s">
        <v>17</v>
      </c>
      <c r="C165" s="1">
        <v>44831</v>
      </c>
      <c r="D165" s="1">
        <v>44839</v>
      </c>
      <c r="E165" t="s">
        <v>24</v>
      </c>
      <c r="F165" t="s">
        <v>18</v>
      </c>
      <c r="G165">
        <v>1647</v>
      </c>
      <c r="H165">
        <v>47.52</v>
      </c>
      <c r="I165">
        <v>44.92</v>
      </c>
      <c r="K165" t="s">
        <v>15</v>
      </c>
    </row>
    <row r="166" spans="1:11" x14ac:dyDescent="0.3">
      <c r="A166" t="s">
        <v>191</v>
      </c>
      <c r="B166" t="s">
        <v>29</v>
      </c>
      <c r="C166" s="1">
        <v>45074</v>
      </c>
      <c r="D166" s="1">
        <v>45088</v>
      </c>
      <c r="E166" t="s">
        <v>39</v>
      </c>
      <c r="F166" t="s">
        <v>35</v>
      </c>
      <c r="G166">
        <v>1801</v>
      </c>
      <c r="H166">
        <v>71.27</v>
      </c>
      <c r="I166">
        <v>61.24</v>
      </c>
      <c r="J166">
        <v>43</v>
      </c>
      <c r="K166" t="s">
        <v>15</v>
      </c>
    </row>
    <row r="167" spans="1:11" x14ac:dyDescent="0.3">
      <c r="A167" t="s">
        <v>192</v>
      </c>
      <c r="B167" t="s">
        <v>20</v>
      </c>
      <c r="C167" s="1">
        <v>44744</v>
      </c>
      <c r="D167" s="1">
        <v>44760</v>
      </c>
      <c r="E167" t="s">
        <v>39</v>
      </c>
      <c r="F167" t="s">
        <v>18</v>
      </c>
      <c r="G167">
        <v>854</v>
      </c>
      <c r="H167">
        <v>90.24</v>
      </c>
      <c r="I167">
        <v>85.53</v>
      </c>
      <c r="K167" t="s">
        <v>15</v>
      </c>
    </row>
    <row r="168" spans="1:11" x14ac:dyDescent="0.3">
      <c r="A168" t="s">
        <v>193</v>
      </c>
      <c r="B168" t="s">
        <v>17</v>
      </c>
      <c r="C168" s="1">
        <v>45081</v>
      </c>
      <c r="D168" s="1">
        <v>45094</v>
      </c>
      <c r="E168" t="s">
        <v>39</v>
      </c>
      <c r="F168" t="s">
        <v>18</v>
      </c>
      <c r="G168">
        <v>148</v>
      </c>
      <c r="H168">
        <v>103.57</v>
      </c>
      <c r="I168">
        <v>98.62</v>
      </c>
      <c r="J168">
        <v>23</v>
      </c>
      <c r="K168" t="s">
        <v>27</v>
      </c>
    </row>
    <row r="169" spans="1:11" x14ac:dyDescent="0.3">
      <c r="A169" t="s">
        <v>194</v>
      </c>
      <c r="B169" t="s">
        <v>17</v>
      </c>
      <c r="C169" s="1">
        <v>44670</v>
      </c>
      <c r="D169" s="1">
        <v>44675</v>
      </c>
      <c r="E169" t="s">
        <v>21</v>
      </c>
      <c r="F169" t="s">
        <v>18</v>
      </c>
      <c r="G169">
        <v>733</v>
      </c>
      <c r="H169">
        <v>23.59</v>
      </c>
      <c r="I169">
        <v>22.85</v>
      </c>
      <c r="J169">
        <v>92</v>
      </c>
      <c r="K169" t="s">
        <v>15</v>
      </c>
    </row>
    <row r="170" spans="1:11" x14ac:dyDescent="0.3">
      <c r="A170" t="s">
        <v>195</v>
      </c>
      <c r="B170" t="s">
        <v>23</v>
      </c>
      <c r="C170" s="1">
        <v>45202</v>
      </c>
      <c r="D170" s="1">
        <v>45204</v>
      </c>
      <c r="E170" t="s">
        <v>26</v>
      </c>
      <c r="F170" t="s">
        <v>18</v>
      </c>
      <c r="G170">
        <v>1945</v>
      </c>
      <c r="H170">
        <v>103.2</v>
      </c>
      <c r="I170">
        <v>88.56</v>
      </c>
      <c r="K170" t="s">
        <v>15</v>
      </c>
    </row>
    <row r="171" spans="1:11" x14ac:dyDescent="0.3">
      <c r="A171" t="s">
        <v>196</v>
      </c>
      <c r="B171" t="s">
        <v>20</v>
      </c>
      <c r="C171" s="1">
        <v>44867</v>
      </c>
      <c r="D171" s="1">
        <v>44886</v>
      </c>
      <c r="E171" t="s">
        <v>26</v>
      </c>
      <c r="F171" t="s">
        <v>18</v>
      </c>
      <c r="G171">
        <v>775</v>
      </c>
      <c r="H171">
        <v>57</v>
      </c>
      <c r="I171">
        <v>49.14</v>
      </c>
      <c r="J171">
        <v>48</v>
      </c>
      <c r="K171" t="s">
        <v>15</v>
      </c>
    </row>
    <row r="172" spans="1:11" x14ac:dyDescent="0.3">
      <c r="A172" t="s">
        <v>197</v>
      </c>
      <c r="B172" t="s">
        <v>17</v>
      </c>
      <c r="C172" s="1">
        <v>45216</v>
      </c>
      <c r="D172" s="1">
        <v>45220</v>
      </c>
      <c r="E172" t="s">
        <v>24</v>
      </c>
      <c r="F172" t="s">
        <v>18</v>
      </c>
      <c r="G172">
        <v>1620</v>
      </c>
      <c r="H172">
        <v>36.729999999999997</v>
      </c>
      <c r="I172">
        <v>33.450000000000003</v>
      </c>
      <c r="J172">
        <v>235</v>
      </c>
      <c r="K172" t="s">
        <v>27</v>
      </c>
    </row>
    <row r="173" spans="1:11" x14ac:dyDescent="0.3">
      <c r="A173" t="s">
        <v>198</v>
      </c>
      <c r="B173" t="s">
        <v>23</v>
      </c>
      <c r="C173" s="1">
        <v>45081</v>
      </c>
      <c r="D173" s="1">
        <v>45096</v>
      </c>
      <c r="E173" t="s">
        <v>13</v>
      </c>
      <c r="F173" t="s">
        <v>18</v>
      </c>
      <c r="G173">
        <v>1010</v>
      </c>
      <c r="H173">
        <v>55.68</v>
      </c>
      <c r="I173">
        <v>50.86</v>
      </c>
      <c r="K173" t="s">
        <v>15</v>
      </c>
    </row>
    <row r="174" spans="1:11" x14ac:dyDescent="0.3">
      <c r="A174" t="s">
        <v>199</v>
      </c>
      <c r="B174" t="s">
        <v>29</v>
      </c>
      <c r="C174" s="1">
        <v>45185</v>
      </c>
      <c r="D174" s="1">
        <v>45200</v>
      </c>
      <c r="E174" t="s">
        <v>13</v>
      </c>
      <c r="F174" t="s">
        <v>18</v>
      </c>
      <c r="G174">
        <v>1812</v>
      </c>
      <c r="H174">
        <v>108.02</v>
      </c>
      <c r="I174">
        <v>101.02</v>
      </c>
      <c r="J174">
        <v>51</v>
      </c>
      <c r="K174" t="s">
        <v>15</v>
      </c>
    </row>
    <row r="175" spans="1:11" x14ac:dyDescent="0.3">
      <c r="A175" t="s">
        <v>200</v>
      </c>
      <c r="B175" t="s">
        <v>17</v>
      </c>
      <c r="C175" s="1">
        <v>44765</v>
      </c>
      <c r="D175" s="1">
        <v>44770</v>
      </c>
      <c r="E175" t="s">
        <v>13</v>
      </c>
      <c r="F175" t="s">
        <v>18</v>
      </c>
      <c r="G175">
        <v>662</v>
      </c>
      <c r="H175">
        <v>55.97</v>
      </c>
      <c r="I175">
        <v>50</v>
      </c>
      <c r="J175">
        <v>100</v>
      </c>
      <c r="K175" t="s">
        <v>15</v>
      </c>
    </row>
    <row r="176" spans="1:11" x14ac:dyDescent="0.3">
      <c r="A176" t="s">
        <v>201</v>
      </c>
      <c r="B176" t="s">
        <v>23</v>
      </c>
      <c r="C176" s="1">
        <v>44718</v>
      </c>
      <c r="D176" s="1">
        <v>44723</v>
      </c>
      <c r="E176" t="s">
        <v>13</v>
      </c>
      <c r="F176" t="s">
        <v>35</v>
      </c>
      <c r="G176">
        <v>1535</v>
      </c>
      <c r="H176">
        <v>40.58</v>
      </c>
      <c r="I176">
        <v>38.71</v>
      </c>
      <c r="J176">
        <v>165</v>
      </c>
      <c r="K176" t="s">
        <v>15</v>
      </c>
    </row>
    <row r="177" spans="1:11" x14ac:dyDescent="0.3">
      <c r="A177" t="s">
        <v>202</v>
      </c>
      <c r="B177" t="s">
        <v>23</v>
      </c>
      <c r="C177" s="1">
        <v>44944</v>
      </c>
      <c r="D177" s="1">
        <v>44953</v>
      </c>
      <c r="E177" t="s">
        <v>26</v>
      </c>
      <c r="F177" t="s">
        <v>18</v>
      </c>
      <c r="G177">
        <v>692</v>
      </c>
      <c r="H177">
        <v>71.03</v>
      </c>
      <c r="I177">
        <v>67.739999999999995</v>
      </c>
      <c r="J177">
        <v>70</v>
      </c>
      <c r="K177" t="s">
        <v>15</v>
      </c>
    </row>
    <row r="178" spans="1:11" x14ac:dyDescent="0.3">
      <c r="A178" t="s">
        <v>203</v>
      </c>
      <c r="B178" t="s">
        <v>20</v>
      </c>
      <c r="C178" s="1">
        <v>44727</v>
      </c>
      <c r="D178" s="1">
        <v>44740</v>
      </c>
      <c r="E178" t="s">
        <v>21</v>
      </c>
      <c r="F178" t="s">
        <v>18</v>
      </c>
      <c r="G178">
        <v>1842</v>
      </c>
      <c r="H178">
        <v>32.4</v>
      </c>
      <c r="I178">
        <v>28.08</v>
      </c>
      <c r="J178">
        <v>96</v>
      </c>
      <c r="K178" t="s">
        <v>15</v>
      </c>
    </row>
    <row r="179" spans="1:11" x14ac:dyDescent="0.3">
      <c r="A179" t="s">
        <v>204</v>
      </c>
      <c r="B179" t="s">
        <v>23</v>
      </c>
      <c r="C179" s="1">
        <v>45114</v>
      </c>
      <c r="D179" s="1">
        <v>45125</v>
      </c>
      <c r="E179" t="s">
        <v>13</v>
      </c>
      <c r="F179" t="s">
        <v>14</v>
      </c>
      <c r="G179">
        <v>1078</v>
      </c>
      <c r="H179">
        <v>18.34</v>
      </c>
      <c r="I179">
        <v>17.41</v>
      </c>
      <c r="J179">
        <v>102</v>
      </c>
      <c r="K179" t="s">
        <v>15</v>
      </c>
    </row>
    <row r="180" spans="1:11" x14ac:dyDescent="0.3">
      <c r="A180" t="s">
        <v>205</v>
      </c>
      <c r="B180" t="s">
        <v>17</v>
      </c>
      <c r="C180" s="1">
        <v>45105</v>
      </c>
      <c r="D180" s="1">
        <v>45123</v>
      </c>
      <c r="E180" t="s">
        <v>24</v>
      </c>
      <c r="F180" t="s">
        <v>18</v>
      </c>
      <c r="G180">
        <v>1291</v>
      </c>
      <c r="H180">
        <v>23.44</v>
      </c>
      <c r="I180">
        <v>22.23</v>
      </c>
      <c r="K180" t="s">
        <v>15</v>
      </c>
    </row>
    <row r="181" spans="1:11" x14ac:dyDescent="0.3">
      <c r="A181" t="s">
        <v>206</v>
      </c>
      <c r="B181" t="s">
        <v>12</v>
      </c>
      <c r="C181" s="1">
        <v>44562</v>
      </c>
      <c r="D181" s="1">
        <v>44573</v>
      </c>
      <c r="E181" t="s">
        <v>39</v>
      </c>
      <c r="F181" t="s">
        <v>18</v>
      </c>
      <c r="G181">
        <v>552</v>
      </c>
      <c r="H181">
        <v>21.52</v>
      </c>
      <c r="I181">
        <v>18.79</v>
      </c>
      <c r="J181">
        <v>13</v>
      </c>
      <c r="K181" t="s">
        <v>15</v>
      </c>
    </row>
    <row r="182" spans="1:11" x14ac:dyDescent="0.3">
      <c r="A182" t="s">
        <v>207</v>
      </c>
      <c r="B182" t="s">
        <v>29</v>
      </c>
      <c r="C182" s="1">
        <v>45175</v>
      </c>
      <c r="D182" s="1">
        <v>45191</v>
      </c>
      <c r="E182" t="s">
        <v>39</v>
      </c>
      <c r="F182" t="s">
        <v>18</v>
      </c>
      <c r="G182">
        <v>816</v>
      </c>
      <c r="H182">
        <v>26.04</v>
      </c>
      <c r="I182">
        <v>25.61</v>
      </c>
      <c r="J182">
        <v>28</v>
      </c>
      <c r="K182" t="s">
        <v>15</v>
      </c>
    </row>
    <row r="183" spans="1:11" x14ac:dyDescent="0.3">
      <c r="A183" t="s">
        <v>208</v>
      </c>
      <c r="B183" t="s">
        <v>17</v>
      </c>
      <c r="C183" s="1">
        <v>44893</v>
      </c>
      <c r="D183" s="1">
        <v>44895</v>
      </c>
      <c r="E183" t="s">
        <v>24</v>
      </c>
      <c r="F183" t="s">
        <v>18</v>
      </c>
      <c r="G183">
        <v>447</v>
      </c>
      <c r="H183">
        <v>23.62</v>
      </c>
      <c r="I183">
        <v>21.81</v>
      </c>
      <c r="J183">
        <v>50</v>
      </c>
      <c r="K183" t="s">
        <v>15</v>
      </c>
    </row>
    <row r="184" spans="1:11" x14ac:dyDescent="0.3">
      <c r="A184" t="s">
        <v>209</v>
      </c>
      <c r="B184" t="s">
        <v>17</v>
      </c>
      <c r="C184" s="1">
        <v>45062</v>
      </c>
      <c r="D184" s="1">
        <v>45070</v>
      </c>
      <c r="E184" t="s">
        <v>24</v>
      </c>
      <c r="F184" t="s">
        <v>33</v>
      </c>
      <c r="G184">
        <v>920</v>
      </c>
      <c r="H184">
        <v>73.09</v>
      </c>
      <c r="I184">
        <v>70.14</v>
      </c>
      <c r="K184" t="s">
        <v>15</v>
      </c>
    </row>
    <row r="185" spans="1:11" x14ac:dyDescent="0.3">
      <c r="A185" t="s">
        <v>210</v>
      </c>
      <c r="B185" t="s">
        <v>29</v>
      </c>
      <c r="C185" s="1">
        <v>44581</v>
      </c>
      <c r="D185" s="1">
        <v>44591</v>
      </c>
      <c r="E185" t="s">
        <v>24</v>
      </c>
      <c r="F185" t="s">
        <v>33</v>
      </c>
      <c r="G185">
        <v>844</v>
      </c>
      <c r="H185">
        <v>26.37</v>
      </c>
      <c r="I185">
        <v>25.08</v>
      </c>
      <c r="J185">
        <v>38</v>
      </c>
      <c r="K185" t="s">
        <v>15</v>
      </c>
    </row>
    <row r="186" spans="1:11" x14ac:dyDescent="0.3">
      <c r="A186" t="s">
        <v>211</v>
      </c>
      <c r="B186" t="s">
        <v>29</v>
      </c>
      <c r="C186" s="1">
        <v>44676</v>
      </c>
      <c r="E186" t="s">
        <v>21</v>
      </c>
      <c r="F186" t="s">
        <v>18</v>
      </c>
      <c r="G186">
        <v>442</v>
      </c>
      <c r="H186">
        <v>41.73</v>
      </c>
      <c r="I186">
        <v>36.450000000000003</v>
      </c>
      <c r="J186">
        <v>15</v>
      </c>
      <c r="K186" t="s">
        <v>15</v>
      </c>
    </row>
    <row r="187" spans="1:11" x14ac:dyDescent="0.3">
      <c r="A187" t="s">
        <v>212</v>
      </c>
      <c r="B187" t="s">
        <v>23</v>
      </c>
      <c r="C187" s="1">
        <v>44933</v>
      </c>
      <c r="D187" s="1">
        <v>44947</v>
      </c>
      <c r="E187" t="s">
        <v>39</v>
      </c>
      <c r="F187" t="s">
        <v>14</v>
      </c>
      <c r="G187">
        <v>256</v>
      </c>
      <c r="H187">
        <v>96.15</v>
      </c>
      <c r="I187">
        <v>83.44</v>
      </c>
      <c r="J187">
        <v>26</v>
      </c>
      <c r="K187" t="s">
        <v>15</v>
      </c>
    </row>
    <row r="188" spans="1:11" x14ac:dyDescent="0.3">
      <c r="A188" t="s">
        <v>213</v>
      </c>
      <c r="B188" t="s">
        <v>17</v>
      </c>
      <c r="C188" s="1">
        <v>44876</v>
      </c>
      <c r="E188" t="s">
        <v>21</v>
      </c>
      <c r="F188" t="s">
        <v>33</v>
      </c>
      <c r="G188">
        <v>1088</v>
      </c>
      <c r="H188">
        <v>55.29</v>
      </c>
      <c r="I188">
        <v>53.04</v>
      </c>
      <c r="J188">
        <v>161</v>
      </c>
      <c r="K188" t="s">
        <v>27</v>
      </c>
    </row>
    <row r="189" spans="1:11" x14ac:dyDescent="0.3">
      <c r="A189" t="s">
        <v>214</v>
      </c>
      <c r="B189" t="s">
        <v>23</v>
      </c>
      <c r="C189" s="1">
        <v>44807</v>
      </c>
      <c r="D189" s="1">
        <v>44811</v>
      </c>
      <c r="E189" t="s">
        <v>13</v>
      </c>
      <c r="F189" t="s">
        <v>18</v>
      </c>
      <c r="G189">
        <v>1931</v>
      </c>
      <c r="H189">
        <v>72.88</v>
      </c>
      <c r="I189">
        <v>64.69</v>
      </c>
      <c r="J189">
        <v>187</v>
      </c>
      <c r="K189" t="s">
        <v>15</v>
      </c>
    </row>
    <row r="190" spans="1:11" x14ac:dyDescent="0.3">
      <c r="A190" t="s">
        <v>215</v>
      </c>
      <c r="B190" t="s">
        <v>20</v>
      </c>
      <c r="C190" s="1">
        <v>44621</v>
      </c>
      <c r="D190" s="1">
        <v>44631</v>
      </c>
      <c r="E190" t="s">
        <v>39</v>
      </c>
      <c r="F190" t="s">
        <v>18</v>
      </c>
      <c r="G190">
        <v>1627</v>
      </c>
      <c r="H190">
        <v>25.76</v>
      </c>
      <c r="I190">
        <v>25.09</v>
      </c>
      <c r="J190">
        <v>74</v>
      </c>
      <c r="K190" t="s">
        <v>15</v>
      </c>
    </row>
    <row r="191" spans="1:11" x14ac:dyDescent="0.3">
      <c r="A191" t="s">
        <v>216</v>
      </c>
      <c r="B191" t="s">
        <v>23</v>
      </c>
      <c r="C191" s="1">
        <v>44808</v>
      </c>
      <c r="E191" t="s">
        <v>24</v>
      </c>
      <c r="F191" t="s">
        <v>18</v>
      </c>
      <c r="G191">
        <v>941</v>
      </c>
      <c r="H191">
        <v>28.4</v>
      </c>
      <c r="I191">
        <v>27.21</v>
      </c>
      <c r="K191" t="s">
        <v>27</v>
      </c>
    </row>
    <row r="192" spans="1:11" x14ac:dyDescent="0.3">
      <c r="A192" t="s">
        <v>217</v>
      </c>
      <c r="B192" t="s">
        <v>20</v>
      </c>
      <c r="C192" s="1">
        <v>45142</v>
      </c>
      <c r="D192" s="1">
        <v>45144</v>
      </c>
      <c r="E192" t="s">
        <v>21</v>
      </c>
      <c r="F192" t="s">
        <v>18</v>
      </c>
      <c r="G192">
        <v>1534</v>
      </c>
      <c r="H192">
        <v>14.98</v>
      </c>
      <c r="I192">
        <v>12.79</v>
      </c>
      <c r="K192" t="s">
        <v>15</v>
      </c>
    </row>
    <row r="193" spans="1:11" x14ac:dyDescent="0.3">
      <c r="A193" t="s">
        <v>218</v>
      </c>
      <c r="B193" t="s">
        <v>12</v>
      </c>
      <c r="C193" s="1">
        <v>44642</v>
      </c>
      <c r="D193" s="1">
        <v>44654</v>
      </c>
      <c r="E193" t="s">
        <v>26</v>
      </c>
      <c r="F193" t="s">
        <v>18</v>
      </c>
      <c r="G193">
        <v>1764</v>
      </c>
      <c r="H193">
        <v>25.46</v>
      </c>
      <c r="I193">
        <v>24.52</v>
      </c>
      <c r="J193">
        <v>46</v>
      </c>
      <c r="K193" t="s">
        <v>15</v>
      </c>
    </row>
    <row r="194" spans="1:11" x14ac:dyDescent="0.3">
      <c r="A194" t="s">
        <v>219</v>
      </c>
      <c r="B194" t="s">
        <v>17</v>
      </c>
      <c r="C194" s="1">
        <v>44649</v>
      </c>
      <c r="D194" s="1">
        <v>44657</v>
      </c>
      <c r="E194" t="s">
        <v>39</v>
      </c>
      <c r="F194" t="s">
        <v>18</v>
      </c>
      <c r="G194">
        <v>1648</v>
      </c>
      <c r="H194">
        <v>35.42</v>
      </c>
      <c r="I194">
        <v>31.46</v>
      </c>
      <c r="K194" t="s">
        <v>27</v>
      </c>
    </row>
    <row r="195" spans="1:11" x14ac:dyDescent="0.3">
      <c r="A195" t="s">
        <v>220</v>
      </c>
      <c r="B195" t="s">
        <v>20</v>
      </c>
      <c r="C195" s="1">
        <v>45059</v>
      </c>
      <c r="D195" s="1">
        <v>45078</v>
      </c>
      <c r="E195" t="s">
        <v>24</v>
      </c>
      <c r="F195" t="s">
        <v>18</v>
      </c>
      <c r="G195">
        <v>913</v>
      </c>
      <c r="H195">
        <v>28.01</v>
      </c>
      <c r="I195">
        <v>24.06</v>
      </c>
      <c r="J195">
        <v>53</v>
      </c>
      <c r="K195" t="s">
        <v>15</v>
      </c>
    </row>
    <row r="196" spans="1:11" x14ac:dyDescent="0.3">
      <c r="A196" t="s">
        <v>221</v>
      </c>
      <c r="B196" t="s">
        <v>12</v>
      </c>
      <c r="C196" s="1">
        <v>44632</v>
      </c>
      <c r="D196" s="1">
        <v>44638</v>
      </c>
      <c r="E196" t="s">
        <v>24</v>
      </c>
      <c r="F196" t="s">
        <v>14</v>
      </c>
      <c r="G196">
        <v>792</v>
      </c>
      <c r="H196">
        <v>18.16</v>
      </c>
      <c r="I196">
        <v>17.25</v>
      </c>
      <c r="J196">
        <v>17</v>
      </c>
      <c r="K196" t="s">
        <v>15</v>
      </c>
    </row>
    <row r="197" spans="1:11" x14ac:dyDescent="0.3">
      <c r="A197" t="s">
        <v>222</v>
      </c>
      <c r="B197" t="s">
        <v>29</v>
      </c>
      <c r="C197" s="1">
        <v>45107</v>
      </c>
      <c r="D197" s="1">
        <v>45110</v>
      </c>
      <c r="E197" t="s">
        <v>13</v>
      </c>
      <c r="F197" t="s">
        <v>33</v>
      </c>
      <c r="G197">
        <v>1314</v>
      </c>
      <c r="H197">
        <v>22.63</v>
      </c>
      <c r="I197">
        <v>21.06</v>
      </c>
      <c r="J197">
        <v>44</v>
      </c>
      <c r="K197" t="s">
        <v>15</v>
      </c>
    </row>
    <row r="198" spans="1:11" x14ac:dyDescent="0.3">
      <c r="A198" t="s">
        <v>223</v>
      </c>
      <c r="B198" t="s">
        <v>23</v>
      </c>
      <c r="C198" s="1">
        <v>44690</v>
      </c>
      <c r="D198" s="1">
        <v>44703</v>
      </c>
      <c r="E198" t="s">
        <v>21</v>
      </c>
      <c r="F198" t="s">
        <v>18</v>
      </c>
      <c r="G198">
        <v>613</v>
      </c>
      <c r="H198">
        <v>52.5</v>
      </c>
      <c r="I198">
        <v>45.19</v>
      </c>
      <c r="J198">
        <v>70</v>
      </c>
      <c r="K198" t="s">
        <v>15</v>
      </c>
    </row>
    <row r="199" spans="1:11" x14ac:dyDescent="0.3">
      <c r="A199" t="s">
        <v>224</v>
      </c>
      <c r="B199" t="s">
        <v>12</v>
      </c>
      <c r="C199" s="1">
        <v>44693</v>
      </c>
      <c r="D199" s="1">
        <v>44701</v>
      </c>
      <c r="E199" t="s">
        <v>13</v>
      </c>
      <c r="F199" t="s">
        <v>18</v>
      </c>
      <c r="G199">
        <v>1070</v>
      </c>
      <c r="H199">
        <v>29.14</v>
      </c>
      <c r="I199">
        <v>26.63</v>
      </c>
      <c r="J199">
        <v>24</v>
      </c>
      <c r="K199" t="s">
        <v>15</v>
      </c>
    </row>
    <row r="200" spans="1:11" x14ac:dyDescent="0.3">
      <c r="A200" t="s">
        <v>225</v>
      </c>
      <c r="B200" t="s">
        <v>20</v>
      </c>
      <c r="C200" s="1">
        <v>45237</v>
      </c>
      <c r="D200" s="1">
        <v>45256</v>
      </c>
      <c r="E200" t="s">
        <v>26</v>
      </c>
      <c r="F200" t="s">
        <v>33</v>
      </c>
      <c r="G200">
        <v>145</v>
      </c>
      <c r="H200">
        <v>47.49</v>
      </c>
      <c r="I200">
        <v>42.76</v>
      </c>
      <c r="J200">
        <v>6</v>
      </c>
      <c r="K200" t="s">
        <v>15</v>
      </c>
    </row>
    <row r="201" spans="1:11" x14ac:dyDescent="0.3">
      <c r="A201" t="s">
        <v>226</v>
      </c>
      <c r="B201" t="s">
        <v>17</v>
      </c>
      <c r="C201" s="1">
        <v>45048</v>
      </c>
      <c r="D201" s="1">
        <v>45063</v>
      </c>
      <c r="E201" t="s">
        <v>26</v>
      </c>
      <c r="F201" t="s">
        <v>18</v>
      </c>
      <c r="G201">
        <v>1973</v>
      </c>
      <c r="H201">
        <v>59.73</v>
      </c>
      <c r="I201">
        <v>54.95</v>
      </c>
      <c r="J201">
        <v>291</v>
      </c>
      <c r="K201" t="s">
        <v>15</v>
      </c>
    </row>
    <row r="202" spans="1:11" x14ac:dyDescent="0.3">
      <c r="A202" t="s">
        <v>227</v>
      </c>
      <c r="B202" t="s">
        <v>29</v>
      </c>
      <c r="C202" s="1">
        <v>45124</v>
      </c>
      <c r="D202" s="1">
        <v>45139</v>
      </c>
      <c r="E202" t="s">
        <v>13</v>
      </c>
      <c r="F202" t="s">
        <v>18</v>
      </c>
      <c r="G202">
        <v>1807</v>
      </c>
      <c r="H202">
        <v>78.63</v>
      </c>
      <c r="I202">
        <v>73.08</v>
      </c>
      <c r="J202">
        <v>100</v>
      </c>
      <c r="K202" t="s">
        <v>15</v>
      </c>
    </row>
    <row r="203" spans="1:11" x14ac:dyDescent="0.3">
      <c r="A203" t="s">
        <v>228</v>
      </c>
      <c r="B203" t="s">
        <v>29</v>
      </c>
      <c r="C203" s="1">
        <v>44731</v>
      </c>
      <c r="D203" s="1">
        <v>44732</v>
      </c>
      <c r="E203" t="s">
        <v>39</v>
      </c>
      <c r="F203" t="s">
        <v>18</v>
      </c>
      <c r="G203">
        <v>534</v>
      </c>
      <c r="H203">
        <v>13.88</v>
      </c>
      <c r="I203">
        <v>12.51</v>
      </c>
      <c r="J203">
        <v>100</v>
      </c>
      <c r="K203" t="s">
        <v>15</v>
      </c>
    </row>
    <row r="204" spans="1:11" x14ac:dyDescent="0.3">
      <c r="A204" t="s">
        <v>229</v>
      </c>
      <c r="B204" t="s">
        <v>12</v>
      </c>
      <c r="C204" s="1">
        <v>44833</v>
      </c>
      <c r="D204" s="1">
        <v>44848</v>
      </c>
      <c r="E204" t="s">
        <v>39</v>
      </c>
      <c r="F204" t="s">
        <v>18</v>
      </c>
      <c r="G204">
        <v>1480</v>
      </c>
      <c r="H204">
        <v>85.22</v>
      </c>
      <c r="I204">
        <v>75.48</v>
      </c>
      <c r="J204">
        <v>100</v>
      </c>
      <c r="K204" t="s">
        <v>15</v>
      </c>
    </row>
    <row r="205" spans="1:11" x14ac:dyDescent="0.3">
      <c r="A205" t="s">
        <v>230</v>
      </c>
      <c r="B205" t="s">
        <v>12</v>
      </c>
      <c r="C205" s="1">
        <v>45102</v>
      </c>
      <c r="E205" t="s">
        <v>13</v>
      </c>
      <c r="F205" t="s">
        <v>18</v>
      </c>
      <c r="G205">
        <v>280</v>
      </c>
      <c r="H205">
        <v>72.16</v>
      </c>
      <c r="I205">
        <v>62.38</v>
      </c>
      <c r="J205">
        <v>100</v>
      </c>
      <c r="K205" t="s">
        <v>15</v>
      </c>
    </row>
    <row r="206" spans="1:11" x14ac:dyDescent="0.3">
      <c r="A206" t="s">
        <v>231</v>
      </c>
      <c r="B206" t="s">
        <v>23</v>
      </c>
      <c r="C206" s="1">
        <v>45183</v>
      </c>
      <c r="D206" s="1">
        <v>45189</v>
      </c>
      <c r="E206" t="s">
        <v>13</v>
      </c>
      <c r="F206" t="s">
        <v>14</v>
      </c>
      <c r="G206">
        <v>798</v>
      </c>
      <c r="H206">
        <v>19.09</v>
      </c>
      <c r="I206">
        <v>17.760000000000002</v>
      </c>
      <c r="J206">
        <v>100</v>
      </c>
      <c r="K206" t="s">
        <v>15</v>
      </c>
    </row>
    <row r="207" spans="1:11" x14ac:dyDescent="0.3">
      <c r="A207" t="s">
        <v>232</v>
      </c>
      <c r="B207" t="s">
        <v>29</v>
      </c>
      <c r="C207" s="1">
        <v>44995</v>
      </c>
      <c r="D207" s="1">
        <v>45007</v>
      </c>
      <c r="E207" t="s">
        <v>39</v>
      </c>
      <c r="F207" t="s">
        <v>18</v>
      </c>
      <c r="G207">
        <v>1728</v>
      </c>
      <c r="H207">
        <v>94.83</v>
      </c>
      <c r="I207">
        <v>90.2</v>
      </c>
      <c r="J207">
        <v>100</v>
      </c>
      <c r="K207" t="s">
        <v>15</v>
      </c>
    </row>
    <row r="208" spans="1:11" x14ac:dyDescent="0.3">
      <c r="A208" t="s">
        <v>233</v>
      </c>
      <c r="B208" t="s">
        <v>29</v>
      </c>
      <c r="C208" s="1">
        <v>44778</v>
      </c>
      <c r="E208" t="s">
        <v>21</v>
      </c>
      <c r="F208" t="s">
        <v>18</v>
      </c>
      <c r="G208">
        <v>1244</v>
      </c>
      <c r="H208">
        <v>96.13</v>
      </c>
      <c r="I208">
        <v>84.78</v>
      </c>
      <c r="J208">
        <v>43</v>
      </c>
      <c r="K208" t="s">
        <v>15</v>
      </c>
    </row>
    <row r="209" spans="1:11" x14ac:dyDescent="0.3">
      <c r="A209" t="s">
        <v>234</v>
      </c>
      <c r="B209" t="s">
        <v>23</v>
      </c>
      <c r="C209" s="1">
        <v>45114</v>
      </c>
      <c r="D209" s="1">
        <v>45128</v>
      </c>
      <c r="E209" t="s">
        <v>13</v>
      </c>
      <c r="F209" t="s">
        <v>18</v>
      </c>
      <c r="G209">
        <v>590</v>
      </c>
      <c r="H209">
        <v>16.89</v>
      </c>
      <c r="I209">
        <v>15.56</v>
      </c>
      <c r="J209">
        <v>46</v>
      </c>
      <c r="K209" t="s">
        <v>27</v>
      </c>
    </row>
    <row r="210" spans="1:11" x14ac:dyDescent="0.3">
      <c r="A210" t="s">
        <v>235</v>
      </c>
      <c r="B210" t="s">
        <v>17</v>
      </c>
      <c r="C210" s="1">
        <v>45268</v>
      </c>
      <c r="D210" s="1">
        <v>45283</v>
      </c>
      <c r="E210" t="s">
        <v>24</v>
      </c>
      <c r="F210" t="s">
        <v>18</v>
      </c>
      <c r="G210">
        <v>1109</v>
      </c>
      <c r="H210">
        <v>38.93</v>
      </c>
      <c r="I210">
        <v>33.33</v>
      </c>
      <c r="J210">
        <v>152</v>
      </c>
      <c r="K210" t="s">
        <v>15</v>
      </c>
    </row>
    <row r="211" spans="1:11" x14ac:dyDescent="0.3">
      <c r="A211" t="s">
        <v>236</v>
      </c>
      <c r="B211" t="s">
        <v>23</v>
      </c>
      <c r="C211" s="1">
        <v>44767</v>
      </c>
      <c r="D211" s="1">
        <v>44774</v>
      </c>
      <c r="E211" t="s">
        <v>21</v>
      </c>
      <c r="F211" t="s">
        <v>18</v>
      </c>
      <c r="G211">
        <v>574</v>
      </c>
      <c r="H211">
        <v>85.03</v>
      </c>
      <c r="I211">
        <v>82.55</v>
      </c>
      <c r="J211">
        <v>54</v>
      </c>
      <c r="K211" t="s">
        <v>15</v>
      </c>
    </row>
    <row r="212" spans="1:11" x14ac:dyDescent="0.3">
      <c r="A212" t="s">
        <v>237</v>
      </c>
      <c r="B212" t="s">
        <v>20</v>
      </c>
      <c r="C212" s="1">
        <v>45292</v>
      </c>
      <c r="E212" t="s">
        <v>13</v>
      </c>
      <c r="F212" t="s">
        <v>18</v>
      </c>
      <c r="G212">
        <v>1233</v>
      </c>
      <c r="H212">
        <v>86.62</v>
      </c>
      <c r="I212">
        <v>76.59</v>
      </c>
      <c r="J212">
        <v>65</v>
      </c>
      <c r="K212" t="s">
        <v>15</v>
      </c>
    </row>
    <row r="213" spans="1:11" x14ac:dyDescent="0.3">
      <c r="A213" t="s">
        <v>238</v>
      </c>
      <c r="B213" t="s">
        <v>20</v>
      </c>
      <c r="C213" s="1">
        <v>44881</v>
      </c>
      <c r="D213" s="1">
        <v>44885</v>
      </c>
      <c r="E213" t="s">
        <v>24</v>
      </c>
      <c r="F213" t="s">
        <v>18</v>
      </c>
      <c r="G213">
        <v>1912</v>
      </c>
      <c r="H213">
        <v>27.94</v>
      </c>
      <c r="I213">
        <v>25.59</v>
      </c>
      <c r="J213">
        <v>83</v>
      </c>
      <c r="K213" t="s">
        <v>27</v>
      </c>
    </row>
    <row r="214" spans="1:11" x14ac:dyDescent="0.3">
      <c r="A214" t="s">
        <v>239</v>
      </c>
      <c r="B214" t="s">
        <v>12</v>
      </c>
      <c r="C214" s="1">
        <v>44970</v>
      </c>
      <c r="D214" s="1">
        <v>44989</v>
      </c>
      <c r="E214" t="s">
        <v>24</v>
      </c>
      <c r="F214" t="s">
        <v>18</v>
      </c>
      <c r="G214">
        <v>1772</v>
      </c>
      <c r="H214">
        <v>30.72</v>
      </c>
      <c r="I214">
        <v>27.76</v>
      </c>
      <c r="J214">
        <v>46</v>
      </c>
      <c r="K214" t="s">
        <v>27</v>
      </c>
    </row>
    <row r="215" spans="1:11" x14ac:dyDescent="0.3">
      <c r="A215" t="s">
        <v>240</v>
      </c>
      <c r="B215" t="s">
        <v>23</v>
      </c>
      <c r="C215" s="1">
        <v>45249</v>
      </c>
      <c r="D215" s="1">
        <v>45259</v>
      </c>
      <c r="E215" t="s">
        <v>13</v>
      </c>
      <c r="F215" t="s">
        <v>18</v>
      </c>
      <c r="G215">
        <v>1316</v>
      </c>
      <c r="H215">
        <v>48.11</v>
      </c>
      <c r="I215">
        <v>41.9</v>
      </c>
      <c r="J215">
        <v>135</v>
      </c>
      <c r="K215" t="s">
        <v>15</v>
      </c>
    </row>
    <row r="216" spans="1:11" x14ac:dyDescent="0.3">
      <c r="A216" t="s">
        <v>241</v>
      </c>
      <c r="B216" t="s">
        <v>23</v>
      </c>
      <c r="C216" s="1">
        <v>45227</v>
      </c>
      <c r="E216" t="s">
        <v>13</v>
      </c>
      <c r="F216" t="s">
        <v>18</v>
      </c>
      <c r="G216">
        <v>1159</v>
      </c>
      <c r="H216">
        <v>59.24</v>
      </c>
      <c r="I216">
        <v>58.08</v>
      </c>
      <c r="K216" t="s">
        <v>15</v>
      </c>
    </row>
    <row r="217" spans="1:11" x14ac:dyDescent="0.3">
      <c r="A217" t="s">
        <v>242</v>
      </c>
      <c r="B217" t="s">
        <v>12</v>
      </c>
      <c r="C217" s="1">
        <v>44944</v>
      </c>
      <c r="D217" s="1">
        <v>44957</v>
      </c>
      <c r="E217" t="s">
        <v>13</v>
      </c>
      <c r="F217" t="s">
        <v>18</v>
      </c>
      <c r="G217">
        <v>1869</v>
      </c>
      <c r="H217">
        <v>69.58</v>
      </c>
      <c r="I217">
        <v>67.5</v>
      </c>
      <c r="J217">
        <v>31</v>
      </c>
      <c r="K217" t="s">
        <v>15</v>
      </c>
    </row>
    <row r="218" spans="1:11" x14ac:dyDescent="0.3">
      <c r="A218" t="s">
        <v>243</v>
      </c>
      <c r="B218" t="s">
        <v>17</v>
      </c>
      <c r="C218" s="1">
        <v>45010</v>
      </c>
      <c r="D218" s="1">
        <v>45029</v>
      </c>
      <c r="E218" t="s">
        <v>24</v>
      </c>
      <c r="F218" t="s">
        <v>18</v>
      </c>
      <c r="G218">
        <v>627</v>
      </c>
      <c r="H218">
        <v>46.23</v>
      </c>
      <c r="I218">
        <v>42.87</v>
      </c>
      <c r="K218" t="s">
        <v>15</v>
      </c>
    </row>
    <row r="219" spans="1:11" x14ac:dyDescent="0.3">
      <c r="A219" t="s">
        <v>244</v>
      </c>
      <c r="B219" t="s">
        <v>23</v>
      </c>
      <c r="C219" s="1">
        <v>45091</v>
      </c>
      <c r="D219" s="1">
        <v>45093</v>
      </c>
      <c r="E219" t="s">
        <v>26</v>
      </c>
      <c r="F219" t="s">
        <v>35</v>
      </c>
      <c r="G219">
        <v>731</v>
      </c>
      <c r="H219">
        <v>56.02</v>
      </c>
      <c r="I219">
        <v>54.78</v>
      </c>
      <c r="J219">
        <v>70</v>
      </c>
      <c r="K219" t="s">
        <v>27</v>
      </c>
    </row>
    <row r="220" spans="1:11" x14ac:dyDescent="0.3">
      <c r="A220" t="s">
        <v>245</v>
      </c>
      <c r="B220" t="s">
        <v>29</v>
      </c>
      <c r="C220" s="1">
        <v>45024</v>
      </c>
      <c r="E220" t="s">
        <v>13</v>
      </c>
      <c r="F220" t="s">
        <v>14</v>
      </c>
      <c r="G220">
        <v>606</v>
      </c>
      <c r="H220">
        <v>83.07</v>
      </c>
      <c r="I220">
        <v>79.22</v>
      </c>
      <c r="J220">
        <v>16</v>
      </c>
      <c r="K220" t="s">
        <v>15</v>
      </c>
    </row>
    <row r="221" spans="1:11" x14ac:dyDescent="0.3">
      <c r="A221" t="s">
        <v>246</v>
      </c>
      <c r="B221" t="s">
        <v>23</v>
      </c>
      <c r="C221" s="1">
        <v>44685</v>
      </c>
      <c r="D221" s="1">
        <v>44695</v>
      </c>
      <c r="E221" t="s">
        <v>13</v>
      </c>
      <c r="F221" t="s">
        <v>18</v>
      </c>
      <c r="G221">
        <v>1647</v>
      </c>
      <c r="H221">
        <v>13.57</v>
      </c>
      <c r="I221">
        <v>12.33</v>
      </c>
      <c r="J221">
        <v>157</v>
      </c>
      <c r="K221" t="s">
        <v>15</v>
      </c>
    </row>
    <row r="222" spans="1:11" x14ac:dyDescent="0.3">
      <c r="A222" t="s">
        <v>247</v>
      </c>
      <c r="B222" t="s">
        <v>17</v>
      </c>
      <c r="C222" s="1">
        <v>44815</v>
      </c>
      <c r="D222" s="1">
        <v>44823</v>
      </c>
      <c r="E222" t="s">
        <v>21</v>
      </c>
      <c r="F222" t="s">
        <v>18</v>
      </c>
      <c r="G222">
        <v>1062</v>
      </c>
      <c r="H222">
        <v>34.03</v>
      </c>
      <c r="I222">
        <v>30.46</v>
      </c>
      <c r="K222" t="s">
        <v>15</v>
      </c>
    </row>
    <row r="223" spans="1:11" x14ac:dyDescent="0.3">
      <c r="A223" t="s">
        <v>248</v>
      </c>
      <c r="B223" t="s">
        <v>23</v>
      </c>
      <c r="C223" s="1">
        <v>44792</v>
      </c>
      <c r="D223" s="1">
        <v>44804</v>
      </c>
      <c r="E223" t="s">
        <v>13</v>
      </c>
      <c r="F223" t="s">
        <v>18</v>
      </c>
      <c r="G223">
        <v>695</v>
      </c>
      <c r="H223">
        <v>76.8</v>
      </c>
      <c r="I223">
        <v>69.760000000000005</v>
      </c>
      <c r="K223" t="s">
        <v>27</v>
      </c>
    </row>
    <row r="224" spans="1:11" x14ac:dyDescent="0.3">
      <c r="A224" t="s">
        <v>249</v>
      </c>
      <c r="B224" t="s">
        <v>29</v>
      </c>
      <c r="C224" s="1">
        <v>44627</v>
      </c>
      <c r="D224" s="1">
        <v>44634</v>
      </c>
      <c r="E224" t="s">
        <v>21</v>
      </c>
      <c r="F224" t="s">
        <v>18</v>
      </c>
      <c r="G224">
        <v>845</v>
      </c>
      <c r="H224">
        <v>91.47</v>
      </c>
      <c r="I224">
        <v>86.97</v>
      </c>
      <c r="K224" t="s">
        <v>15</v>
      </c>
    </row>
    <row r="225" spans="1:11" x14ac:dyDescent="0.3">
      <c r="A225" t="s">
        <v>250</v>
      </c>
      <c r="B225" t="s">
        <v>20</v>
      </c>
      <c r="C225" s="1">
        <v>44908</v>
      </c>
      <c r="D225" s="1">
        <v>44913</v>
      </c>
      <c r="E225" t="s">
        <v>21</v>
      </c>
      <c r="F225" t="s">
        <v>18</v>
      </c>
      <c r="G225">
        <v>1101</v>
      </c>
      <c r="H225">
        <v>59.13</v>
      </c>
      <c r="I225">
        <v>52.51</v>
      </c>
      <c r="J225">
        <v>54</v>
      </c>
      <c r="K225" t="s">
        <v>15</v>
      </c>
    </row>
    <row r="226" spans="1:11" x14ac:dyDescent="0.3">
      <c r="A226" t="s">
        <v>251</v>
      </c>
      <c r="B226" t="s">
        <v>20</v>
      </c>
      <c r="C226" s="1">
        <v>44583</v>
      </c>
      <c r="D226" s="1">
        <v>44585</v>
      </c>
      <c r="E226" t="s">
        <v>26</v>
      </c>
      <c r="F226" t="s">
        <v>18</v>
      </c>
      <c r="G226">
        <v>1693</v>
      </c>
      <c r="H226">
        <v>57.89</v>
      </c>
      <c r="I226">
        <v>49.84</v>
      </c>
      <c r="J226">
        <v>88</v>
      </c>
      <c r="K226" t="s">
        <v>15</v>
      </c>
    </row>
    <row r="227" spans="1:11" x14ac:dyDescent="0.3">
      <c r="A227" t="s">
        <v>252</v>
      </c>
      <c r="B227" t="s">
        <v>17</v>
      </c>
      <c r="C227" s="1">
        <v>45164</v>
      </c>
      <c r="D227" s="1">
        <v>45179</v>
      </c>
      <c r="E227" t="s">
        <v>13</v>
      </c>
      <c r="F227" t="s">
        <v>14</v>
      </c>
      <c r="G227">
        <v>1629</v>
      </c>
      <c r="H227">
        <v>21.51</v>
      </c>
      <c r="I227">
        <v>19.41</v>
      </c>
      <c r="J227">
        <v>250</v>
      </c>
      <c r="K227" t="s">
        <v>27</v>
      </c>
    </row>
    <row r="228" spans="1:11" x14ac:dyDescent="0.3">
      <c r="A228" t="s">
        <v>253</v>
      </c>
      <c r="B228" t="s">
        <v>17</v>
      </c>
      <c r="C228" s="1">
        <v>45129</v>
      </c>
      <c r="D228" s="1">
        <v>45141</v>
      </c>
      <c r="E228" t="s">
        <v>26</v>
      </c>
      <c r="F228" t="s">
        <v>18</v>
      </c>
      <c r="G228">
        <v>1413</v>
      </c>
      <c r="H228">
        <v>54.79</v>
      </c>
      <c r="I228">
        <v>50.42</v>
      </c>
      <c r="K228" t="s">
        <v>15</v>
      </c>
    </row>
    <row r="229" spans="1:11" x14ac:dyDescent="0.3">
      <c r="A229" t="s">
        <v>254</v>
      </c>
      <c r="B229" t="s">
        <v>29</v>
      </c>
      <c r="C229" s="1">
        <v>44797</v>
      </c>
      <c r="D229" s="1">
        <v>44800</v>
      </c>
      <c r="E229" t="s">
        <v>24</v>
      </c>
      <c r="F229" t="s">
        <v>18</v>
      </c>
      <c r="G229">
        <v>1871</v>
      </c>
      <c r="H229">
        <v>59.96</v>
      </c>
      <c r="I229">
        <v>58.54</v>
      </c>
      <c r="J229">
        <v>47</v>
      </c>
      <c r="K229" t="s">
        <v>15</v>
      </c>
    </row>
    <row r="230" spans="1:11" x14ac:dyDescent="0.3">
      <c r="A230" t="s">
        <v>255</v>
      </c>
      <c r="B230" t="s">
        <v>20</v>
      </c>
      <c r="C230" s="1">
        <v>45164</v>
      </c>
      <c r="E230" t="s">
        <v>26</v>
      </c>
      <c r="F230" t="s">
        <v>18</v>
      </c>
      <c r="G230">
        <v>1404</v>
      </c>
      <c r="H230">
        <v>34.85</v>
      </c>
      <c r="I230">
        <v>30.5</v>
      </c>
      <c r="J230">
        <v>78</v>
      </c>
      <c r="K230" t="s">
        <v>15</v>
      </c>
    </row>
    <row r="231" spans="1:11" x14ac:dyDescent="0.3">
      <c r="A231" t="s">
        <v>256</v>
      </c>
      <c r="B231" t="s">
        <v>20</v>
      </c>
      <c r="C231" s="1">
        <v>44787</v>
      </c>
      <c r="D231" s="1">
        <v>44801</v>
      </c>
      <c r="E231" t="s">
        <v>39</v>
      </c>
      <c r="F231" t="s">
        <v>18</v>
      </c>
      <c r="G231">
        <v>1713</v>
      </c>
      <c r="H231">
        <v>35.43</v>
      </c>
      <c r="I231">
        <v>34.11</v>
      </c>
      <c r="J231">
        <v>74</v>
      </c>
      <c r="K231" t="s">
        <v>15</v>
      </c>
    </row>
    <row r="232" spans="1:11" x14ac:dyDescent="0.3">
      <c r="A232" t="s">
        <v>257</v>
      </c>
      <c r="B232" t="s">
        <v>20</v>
      </c>
      <c r="C232" s="1">
        <v>44569</v>
      </c>
      <c r="D232" s="1">
        <v>44574</v>
      </c>
      <c r="E232" t="s">
        <v>39</v>
      </c>
      <c r="F232" t="s">
        <v>18</v>
      </c>
      <c r="G232">
        <v>1579</v>
      </c>
      <c r="H232">
        <v>43.96</v>
      </c>
      <c r="I232">
        <v>43.41</v>
      </c>
      <c r="J232">
        <v>74</v>
      </c>
      <c r="K232" t="s">
        <v>15</v>
      </c>
    </row>
    <row r="233" spans="1:11" x14ac:dyDescent="0.3">
      <c r="A233" t="s">
        <v>258</v>
      </c>
      <c r="B233" t="s">
        <v>20</v>
      </c>
      <c r="C233" s="1">
        <v>44634</v>
      </c>
      <c r="D233" s="1">
        <v>44646</v>
      </c>
      <c r="E233" t="s">
        <v>39</v>
      </c>
      <c r="F233" t="s">
        <v>18</v>
      </c>
      <c r="G233">
        <v>1421</v>
      </c>
      <c r="H233">
        <v>11.92</v>
      </c>
      <c r="I233">
        <v>11.72</v>
      </c>
      <c r="J233">
        <v>76</v>
      </c>
      <c r="K233" t="s">
        <v>15</v>
      </c>
    </row>
    <row r="234" spans="1:11" x14ac:dyDescent="0.3">
      <c r="A234" t="s">
        <v>259</v>
      </c>
      <c r="B234" t="s">
        <v>29</v>
      </c>
      <c r="C234" s="1">
        <v>45286</v>
      </c>
      <c r="D234" s="1">
        <v>45295</v>
      </c>
      <c r="E234" t="s">
        <v>21</v>
      </c>
      <c r="F234" t="s">
        <v>18</v>
      </c>
      <c r="G234">
        <v>1546</v>
      </c>
      <c r="H234">
        <v>43.47</v>
      </c>
      <c r="I234">
        <v>37.369999999999997</v>
      </c>
      <c r="J234">
        <v>53</v>
      </c>
      <c r="K234" t="s">
        <v>15</v>
      </c>
    </row>
    <row r="235" spans="1:11" x14ac:dyDescent="0.3">
      <c r="A235" t="s">
        <v>260</v>
      </c>
      <c r="B235" t="s">
        <v>17</v>
      </c>
      <c r="C235" s="1">
        <v>45208</v>
      </c>
      <c r="D235" s="1">
        <v>45217</v>
      </c>
      <c r="E235" t="s">
        <v>39</v>
      </c>
      <c r="F235" t="s">
        <v>18</v>
      </c>
      <c r="G235">
        <v>1304</v>
      </c>
      <c r="H235">
        <v>32.08</v>
      </c>
      <c r="I235">
        <v>29.36</v>
      </c>
      <c r="K235" t="s">
        <v>15</v>
      </c>
    </row>
    <row r="236" spans="1:11" x14ac:dyDescent="0.3">
      <c r="A236" t="s">
        <v>261</v>
      </c>
      <c r="B236" t="s">
        <v>17</v>
      </c>
      <c r="C236" s="1">
        <v>44622</v>
      </c>
      <c r="E236" t="s">
        <v>26</v>
      </c>
      <c r="F236" t="s">
        <v>18</v>
      </c>
      <c r="G236">
        <v>239</v>
      </c>
      <c r="H236">
        <v>39.869999999999997</v>
      </c>
      <c r="I236">
        <v>35.47</v>
      </c>
      <c r="J236">
        <v>32</v>
      </c>
      <c r="K236" t="s">
        <v>15</v>
      </c>
    </row>
    <row r="237" spans="1:11" x14ac:dyDescent="0.3">
      <c r="A237" t="s">
        <v>262</v>
      </c>
      <c r="B237" t="s">
        <v>12</v>
      </c>
      <c r="C237" s="1">
        <v>44796</v>
      </c>
      <c r="E237" t="s">
        <v>13</v>
      </c>
      <c r="F237" t="s">
        <v>18</v>
      </c>
      <c r="G237">
        <v>1298</v>
      </c>
      <c r="H237">
        <v>21.51</v>
      </c>
      <c r="I237">
        <v>20.83</v>
      </c>
      <c r="K237" t="s">
        <v>15</v>
      </c>
    </row>
    <row r="238" spans="1:11" x14ac:dyDescent="0.3">
      <c r="A238" t="s">
        <v>263</v>
      </c>
      <c r="B238" t="s">
        <v>17</v>
      </c>
      <c r="C238" s="1">
        <v>44631</v>
      </c>
      <c r="E238" t="s">
        <v>21</v>
      </c>
      <c r="F238" t="s">
        <v>18</v>
      </c>
      <c r="G238">
        <v>1458</v>
      </c>
      <c r="H238">
        <v>91.05</v>
      </c>
      <c r="I238">
        <v>81.56</v>
      </c>
      <c r="J238">
        <v>220</v>
      </c>
      <c r="K238" t="s">
        <v>15</v>
      </c>
    </row>
    <row r="239" spans="1:11" x14ac:dyDescent="0.3">
      <c r="A239" t="s">
        <v>264</v>
      </c>
      <c r="B239" t="s">
        <v>20</v>
      </c>
      <c r="C239" s="1">
        <v>44594</v>
      </c>
      <c r="D239" s="1">
        <v>44605</v>
      </c>
      <c r="E239" t="s">
        <v>21</v>
      </c>
      <c r="F239" t="s">
        <v>18</v>
      </c>
      <c r="G239">
        <v>1450</v>
      </c>
      <c r="H239">
        <v>63.74</v>
      </c>
      <c r="I239">
        <v>59.11</v>
      </c>
      <c r="J239">
        <v>71</v>
      </c>
      <c r="K239" t="s">
        <v>15</v>
      </c>
    </row>
    <row r="240" spans="1:11" x14ac:dyDescent="0.3">
      <c r="A240" t="s">
        <v>265</v>
      </c>
      <c r="B240" t="s">
        <v>23</v>
      </c>
      <c r="C240" s="1">
        <v>44900</v>
      </c>
      <c r="D240" s="1">
        <v>44915</v>
      </c>
      <c r="E240" t="s">
        <v>39</v>
      </c>
      <c r="F240" t="s">
        <v>18</v>
      </c>
      <c r="G240">
        <v>1356</v>
      </c>
      <c r="H240">
        <v>75.03</v>
      </c>
      <c r="I240">
        <v>63.86</v>
      </c>
      <c r="J240">
        <v>131</v>
      </c>
      <c r="K240" t="s">
        <v>15</v>
      </c>
    </row>
    <row r="241" spans="1:11" x14ac:dyDescent="0.3">
      <c r="A241" t="s">
        <v>266</v>
      </c>
      <c r="B241" t="s">
        <v>20</v>
      </c>
      <c r="C241" s="1">
        <v>44634</v>
      </c>
      <c r="E241" t="s">
        <v>24</v>
      </c>
      <c r="F241" t="s">
        <v>18</v>
      </c>
      <c r="G241">
        <v>682</v>
      </c>
      <c r="H241">
        <v>81.84</v>
      </c>
      <c r="I241">
        <v>71.86</v>
      </c>
      <c r="J241">
        <v>40</v>
      </c>
      <c r="K241" t="s">
        <v>15</v>
      </c>
    </row>
    <row r="242" spans="1:11" x14ac:dyDescent="0.3">
      <c r="A242" t="s">
        <v>267</v>
      </c>
      <c r="B242" t="s">
        <v>20</v>
      </c>
      <c r="C242" s="1">
        <v>45088</v>
      </c>
      <c r="D242" s="1">
        <v>45096</v>
      </c>
      <c r="E242" t="s">
        <v>24</v>
      </c>
      <c r="F242" t="s">
        <v>18</v>
      </c>
      <c r="G242">
        <v>677</v>
      </c>
      <c r="H242">
        <v>59.52</v>
      </c>
      <c r="I242">
        <v>55.29</v>
      </c>
      <c r="J242">
        <v>39</v>
      </c>
      <c r="K242" t="s">
        <v>15</v>
      </c>
    </row>
    <row r="243" spans="1:11" x14ac:dyDescent="0.3">
      <c r="A243" t="s">
        <v>268</v>
      </c>
      <c r="B243" t="s">
        <v>17</v>
      </c>
      <c r="C243" s="1">
        <v>44805</v>
      </c>
      <c r="D243" s="1">
        <v>44818</v>
      </c>
      <c r="E243" t="s">
        <v>13</v>
      </c>
      <c r="F243" t="s">
        <v>18</v>
      </c>
      <c r="G243">
        <v>1022</v>
      </c>
      <c r="H243">
        <v>18.54</v>
      </c>
      <c r="I243">
        <v>16.55</v>
      </c>
      <c r="J243">
        <v>150</v>
      </c>
      <c r="K243" t="s">
        <v>15</v>
      </c>
    </row>
    <row r="244" spans="1:11" x14ac:dyDescent="0.3">
      <c r="A244" t="s">
        <v>269</v>
      </c>
      <c r="B244" t="s">
        <v>12</v>
      </c>
      <c r="C244" s="1">
        <v>44847</v>
      </c>
      <c r="E244" t="s">
        <v>26</v>
      </c>
      <c r="F244" t="s">
        <v>18</v>
      </c>
      <c r="G244">
        <v>1818</v>
      </c>
      <c r="H244">
        <v>60.96</v>
      </c>
      <c r="I244">
        <v>57.13</v>
      </c>
      <c r="J244">
        <v>41</v>
      </c>
      <c r="K244" t="s">
        <v>15</v>
      </c>
    </row>
    <row r="245" spans="1:11" x14ac:dyDescent="0.3">
      <c r="A245" t="s">
        <v>270</v>
      </c>
      <c r="B245" t="s">
        <v>29</v>
      </c>
      <c r="C245" s="1">
        <v>45247</v>
      </c>
      <c r="D245" s="1">
        <v>45259</v>
      </c>
      <c r="E245" t="s">
        <v>39</v>
      </c>
      <c r="F245" t="s">
        <v>18</v>
      </c>
      <c r="G245">
        <v>1332</v>
      </c>
      <c r="H245">
        <v>69.73</v>
      </c>
      <c r="I245">
        <v>63.8</v>
      </c>
      <c r="J245">
        <v>41</v>
      </c>
      <c r="K245" t="s">
        <v>15</v>
      </c>
    </row>
    <row r="246" spans="1:11" x14ac:dyDescent="0.3">
      <c r="A246" t="s">
        <v>271</v>
      </c>
      <c r="B246" t="s">
        <v>23</v>
      </c>
      <c r="C246" s="1">
        <v>45059</v>
      </c>
      <c r="D246" s="1">
        <v>45072</v>
      </c>
      <c r="E246" t="s">
        <v>26</v>
      </c>
      <c r="F246" t="s">
        <v>18</v>
      </c>
      <c r="G246">
        <v>1432</v>
      </c>
      <c r="H246">
        <v>83.26</v>
      </c>
      <c r="I246">
        <v>77.67</v>
      </c>
      <c r="J246">
        <v>174</v>
      </c>
      <c r="K246" t="s">
        <v>15</v>
      </c>
    </row>
    <row r="247" spans="1:11" x14ac:dyDescent="0.3">
      <c r="A247" t="s">
        <v>272</v>
      </c>
      <c r="B247" t="s">
        <v>23</v>
      </c>
      <c r="C247" s="1">
        <v>44781</v>
      </c>
      <c r="D247" s="1">
        <v>44799</v>
      </c>
      <c r="E247" t="s">
        <v>24</v>
      </c>
      <c r="F247" t="s">
        <v>35</v>
      </c>
      <c r="G247">
        <v>759</v>
      </c>
      <c r="H247">
        <v>50.56</v>
      </c>
      <c r="I247">
        <v>46.47</v>
      </c>
      <c r="J247">
        <v>63</v>
      </c>
      <c r="K247" t="s">
        <v>27</v>
      </c>
    </row>
    <row r="248" spans="1:11" x14ac:dyDescent="0.3">
      <c r="A248" t="s">
        <v>273</v>
      </c>
      <c r="B248" t="s">
        <v>12</v>
      </c>
      <c r="C248" s="1">
        <v>45114</v>
      </c>
      <c r="D248" s="1">
        <v>45126</v>
      </c>
      <c r="E248" t="s">
        <v>24</v>
      </c>
      <c r="F248" t="s">
        <v>18</v>
      </c>
      <c r="G248">
        <v>1529</v>
      </c>
      <c r="H248">
        <v>23.42</v>
      </c>
      <c r="I248">
        <v>22.44</v>
      </c>
      <c r="J248">
        <v>30</v>
      </c>
      <c r="K248" t="s">
        <v>15</v>
      </c>
    </row>
    <row r="249" spans="1:11" x14ac:dyDescent="0.3">
      <c r="A249" t="s">
        <v>274</v>
      </c>
      <c r="B249" t="s">
        <v>20</v>
      </c>
      <c r="C249" s="1">
        <v>44697</v>
      </c>
      <c r="D249" s="1">
        <v>44706</v>
      </c>
      <c r="E249" t="s">
        <v>39</v>
      </c>
      <c r="F249" t="s">
        <v>18</v>
      </c>
      <c r="G249">
        <v>1484</v>
      </c>
      <c r="H249">
        <v>36.25</v>
      </c>
      <c r="I249">
        <v>31.8</v>
      </c>
      <c r="J249">
        <v>61</v>
      </c>
      <c r="K249" t="s">
        <v>15</v>
      </c>
    </row>
    <row r="250" spans="1:11" x14ac:dyDescent="0.3">
      <c r="A250" t="s">
        <v>275</v>
      </c>
      <c r="B250" t="s">
        <v>29</v>
      </c>
      <c r="C250" s="1">
        <v>45146</v>
      </c>
      <c r="D250" s="1">
        <v>45158</v>
      </c>
      <c r="E250" t="s">
        <v>24</v>
      </c>
      <c r="F250" t="s">
        <v>18</v>
      </c>
      <c r="G250">
        <v>698</v>
      </c>
      <c r="H250">
        <v>46.73</v>
      </c>
      <c r="I250">
        <v>45.61</v>
      </c>
      <c r="J250">
        <v>15</v>
      </c>
      <c r="K250" t="s">
        <v>15</v>
      </c>
    </row>
    <row r="251" spans="1:11" x14ac:dyDescent="0.3">
      <c r="A251" t="s">
        <v>276</v>
      </c>
      <c r="B251" t="s">
        <v>29</v>
      </c>
      <c r="C251" s="1">
        <v>45152</v>
      </c>
      <c r="D251" s="1">
        <v>45160</v>
      </c>
      <c r="E251" t="s">
        <v>24</v>
      </c>
      <c r="F251" t="s">
        <v>35</v>
      </c>
      <c r="G251">
        <v>367</v>
      </c>
      <c r="H251">
        <v>74.61</v>
      </c>
      <c r="I251">
        <v>71.36</v>
      </c>
      <c r="J251">
        <v>13</v>
      </c>
      <c r="K251" t="s">
        <v>15</v>
      </c>
    </row>
    <row r="252" spans="1:11" x14ac:dyDescent="0.3">
      <c r="A252" t="s">
        <v>277</v>
      </c>
      <c r="B252" t="s">
        <v>29</v>
      </c>
      <c r="C252" s="1">
        <v>45046</v>
      </c>
      <c r="D252" s="1">
        <v>45066</v>
      </c>
      <c r="E252" t="s">
        <v>13</v>
      </c>
      <c r="F252" t="s">
        <v>33</v>
      </c>
      <c r="G252">
        <v>1750</v>
      </c>
      <c r="H252">
        <v>65.97</v>
      </c>
      <c r="I252">
        <v>58.34</v>
      </c>
      <c r="J252">
        <v>50</v>
      </c>
      <c r="K252" t="s">
        <v>15</v>
      </c>
    </row>
    <row r="253" spans="1:11" x14ac:dyDescent="0.3">
      <c r="A253" t="s">
        <v>278</v>
      </c>
      <c r="B253" t="s">
        <v>17</v>
      </c>
      <c r="C253" s="1">
        <v>44810</v>
      </c>
      <c r="D253" s="1">
        <v>44828</v>
      </c>
      <c r="E253" t="s">
        <v>13</v>
      </c>
      <c r="F253" t="s">
        <v>33</v>
      </c>
      <c r="G253">
        <v>1298</v>
      </c>
      <c r="H253">
        <v>43.73</v>
      </c>
      <c r="I253">
        <v>37.21</v>
      </c>
      <c r="K253" t="s">
        <v>27</v>
      </c>
    </row>
    <row r="254" spans="1:11" x14ac:dyDescent="0.3">
      <c r="A254" t="s">
        <v>279</v>
      </c>
      <c r="B254" t="s">
        <v>20</v>
      </c>
      <c r="C254" s="1">
        <v>45046</v>
      </c>
      <c r="D254" s="1">
        <v>45066</v>
      </c>
      <c r="E254" t="s">
        <v>24</v>
      </c>
      <c r="F254" t="s">
        <v>18</v>
      </c>
      <c r="G254">
        <v>1892</v>
      </c>
      <c r="H254">
        <v>106.2</v>
      </c>
      <c r="I254">
        <v>96.37</v>
      </c>
      <c r="J254">
        <v>93</v>
      </c>
      <c r="K254" t="s">
        <v>15</v>
      </c>
    </row>
    <row r="255" spans="1:11" x14ac:dyDescent="0.3">
      <c r="A255" t="s">
        <v>280</v>
      </c>
      <c r="B255" t="s">
        <v>23</v>
      </c>
      <c r="C255" s="1">
        <v>44978</v>
      </c>
      <c r="D255" s="1">
        <v>44981</v>
      </c>
      <c r="E255" t="s">
        <v>39</v>
      </c>
      <c r="F255" t="s">
        <v>18</v>
      </c>
      <c r="G255">
        <v>1307</v>
      </c>
      <c r="H255">
        <v>68.709999999999994</v>
      </c>
      <c r="I255">
        <v>60.64</v>
      </c>
      <c r="J255">
        <v>141</v>
      </c>
      <c r="K255" t="s">
        <v>15</v>
      </c>
    </row>
    <row r="256" spans="1:11" x14ac:dyDescent="0.3">
      <c r="A256" t="s">
        <v>281</v>
      </c>
      <c r="B256" t="s">
        <v>23</v>
      </c>
      <c r="C256" s="1">
        <v>44756</v>
      </c>
      <c r="D256" s="1">
        <v>44771</v>
      </c>
      <c r="E256" t="s">
        <v>39</v>
      </c>
      <c r="F256" t="s">
        <v>18</v>
      </c>
      <c r="G256">
        <v>733</v>
      </c>
      <c r="H256">
        <v>32.29</v>
      </c>
      <c r="I256">
        <v>29.01</v>
      </c>
      <c r="J256">
        <v>78</v>
      </c>
      <c r="K256" t="s">
        <v>15</v>
      </c>
    </row>
    <row r="257" spans="1:11" x14ac:dyDescent="0.3">
      <c r="A257" t="s">
        <v>282</v>
      </c>
      <c r="B257" t="s">
        <v>20</v>
      </c>
      <c r="C257" s="1">
        <v>44658</v>
      </c>
      <c r="E257" t="s">
        <v>24</v>
      </c>
      <c r="F257" t="s">
        <v>18</v>
      </c>
      <c r="G257">
        <v>713</v>
      </c>
      <c r="H257">
        <v>19.45</v>
      </c>
      <c r="I257">
        <v>18.82</v>
      </c>
      <c r="J257">
        <v>31</v>
      </c>
      <c r="K257" t="s">
        <v>15</v>
      </c>
    </row>
    <row r="258" spans="1:11" x14ac:dyDescent="0.3">
      <c r="A258" t="s">
        <v>283</v>
      </c>
      <c r="B258" t="s">
        <v>23</v>
      </c>
      <c r="C258" s="1">
        <v>44661</v>
      </c>
      <c r="D258" s="1">
        <v>44675</v>
      </c>
      <c r="E258" t="s">
        <v>24</v>
      </c>
      <c r="F258" t="s">
        <v>18</v>
      </c>
      <c r="G258">
        <v>1900</v>
      </c>
      <c r="H258">
        <v>24.11</v>
      </c>
      <c r="I258">
        <v>23.45</v>
      </c>
      <c r="J258">
        <v>188</v>
      </c>
      <c r="K258" t="s">
        <v>15</v>
      </c>
    </row>
    <row r="259" spans="1:11" x14ac:dyDescent="0.3">
      <c r="A259" t="s">
        <v>284</v>
      </c>
      <c r="B259" t="s">
        <v>17</v>
      </c>
      <c r="C259" s="1">
        <v>45236</v>
      </c>
      <c r="D259" s="1">
        <v>45238</v>
      </c>
      <c r="E259" t="s">
        <v>21</v>
      </c>
      <c r="F259" t="s">
        <v>14</v>
      </c>
      <c r="G259">
        <v>1447</v>
      </c>
      <c r="H259">
        <v>35.67</v>
      </c>
      <c r="I259">
        <v>35.07</v>
      </c>
      <c r="J259">
        <v>224</v>
      </c>
      <c r="K259" t="s">
        <v>27</v>
      </c>
    </row>
    <row r="260" spans="1:11" x14ac:dyDescent="0.3">
      <c r="A260" t="s">
        <v>285</v>
      </c>
      <c r="B260" t="s">
        <v>29</v>
      </c>
      <c r="C260" s="1">
        <v>45003</v>
      </c>
      <c r="E260" t="s">
        <v>13</v>
      </c>
      <c r="F260" t="s">
        <v>18</v>
      </c>
      <c r="G260">
        <v>1745</v>
      </c>
      <c r="H260">
        <v>26.17</v>
      </c>
      <c r="I260">
        <v>22.25</v>
      </c>
      <c r="J260">
        <v>55</v>
      </c>
      <c r="K260" t="s">
        <v>15</v>
      </c>
    </row>
    <row r="261" spans="1:11" x14ac:dyDescent="0.3">
      <c r="A261" t="s">
        <v>286</v>
      </c>
      <c r="B261" t="s">
        <v>23</v>
      </c>
      <c r="C261" s="1">
        <v>44924</v>
      </c>
      <c r="D261" s="1">
        <v>44940</v>
      </c>
      <c r="E261" t="s">
        <v>13</v>
      </c>
      <c r="F261" t="s">
        <v>18</v>
      </c>
      <c r="G261">
        <v>1681</v>
      </c>
      <c r="H261">
        <v>28.26</v>
      </c>
      <c r="I261">
        <v>26.62</v>
      </c>
      <c r="J261">
        <v>143</v>
      </c>
      <c r="K261" t="s">
        <v>15</v>
      </c>
    </row>
    <row r="262" spans="1:11" x14ac:dyDescent="0.3">
      <c r="A262" t="s">
        <v>287</v>
      </c>
      <c r="B262" t="s">
        <v>17</v>
      </c>
      <c r="C262" s="1">
        <v>44995</v>
      </c>
      <c r="D262" s="1">
        <v>45003</v>
      </c>
      <c r="E262" t="s">
        <v>39</v>
      </c>
      <c r="F262" t="s">
        <v>18</v>
      </c>
      <c r="G262">
        <v>1545</v>
      </c>
      <c r="H262">
        <v>38.15</v>
      </c>
      <c r="I262">
        <v>36.96</v>
      </c>
      <c r="J262">
        <v>214</v>
      </c>
      <c r="K262" t="s">
        <v>15</v>
      </c>
    </row>
    <row r="263" spans="1:11" x14ac:dyDescent="0.3">
      <c r="A263" t="s">
        <v>288</v>
      </c>
      <c r="B263" t="s">
        <v>29</v>
      </c>
      <c r="C263" s="1">
        <v>44982</v>
      </c>
      <c r="D263" s="1">
        <v>44987</v>
      </c>
      <c r="E263" t="s">
        <v>26</v>
      </c>
      <c r="F263" t="s">
        <v>18</v>
      </c>
      <c r="G263">
        <v>1306</v>
      </c>
      <c r="H263">
        <v>27.27</v>
      </c>
      <c r="I263">
        <v>25.96</v>
      </c>
      <c r="J263">
        <v>39</v>
      </c>
      <c r="K263" t="s">
        <v>15</v>
      </c>
    </row>
    <row r="264" spans="1:11" x14ac:dyDescent="0.3">
      <c r="A264" t="s">
        <v>289</v>
      </c>
      <c r="B264" t="s">
        <v>20</v>
      </c>
      <c r="C264" s="1">
        <v>45040</v>
      </c>
      <c r="D264" s="1">
        <v>45052</v>
      </c>
      <c r="E264" t="s">
        <v>26</v>
      </c>
      <c r="F264" t="s">
        <v>18</v>
      </c>
      <c r="G264">
        <v>1765</v>
      </c>
      <c r="H264">
        <v>97.51</v>
      </c>
      <c r="I264">
        <v>84.3</v>
      </c>
      <c r="J264">
        <v>65</v>
      </c>
      <c r="K264" t="s">
        <v>15</v>
      </c>
    </row>
    <row r="265" spans="1:11" x14ac:dyDescent="0.3">
      <c r="A265" t="s">
        <v>290</v>
      </c>
      <c r="B265" t="s">
        <v>20</v>
      </c>
      <c r="C265" s="1">
        <v>44617</v>
      </c>
      <c r="D265" s="1">
        <v>44635</v>
      </c>
      <c r="E265" t="s">
        <v>24</v>
      </c>
      <c r="F265" t="s">
        <v>14</v>
      </c>
      <c r="G265">
        <v>1186</v>
      </c>
      <c r="H265">
        <v>17.309999999999999</v>
      </c>
      <c r="I265">
        <v>16</v>
      </c>
      <c r="J265">
        <v>64</v>
      </c>
      <c r="K265" t="s">
        <v>15</v>
      </c>
    </row>
    <row r="266" spans="1:11" x14ac:dyDescent="0.3">
      <c r="A266" t="s">
        <v>291</v>
      </c>
      <c r="B266" t="s">
        <v>17</v>
      </c>
      <c r="C266" s="1">
        <v>45251</v>
      </c>
      <c r="D266" s="1">
        <v>45256</v>
      </c>
      <c r="E266" t="s">
        <v>24</v>
      </c>
      <c r="F266" t="s">
        <v>18</v>
      </c>
      <c r="G266">
        <v>1903</v>
      </c>
      <c r="H266">
        <v>63.5</v>
      </c>
      <c r="I266">
        <v>56.09</v>
      </c>
      <c r="J266">
        <v>254</v>
      </c>
      <c r="K266" t="s">
        <v>15</v>
      </c>
    </row>
    <row r="267" spans="1:11" x14ac:dyDescent="0.3">
      <c r="A267" t="s">
        <v>292</v>
      </c>
      <c r="B267" t="s">
        <v>17</v>
      </c>
      <c r="C267" s="1">
        <v>45231</v>
      </c>
      <c r="D267" s="1">
        <v>45235</v>
      </c>
      <c r="E267" t="s">
        <v>21</v>
      </c>
      <c r="F267" t="s">
        <v>18</v>
      </c>
      <c r="G267">
        <v>1570</v>
      </c>
      <c r="H267">
        <v>52.1</v>
      </c>
      <c r="I267">
        <v>47.87</v>
      </c>
      <c r="K267" t="s">
        <v>27</v>
      </c>
    </row>
    <row r="268" spans="1:11" x14ac:dyDescent="0.3">
      <c r="A268" t="s">
        <v>293</v>
      </c>
      <c r="B268" t="s">
        <v>17</v>
      </c>
      <c r="C268" s="1">
        <v>45223</v>
      </c>
      <c r="D268" s="1">
        <v>45243</v>
      </c>
      <c r="E268" t="s">
        <v>21</v>
      </c>
      <c r="F268" t="s">
        <v>18</v>
      </c>
      <c r="G268">
        <v>491</v>
      </c>
      <c r="H268">
        <v>108.75</v>
      </c>
      <c r="I268">
        <v>93.35</v>
      </c>
      <c r="K268" t="s">
        <v>27</v>
      </c>
    </row>
    <row r="269" spans="1:11" x14ac:dyDescent="0.3">
      <c r="A269" t="s">
        <v>294</v>
      </c>
      <c r="B269" t="s">
        <v>23</v>
      </c>
      <c r="C269" s="1">
        <v>44662</v>
      </c>
      <c r="D269" s="1">
        <v>44671</v>
      </c>
      <c r="E269" t="s">
        <v>39</v>
      </c>
      <c r="F269" t="s">
        <v>33</v>
      </c>
      <c r="G269">
        <v>613</v>
      </c>
      <c r="H269">
        <v>20.38</v>
      </c>
      <c r="I269">
        <v>20.170000000000002</v>
      </c>
      <c r="J269">
        <v>58</v>
      </c>
      <c r="K269" t="s">
        <v>15</v>
      </c>
    </row>
    <row r="270" spans="1:11" x14ac:dyDescent="0.3">
      <c r="A270" t="s">
        <v>295</v>
      </c>
      <c r="B270" t="s">
        <v>20</v>
      </c>
      <c r="C270" s="1">
        <v>44624</v>
      </c>
      <c r="D270" s="1">
        <v>44636</v>
      </c>
      <c r="E270" t="s">
        <v>26</v>
      </c>
      <c r="F270" t="s">
        <v>33</v>
      </c>
      <c r="G270">
        <v>1341</v>
      </c>
      <c r="H270">
        <v>46.27</v>
      </c>
      <c r="I270">
        <v>43.94</v>
      </c>
      <c r="J270">
        <v>63</v>
      </c>
      <c r="K270" t="s">
        <v>15</v>
      </c>
    </row>
    <row r="271" spans="1:11" x14ac:dyDescent="0.3">
      <c r="A271" t="s">
        <v>296</v>
      </c>
      <c r="B271" t="s">
        <v>23</v>
      </c>
      <c r="C271" s="1">
        <v>44974</v>
      </c>
      <c r="D271" s="1">
        <v>44989</v>
      </c>
      <c r="E271" t="s">
        <v>21</v>
      </c>
      <c r="F271" t="s">
        <v>33</v>
      </c>
      <c r="G271">
        <v>1583</v>
      </c>
      <c r="H271">
        <v>103.57</v>
      </c>
      <c r="I271">
        <v>89.38</v>
      </c>
      <c r="J271">
        <v>164</v>
      </c>
      <c r="K271" t="s">
        <v>15</v>
      </c>
    </row>
    <row r="272" spans="1:11" x14ac:dyDescent="0.3">
      <c r="A272" t="s">
        <v>297</v>
      </c>
      <c r="B272" t="s">
        <v>23</v>
      </c>
      <c r="C272" s="1">
        <v>44909</v>
      </c>
      <c r="E272" t="s">
        <v>26</v>
      </c>
      <c r="F272" t="s">
        <v>14</v>
      </c>
      <c r="G272">
        <v>1880</v>
      </c>
      <c r="H272">
        <v>92.73</v>
      </c>
      <c r="I272">
        <v>90.78</v>
      </c>
      <c r="J272">
        <v>173</v>
      </c>
      <c r="K272" t="s">
        <v>15</v>
      </c>
    </row>
    <row r="273" spans="1:11" x14ac:dyDescent="0.3">
      <c r="A273" t="s">
        <v>298</v>
      </c>
      <c r="B273" t="s">
        <v>29</v>
      </c>
      <c r="C273" s="1">
        <v>44673</v>
      </c>
      <c r="D273" s="1">
        <v>44677</v>
      </c>
      <c r="E273" t="s">
        <v>21</v>
      </c>
      <c r="F273" t="s">
        <v>18</v>
      </c>
      <c r="G273">
        <v>1459</v>
      </c>
      <c r="H273">
        <v>84.79</v>
      </c>
      <c r="I273">
        <v>82.72</v>
      </c>
      <c r="J273">
        <v>47</v>
      </c>
      <c r="K273" t="s">
        <v>15</v>
      </c>
    </row>
    <row r="274" spans="1:11" x14ac:dyDescent="0.3">
      <c r="A274" t="s">
        <v>299</v>
      </c>
      <c r="B274" t="s">
        <v>17</v>
      </c>
      <c r="C274" s="1">
        <v>44816</v>
      </c>
      <c r="E274" t="s">
        <v>13</v>
      </c>
      <c r="F274" t="s">
        <v>18</v>
      </c>
      <c r="G274">
        <v>1460</v>
      </c>
      <c r="H274">
        <v>34.54</v>
      </c>
      <c r="I274">
        <v>31.87</v>
      </c>
      <c r="J274">
        <v>208</v>
      </c>
      <c r="K274" t="s">
        <v>27</v>
      </c>
    </row>
    <row r="275" spans="1:11" x14ac:dyDescent="0.3">
      <c r="A275" t="s">
        <v>300</v>
      </c>
      <c r="B275" t="s">
        <v>23</v>
      </c>
      <c r="C275" s="1">
        <v>44758</v>
      </c>
      <c r="D275" s="1">
        <v>44770</v>
      </c>
      <c r="E275" t="s">
        <v>24</v>
      </c>
      <c r="F275" t="s">
        <v>33</v>
      </c>
      <c r="G275">
        <v>1186</v>
      </c>
      <c r="H275">
        <v>26.14</v>
      </c>
      <c r="I275">
        <v>24.78</v>
      </c>
      <c r="J275">
        <v>112</v>
      </c>
      <c r="K275" t="s">
        <v>15</v>
      </c>
    </row>
    <row r="276" spans="1:11" x14ac:dyDescent="0.3">
      <c r="A276" t="s">
        <v>301</v>
      </c>
      <c r="B276" t="s">
        <v>29</v>
      </c>
      <c r="C276" s="1">
        <v>44756</v>
      </c>
      <c r="D276" s="1">
        <v>44765</v>
      </c>
      <c r="E276" t="s">
        <v>21</v>
      </c>
      <c r="F276" t="s">
        <v>35</v>
      </c>
      <c r="G276">
        <v>1686</v>
      </c>
      <c r="H276">
        <v>72.28</v>
      </c>
      <c r="I276">
        <v>65.209999999999994</v>
      </c>
      <c r="J276">
        <v>53</v>
      </c>
      <c r="K276" t="s">
        <v>15</v>
      </c>
    </row>
    <row r="277" spans="1:11" x14ac:dyDescent="0.3">
      <c r="A277" t="s">
        <v>302</v>
      </c>
      <c r="B277" t="s">
        <v>12</v>
      </c>
      <c r="C277" s="1">
        <v>45111</v>
      </c>
      <c r="D277" s="1">
        <v>45115</v>
      </c>
      <c r="E277" t="s">
        <v>21</v>
      </c>
      <c r="F277" t="s">
        <v>18</v>
      </c>
      <c r="G277">
        <v>1698</v>
      </c>
      <c r="H277">
        <v>102.07</v>
      </c>
      <c r="I277">
        <v>100.69</v>
      </c>
      <c r="J277">
        <v>28</v>
      </c>
      <c r="K277" t="s">
        <v>15</v>
      </c>
    </row>
    <row r="278" spans="1:11" x14ac:dyDescent="0.3">
      <c r="A278" t="s">
        <v>303</v>
      </c>
      <c r="B278" t="s">
        <v>29</v>
      </c>
      <c r="C278" s="1">
        <v>45021</v>
      </c>
      <c r="E278" t="s">
        <v>39</v>
      </c>
      <c r="F278" t="s">
        <v>18</v>
      </c>
      <c r="G278">
        <v>1001</v>
      </c>
      <c r="H278">
        <v>64.62</v>
      </c>
      <c r="I278">
        <v>55.7</v>
      </c>
      <c r="J278">
        <v>32</v>
      </c>
      <c r="K278" t="s">
        <v>15</v>
      </c>
    </row>
    <row r="279" spans="1:11" x14ac:dyDescent="0.3">
      <c r="A279" t="s">
        <v>304</v>
      </c>
      <c r="B279" t="s">
        <v>12</v>
      </c>
      <c r="C279" s="1">
        <v>44705</v>
      </c>
      <c r="D279" s="1">
        <v>44708</v>
      </c>
      <c r="E279" t="s">
        <v>13</v>
      </c>
      <c r="F279" t="s">
        <v>18</v>
      </c>
      <c r="G279">
        <v>1154</v>
      </c>
      <c r="H279">
        <v>62.67</v>
      </c>
      <c r="I279">
        <v>54.11</v>
      </c>
      <c r="J279">
        <v>25</v>
      </c>
      <c r="K279" t="s">
        <v>15</v>
      </c>
    </row>
    <row r="280" spans="1:11" x14ac:dyDescent="0.3">
      <c r="A280" t="s">
        <v>305</v>
      </c>
      <c r="B280" t="s">
        <v>12</v>
      </c>
      <c r="C280" s="1">
        <v>44994</v>
      </c>
      <c r="D280" s="1">
        <v>45014</v>
      </c>
      <c r="E280" t="s">
        <v>24</v>
      </c>
      <c r="F280" t="s">
        <v>14</v>
      </c>
      <c r="G280">
        <v>748</v>
      </c>
      <c r="H280">
        <v>37.659999999999997</v>
      </c>
      <c r="I280">
        <v>32.71</v>
      </c>
      <c r="K280" t="s">
        <v>27</v>
      </c>
    </row>
    <row r="281" spans="1:11" x14ac:dyDescent="0.3">
      <c r="A281" t="s">
        <v>306</v>
      </c>
      <c r="B281" t="s">
        <v>12</v>
      </c>
      <c r="C281" s="1">
        <v>44749</v>
      </c>
      <c r="E281" t="s">
        <v>13</v>
      </c>
      <c r="F281" t="s">
        <v>18</v>
      </c>
      <c r="G281">
        <v>162</v>
      </c>
      <c r="H281">
        <v>81.63</v>
      </c>
      <c r="I281">
        <v>78.760000000000005</v>
      </c>
      <c r="J281">
        <v>2</v>
      </c>
      <c r="K281" t="s">
        <v>15</v>
      </c>
    </row>
    <row r="282" spans="1:11" x14ac:dyDescent="0.3">
      <c r="A282" t="s">
        <v>307</v>
      </c>
      <c r="B282" t="s">
        <v>12</v>
      </c>
      <c r="C282" s="1">
        <v>44847</v>
      </c>
      <c r="D282" s="1">
        <v>44858</v>
      </c>
      <c r="E282" t="s">
        <v>24</v>
      </c>
      <c r="F282" t="s">
        <v>18</v>
      </c>
      <c r="G282">
        <v>51</v>
      </c>
      <c r="H282">
        <v>28.04</v>
      </c>
      <c r="I282">
        <v>24.13</v>
      </c>
      <c r="J282">
        <v>0</v>
      </c>
      <c r="K282" t="s">
        <v>15</v>
      </c>
    </row>
    <row r="283" spans="1:11" x14ac:dyDescent="0.3">
      <c r="A283" t="s">
        <v>308</v>
      </c>
      <c r="B283" t="s">
        <v>17</v>
      </c>
      <c r="C283" s="1">
        <v>45035</v>
      </c>
      <c r="D283" s="1">
        <v>45040</v>
      </c>
      <c r="E283" t="s">
        <v>13</v>
      </c>
      <c r="F283" t="s">
        <v>18</v>
      </c>
      <c r="G283">
        <v>691</v>
      </c>
      <c r="H283">
        <v>42.07</v>
      </c>
      <c r="I283">
        <v>39.1</v>
      </c>
      <c r="J283">
        <v>106</v>
      </c>
      <c r="K283" t="s">
        <v>15</v>
      </c>
    </row>
    <row r="284" spans="1:11" x14ac:dyDescent="0.3">
      <c r="A284" t="s">
        <v>309</v>
      </c>
      <c r="B284" t="s">
        <v>23</v>
      </c>
      <c r="C284" s="1">
        <v>44817</v>
      </c>
      <c r="D284" s="1">
        <v>44824</v>
      </c>
      <c r="E284" t="s">
        <v>13</v>
      </c>
      <c r="F284" t="s">
        <v>18</v>
      </c>
      <c r="G284">
        <v>269</v>
      </c>
      <c r="H284">
        <v>50.22</v>
      </c>
      <c r="I284">
        <v>45.75</v>
      </c>
      <c r="J284">
        <v>32</v>
      </c>
      <c r="K284" t="s">
        <v>27</v>
      </c>
    </row>
    <row r="285" spans="1:11" x14ac:dyDescent="0.3">
      <c r="A285" t="s">
        <v>310</v>
      </c>
      <c r="B285" t="s">
        <v>23</v>
      </c>
      <c r="C285" s="1">
        <v>44639</v>
      </c>
      <c r="D285" s="1">
        <v>44657</v>
      </c>
      <c r="E285" t="s">
        <v>39</v>
      </c>
      <c r="F285" t="s">
        <v>35</v>
      </c>
      <c r="G285">
        <v>1639</v>
      </c>
      <c r="H285">
        <v>56.24</v>
      </c>
      <c r="I285">
        <v>55.4</v>
      </c>
      <c r="J285">
        <v>147</v>
      </c>
      <c r="K285" t="s">
        <v>15</v>
      </c>
    </row>
    <row r="286" spans="1:11" x14ac:dyDescent="0.3">
      <c r="A286" t="s">
        <v>311</v>
      </c>
      <c r="B286" t="s">
        <v>12</v>
      </c>
      <c r="C286" s="1">
        <v>45015</v>
      </c>
      <c r="D286" s="1">
        <v>45022</v>
      </c>
      <c r="E286" t="s">
        <v>26</v>
      </c>
      <c r="F286" t="s">
        <v>18</v>
      </c>
      <c r="G286">
        <v>904</v>
      </c>
      <c r="H286">
        <v>34.04</v>
      </c>
      <c r="I286">
        <v>30.06</v>
      </c>
      <c r="J286">
        <v>26</v>
      </c>
      <c r="K286" t="s">
        <v>15</v>
      </c>
    </row>
    <row r="287" spans="1:11" x14ac:dyDescent="0.3">
      <c r="A287" t="s">
        <v>312</v>
      </c>
      <c r="B287" t="s">
        <v>23</v>
      </c>
      <c r="C287" s="1">
        <v>45125</v>
      </c>
      <c r="D287" s="1">
        <v>45133</v>
      </c>
      <c r="E287" t="s">
        <v>13</v>
      </c>
      <c r="F287" t="s">
        <v>18</v>
      </c>
      <c r="G287">
        <v>1809</v>
      </c>
      <c r="H287">
        <v>22.17</v>
      </c>
      <c r="I287">
        <v>19.649999999999999</v>
      </c>
      <c r="K287" t="s">
        <v>15</v>
      </c>
    </row>
    <row r="288" spans="1:11" x14ac:dyDescent="0.3">
      <c r="A288" t="s">
        <v>313</v>
      </c>
      <c r="B288" t="s">
        <v>12</v>
      </c>
      <c r="C288" s="1">
        <v>44662</v>
      </c>
      <c r="D288" s="1">
        <v>44667</v>
      </c>
      <c r="E288" t="s">
        <v>24</v>
      </c>
      <c r="F288" t="s">
        <v>18</v>
      </c>
      <c r="G288">
        <v>1298</v>
      </c>
      <c r="H288">
        <v>65.930000000000007</v>
      </c>
      <c r="I288">
        <v>58.95</v>
      </c>
      <c r="K288" t="s">
        <v>15</v>
      </c>
    </row>
    <row r="289" spans="1:11" x14ac:dyDescent="0.3">
      <c r="A289" t="s">
        <v>314</v>
      </c>
      <c r="B289" t="s">
        <v>23</v>
      </c>
      <c r="C289" s="1">
        <v>44613</v>
      </c>
      <c r="D289" s="1">
        <v>44633</v>
      </c>
      <c r="E289" t="s">
        <v>24</v>
      </c>
      <c r="F289" t="s">
        <v>18</v>
      </c>
      <c r="G289">
        <v>434</v>
      </c>
      <c r="H289">
        <v>36.159999999999997</v>
      </c>
      <c r="I289">
        <v>34.79</v>
      </c>
      <c r="J289">
        <v>41</v>
      </c>
      <c r="K289" t="s">
        <v>15</v>
      </c>
    </row>
    <row r="290" spans="1:11" x14ac:dyDescent="0.3">
      <c r="A290" t="s">
        <v>315</v>
      </c>
      <c r="B290" t="s">
        <v>29</v>
      </c>
      <c r="C290" s="1">
        <v>45229</v>
      </c>
      <c r="D290" s="1">
        <v>45234</v>
      </c>
      <c r="E290" t="s">
        <v>39</v>
      </c>
      <c r="F290" t="s">
        <v>18</v>
      </c>
      <c r="G290">
        <v>1476</v>
      </c>
      <c r="H290">
        <v>68.849999999999994</v>
      </c>
      <c r="I290">
        <v>65.28</v>
      </c>
      <c r="J290">
        <v>43</v>
      </c>
      <c r="K290" t="s">
        <v>15</v>
      </c>
    </row>
    <row r="291" spans="1:11" x14ac:dyDescent="0.3">
      <c r="A291" t="s">
        <v>316</v>
      </c>
      <c r="B291" t="s">
        <v>17</v>
      </c>
      <c r="C291" s="1">
        <v>45115</v>
      </c>
      <c r="E291" t="s">
        <v>26</v>
      </c>
      <c r="F291" t="s">
        <v>33</v>
      </c>
      <c r="G291">
        <v>1711</v>
      </c>
      <c r="H291">
        <v>26.04</v>
      </c>
      <c r="I291">
        <v>24.81</v>
      </c>
      <c r="J291">
        <v>290</v>
      </c>
      <c r="K291" t="s">
        <v>15</v>
      </c>
    </row>
    <row r="292" spans="1:11" x14ac:dyDescent="0.3">
      <c r="A292" t="s">
        <v>317</v>
      </c>
      <c r="B292" t="s">
        <v>20</v>
      </c>
      <c r="C292" s="1">
        <v>44577</v>
      </c>
      <c r="D292" s="1">
        <v>44583</v>
      </c>
      <c r="E292" t="s">
        <v>24</v>
      </c>
      <c r="F292" t="s">
        <v>18</v>
      </c>
      <c r="G292">
        <v>1203</v>
      </c>
      <c r="H292">
        <v>53.3</v>
      </c>
      <c r="I292">
        <v>47.68</v>
      </c>
      <c r="J292">
        <v>49</v>
      </c>
      <c r="K292" t="s">
        <v>15</v>
      </c>
    </row>
    <row r="293" spans="1:11" x14ac:dyDescent="0.3">
      <c r="A293" t="s">
        <v>318</v>
      </c>
      <c r="B293" t="s">
        <v>12</v>
      </c>
      <c r="C293" s="1">
        <v>44657</v>
      </c>
      <c r="D293" s="1">
        <v>44658</v>
      </c>
      <c r="E293" t="s">
        <v>39</v>
      </c>
      <c r="F293" t="s">
        <v>18</v>
      </c>
      <c r="G293">
        <v>1126</v>
      </c>
      <c r="H293">
        <v>58.8</v>
      </c>
      <c r="I293">
        <v>52.22</v>
      </c>
      <c r="K293" t="s">
        <v>15</v>
      </c>
    </row>
    <row r="294" spans="1:11" x14ac:dyDescent="0.3">
      <c r="A294" t="s">
        <v>319</v>
      </c>
      <c r="B294" t="s">
        <v>29</v>
      </c>
      <c r="C294" s="1">
        <v>44804</v>
      </c>
      <c r="D294" s="1">
        <v>44816</v>
      </c>
      <c r="E294" t="s">
        <v>24</v>
      </c>
      <c r="F294" t="s">
        <v>18</v>
      </c>
      <c r="G294">
        <v>1757</v>
      </c>
      <c r="H294">
        <v>15.18</v>
      </c>
      <c r="I294">
        <v>13.06</v>
      </c>
      <c r="J294">
        <v>63</v>
      </c>
      <c r="K294" t="s">
        <v>15</v>
      </c>
    </row>
    <row r="295" spans="1:11" x14ac:dyDescent="0.3">
      <c r="A295" t="s">
        <v>320</v>
      </c>
      <c r="B295" t="s">
        <v>29</v>
      </c>
      <c r="C295" s="1">
        <v>44732</v>
      </c>
      <c r="D295" s="1">
        <v>44740</v>
      </c>
      <c r="E295" t="s">
        <v>21</v>
      </c>
      <c r="F295" t="s">
        <v>18</v>
      </c>
      <c r="G295">
        <v>779</v>
      </c>
      <c r="H295">
        <v>41.3</v>
      </c>
      <c r="I295">
        <v>36.28</v>
      </c>
      <c r="J295">
        <v>20</v>
      </c>
      <c r="K295" t="s">
        <v>15</v>
      </c>
    </row>
    <row r="296" spans="1:11" x14ac:dyDescent="0.3">
      <c r="A296" t="s">
        <v>321</v>
      </c>
      <c r="B296" t="s">
        <v>17</v>
      </c>
      <c r="C296" s="1">
        <v>44978</v>
      </c>
      <c r="D296" s="1">
        <v>44979</v>
      </c>
      <c r="E296" t="s">
        <v>13</v>
      </c>
      <c r="F296" t="s">
        <v>18</v>
      </c>
      <c r="G296">
        <v>1745</v>
      </c>
      <c r="H296">
        <v>23.53</v>
      </c>
      <c r="I296">
        <v>22.57</v>
      </c>
      <c r="J296">
        <v>282</v>
      </c>
      <c r="K296" t="s">
        <v>27</v>
      </c>
    </row>
    <row r="297" spans="1:11" x14ac:dyDescent="0.3">
      <c r="A297" t="s">
        <v>322</v>
      </c>
      <c r="B297" t="s">
        <v>17</v>
      </c>
      <c r="C297" s="1">
        <v>45059</v>
      </c>
      <c r="D297" s="1">
        <v>45061</v>
      </c>
      <c r="E297" t="s">
        <v>26</v>
      </c>
      <c r="F297" t="s">
        <v>18</v>
      </c>
      <c r="G297">
        <v>1783</v>
      </c>
      <c r="H297">
        <v>16.96</v>
      </c>
      <c r="I297">
        <v>15.8</v>
      </c>
      <c r="J297">
        <v>295</v>
      </c>
      <c r="K297" t="s">
        <v>15</v>
      </c>
    </row>
    <row r="298" spans="1:11" x14ac:dyDescent="0.3">
      <c r="A298" t="s">
        <v>323</v>
      </c>
      <c r="B298" t="s">
        <v>12</v>
      </c>
      <c r="C298" s="1">
        <v>45054</v>
      </c>
      <c r="D298" s="1">
        <v>45068</v>
      </c>
      <c r="E298" t="s">
        <v>13</v>
      </c>
      <c r="F298" t="s">
        <v>33</v>
      </c>
      <c r="G298">
        <v>1489</v>
      </c>
      <c r="H298">
        <v>107.02</v>
      </c>
      <c r="I298">
        <v>93.3</v>
      </c>
      <c r="K298" t="s">
        <v>15</v>
      </c>
    </row>
    <row r="299" spans="1:11" x14ac:dyDescent="0.3">
      <c r="A299" t="s">
        <v>324</v>
      </c>
      <c r="B299" t="s">
        <v>12</v>
      </c>
      <c r="C299" s="1">
        <v>44780</v>
      </c>
      <c r="D299" s="1">
        <v>44783</v>
      </c>
      <c r="E299" t="s">
        <v>13</v>
      </c>
      <c r="F299" t="s">
        <v>18</v>
      </c>
      <c r="G299">
        <v>296</v>
      </c>
      <c r="H299">
        <v>40.380000000000003</v>
      </c>
      <c r="I299">
        <v>35.25</v>
      </c>
      <c r="K299" t="s">
        <v>15</v>
      </c>
    </row>
    <row r="300" spans="1:11" x14ac:dyDescent="0.3">
      <c r="A300" t="s">
        <v>325</v>
      </c>
      <c r="B300" t="s">
        <v>29</v>
      </c>
      <c r="C300" s="1">
        <v>44972</v>
      </c>
      <c r="D300" s="1">
        <v>44984</v>
      </c>
      <c r="E300" t="s">
        <v>21</v>
      </c>
      <c r="F300" t="s">
        <v>18</v>
      </c>
      <c r="G300">
        <v>885</v>
      </c>
      <c r="H300">
        <v>88.28</v>
      </c>
      <c r="I300">
        <v>80.8</v>
      </c>
      <c r="J300">
        <v>31</v>
      </c>
      <c r="K300" t="s">
        <v>15</v>
      </c>
    </row>
    <row r="301" spans="1:11" x14ac:dyDescent="0.3">
      <c r="A301" t="s">
        <v>326</v>
      </c>
      <c r="B301" t="s">
        <v>29</v>
      </c>
      <c r="C301" s="1">
        <v>44622</v>
      </c>
      <c r="D301" s="1">
        <v>44626</v>
      </c>
      <c r="E301" t="s">
        <v>26</v>
      </c>
      <c r="F301" t="s">
        <v>35</v>
      </c>
      <c r="G301">
        <v>1512</v>
      </c>
      <c r="H301">
        <v>33.25</v>
      </c>
      <c r="I301">
        <v>30.15</v>
      </c>
      <c r="J301">
        <v>53</v>
      </c>
      <c r="K301" t="s">
        <v>15</v>
      </c>
    </row>
    <row r="302" spans="1:11" x14ac:dyDescent="0.3">
      <c r="A302" t="s">
        <v>327</v>
      </c>
      <c r="B302" t="s">
        <v>17</v>
      </c>
      <c r="C302" s="1">
        <v>44730</v>
      </c>
      <c r="D302" s="1">
        <v>44738</v>
      </c>
      <c r="E302" t="s">
        <v>13</v>
      </c>
      <c r="F302" t="s">
        <v>18</v>
      </c>
      <c r="G302">
        <v>252</v>
      </c>
      <c r="H302">
        <v>73.12</v>
      </c>
      <c r="I302">
        <v>67.64</v>
      </c>
      <c r="K302" t="s">
        <v>27</v>
      </c>
    </row>
    <row r="303" spans="1:11" x14ac:dyDescent="0.3">
      <c r="A303" t="s">
        <v>328</v>
      </c>
      <c r="B303" t="s">
        <v>12</v>
      </c>
      <c r="C303" s="1">
        <v>44950</v>
      </c>
      <c r="E303" t="s">
        <v>39</v>
      </c>
      <c r="F303" t="s">
        <v>14</v>
      </c>
      <c r="G303">
        <v>1257</v>
      </c>
      <c r="H303">
        <v>83.13</v>
      </c>
      <c r="I303">
        <v>81.89</v>
      </c>
      <c r="J303">
        <v>30</v>
      </c>
      <c r="K303" t="s">
        <v>15</v>
      </c>
    </row>
    <row r="304" spans="1:11" x14ac:dyDescent="0.3">
      <c r="A304" t="s">
        <v>329</v>
      </c>
      <c r="B304" t="s">
        <v>12</v>
      </c>
      <c r="C304" s="1">
        <v>44564</v>
      </c>
      <c r="D304" s="1">
        <v>44581</v>
      </c>
      <c r="E304" t="s">
        <v>24</v>
      </c>
      <c r="F304" t="s">
        <v>18</v>
      </c>
      <c r="G304">
        <v>172</v>
      </c>
      <c r="H304">
        <v>63.61</v>
      </c>
      <c r="I304">
        <v>55.92</v>
      </c>
      <c r="J304">
        <v>4</v>
      </c>
      <c r="K304" t="s">
        <v>15</v>
      </c>
    </row>
    <row r="305" spans="1:11" x14ac:dyDescent="0.3">
      <c r="A305" t="s">
        <v>330</v>
      </c>
      <c r="B305" t="s">
        <v>29</v>
      </c>
      <c r="C305" s="1">
        <v>44961</v>
      </c>
      <c r="D305" s="1">
        <v>44962</v>
      </c>
      <c r="E305" t="s">
        <v>24</v>
      </c>
      <c r="F305" t="s">
        <v>35</v>
      </c>
      <c r="G305">
        <v>450</v>
      </c>
      <c r="H305">
        <v>55.85</v>
      </c>
      <c r="I305">
        <v>49.88</v>
      </c>
      <c r="J305">
        <v>9</v>
      </c>
      <c r="K305" t="s">
        <v>15</v>
      </c>
    </row>
    <row r="306" spans="1:11" x14ac:dyDescent="0.3">
      <c r="A306" t="s">
        <v>331</v>
      </c>
      <c r="B306" t="s">
        <v>20</v>
      </c>
      <c r="C306" s="1">
        <v>44833</v>
      </c>
      <c r="D306" s="1">
        <v>44849</v>
      </c>
      <c r="E306" t="s">
        <v>39</v>
      </c>
      <c r="F306" t="s">
        <v>18</v>
      </c>
      <c r="G306">
        <v>816</v>
      </c>
      <c r="H306">
        <v>48.95</v>
      </c>
      <c r="I306">
        <v>43.42</v>
      </c>
      <c r="J306">
        <v>45</v>
      </c>
      <c r="K306" t="s">
        <v>15</v>
      </c>
    </row>
    <row r="307" spans="1:11" x14ac:dyDescent="0.3">
      <c r="A307" t="s">
        <v>332</v>
      </c>
      <c r="B307" t="s">
        <v>29</v>
      </c>
      <c r="C307" s="1">
        <v>45027</v>
      </c>
      <c r="D307" s="1">
        <v>45041</v>
      </c>
      <c r="E307" t="s">
        <v>24</v>
      </c>
      <c r="F307" t="s">
        <v>18</v>
      </c>
      <c r="G307">
        <v>343</v>
      </c>
      <c r="H307">
        <v>44.5</v>
      </c>
      <c r="I307">
        <v>38.57</v>
      </c>
      <c r="J307">
        <v>7</v>
      </c>
      <c r="K307" t="s">
        <v>15</v>
      </c>
    </row>
    <row r="308" spans="1:11" x14ac:dyDescent="0.3">
      <c r="A308" t="s">
        <v>333</v>
      </c>
      <c r="B308" t="s">
        <v>20</v>
      </c>
      <c r="C308" s="1">
        <v>44854</v>
      </c>
      <c r="D308" s="1">
        <v>44870</v>
      </c>
      <c r="E308" t="s">
        <v>21</v>
      </c>
      <c r="F308" t="s">
        <v>18</v>
      </c>
      <c r="G308">
        <v>329</v>
      </c>
      <c r="H308">
        <v>97.87</v>
      </c>
      <c r="I308">
        <v>85.35</v>
      </c>
      <c r="J308">
        <v>21</v>
      </c>
      <c r="K308" t="s">
        <v>27</v>
      </c>
    </row>
    <row r="309" spans="1:11" x14ac:dyDescent="0.3">
      <c r="A309" t="s">
        <v>334</v>
      </c>
      <c r="B309" t="s">
        <v>12</v>
      </c>
      <c r="C309" s="1">
        <v>44995</v>
      </c>
      <c r="D309" s="1">
        <v>45010</v>
      </c>
      <c r="E309" t="s">
        <v>39</v>
      </c>
      <c r="F309" t="s">
        <v>18</v>
      </c>
      <c r="G309">
        <v>1910</v>
      </c>
      <c r="H309">
        <v>90.69</v>
      </c>
      <c r="I309">
        <v>85.8</v>
      </c>
      <c r="K309" t="s">
        <v>15</v>
      </c>
    </row>
    <row r="310" spans="1:11" x14ac:dyDescent="0.3">
      <c r="A310" t="s">
        <v>335</v>
      </c>
      <c r="B310" t="s">
        <v>29</v>
      </c>
      <c r="C310" s="1">
        <v>45275</v>
      </c>
      <c r="D310" s="1">
        <v>45278</v>
      </c>
      <c r="E310" t="s">
        <v>21</v>
      </c>
      <c r="F310" t="s">
        <v>18</v>
      </c>
      <c r="G310">
        <v>933</v>
      </c>
      <c r="H310">
        <v>107.99</v>
      </c>
      <c r="I310">
        <v>104.29</v>
      </c>
      <c r="J310">
        <v>29</v>
      </c>
      <c r="K310" t="s">
        <v>15</v>
      </c>
    </row>
    <row r="311" spans="1:11" x14ac:dyDescent="0.3">
      <c r="A311" t="s">
        <v>336</v>
      </c>
      <c r="B311" t="s">
        <v>17</v>
      </c>
      <c r="C311" s="1">
        <v>45131</v>
      </c>
      <c r="D311" s="1">
        <v>45136</v>
      </c>
      <c r="E311" t="s">
        <v>26</v>
      </c>
      <c r="F311" t="s">
        <v>18</v>
      </c>
      <c r="G311">
        <v>1683</v>
      </c>
      <c r="H311">
        <v>23.09</v>
      </c>
      <c r="I311">
        <v>21.88</v>
      </c>
      <c r="J311">
        <v>253</v>
      </c>
      <c r="K311" t="s">
        <v>15</v>
      </c>
    </row>
    <row r="312" spans="1:11" x14ac:dyDescent="0.3">
      <c r="A312" t="s">
        <v>337</v>
      </c>
      <c r="B312" t="s">
        <v>23</v>
      </c>
      <c r="C312" s="1">
        <v>45239</v>
      </c>
      <c r="D312" s="1">
        <v>45248</v>
      </c>
      <c r="E312" t="s">
        <v>24</v>
      </c>
      <c r="F312" t="s">
        <v>35</v>
      </c>
      <c r="G312">
        <v>247</v>
      </c>
      <c r="H312">
        <v>84.11</v>
      </c>
      <c r="I312">
        <v>71.97</v>
      </c>
      <c r="K312" t="s">
        <v>15</v>
      </c>
    </row>
    <row r="313" spans="1:11" x14ac:dyDescent="0.3">
      <c r="A313" t="s">
        <v>338</v>
      </c>
      <c r="B313" t="s">
        <v>12</v>
      </c>
      <c r="C313" s="1">
        <v>45060</v>
      </c>
      <c r="D313" s="1">
        <v>45079</v>
      </c>
      <c r="E313" t="s">
        <v>21</v>
      </c>
      <c r="F313" t="s">
        <v>18</v>
      </c>
      <c r="G313">
        <v>1031</v>
      </c>
      <c r="H313">
        <v>102.01</v>
      </c>
      <c r="I313">
        <v>98.65</v>
      </c>
      <c r="K313" t="s">
        <v>15</v>
      </c>
    </row>
    <row r="314" spans="1:11" x14ac:dyDescent="0.3">
      <c r="A314" t="s">
        <v>339</v>
      </c>
      <c r="B314" t="s">
        <v>12</v>
      </c>
      <c r="C314" s="1">
        <v>44720</v>
      </c>
      <c r="D314" s="1">
        <v>44731</v>
      </c>
      <c r="E314" t="s">
        <v>24</v>
      </c>
      <c r="F314" t="s">
        <v>18</v>
      </c>
      <c r="G314">
        <v>1980</v>
      </c>
      <c r="H314">
        <v>26.97</v>
      </c>
      <c r="I314">
        <v>24.16</v>
      </c>
      <c r="J314">
        <v>41</v>
      </c>
      <c r="K314" t="s">
        <v>15</v>
      </c>
    </row>
    <row r="315" spans="1:11" x14ac:dyDescent="0.3">
      <c r="A315" t="s">
        <v>340</v>
      </c>
      <c r="B315" t="s">
        <v>29</v>
      </c>
      <c r="C315" s="1">
        <v>44756</v>
      </c>
      <c r="D315" s="1">
        <v>44776</v>
      </c>
      <c r="E315" t="s">
        <v>26</v>
      </c>
      <c r="F315" t="s">
        <v>18</v>
      </c>
      <c r="G315">
        <v>1584</v>
      </c>
      <c r="H315">
        <v>16.46</v>
      </c>
      <c r="I315">
        <v>14.2</v>
      </c>
      <c r="J315">
        <v>57</v>
      </c>
      <c r="K315" t="s">
        <v>15</v>
      </c>
    </row>
    <row r="316" spans="1:11" x14ac:dyDescent="0.3">
      <c r="A316" t="s">
        <v>341</v>
      </c>
      <c r="B316" t="s">
        <v>23</v>
      </c>
      <c r="C316" s="1">
        <v>44865</v>
      </c>
      <c r="D316" s="1">
        <v>44880</v>
      </c>
      <c r="E316" t="s">
        <v>13</v>
      </c>
      <c r="F316" t="s">
        <v>18</v>
      </c>
      <c r="G316">
        <v>801</v>
      </c>
      <c r="H316">
        <v>80.150000000000006</v>
      </c>
      <c r="I316">
        <v>70.91</v>
      </c>
      <c r="K316" t="s">
        <v>15</v>
      </c>
    </row>
    <row r="317" spans="1:11" x14ac:dyDescent="0.3">
      <c r="A317" t="s">
        <v>342</v>
      </c>
      <c r="B317" t="s">
        <v>23</v>
      </c>
      <c r="C317" s="1">
        <v>44784</v>
      </c>
      <c r="D317" s="1">
        <v>44798</v>
      </c>
      <c r="E317" t="s">
        <v>24</v>
      </c>
      <c r="F317" t="s">
        <v>18</v>
      </c>
      <c r="G317">
        <v>193</v>
      </c>
      <c r="H317">
        <v>63.86</v>
      </c>
      <c r="I317">
        <v>57.46</v>
      </c>
      <c r="K317" t="s">
        <v>15</v>
      </c>
    </row>
    <row r="318" spans="1:11" x14ac:dyDescent="0.3">
      <c r="A318" t="s">
        <v>343</v>
      </c>
      <c r="B318" t="s">
        <v>23</v>
      </c>
      <c r="C318" s="1">
        <v>44621</v>
      </c>
      <c r="D318" s="1">
        <v>44625</v>
      </c>
      <c r="E318" t="s">
        <v>26</v>
      </c>
      <c r="F318" t="s">
        <v>18</v>
      </c>
      <c r="G318">
        <v>658</v>
      </c>
      <c r="H318">
        <v>86.62</v>
      </c>
      <c r="I318">
        <v>79.849999999999994</v>
      </c>
      <c r="J318">
        <v>72</v>
      </c>
      <c r="K318" t="s">
        <v>15</v>
      </c>
    </row>
    <row r="319" spans="1:11" x14ac:dyDescent="0.3">
      <c r="A319" t="s">
        <v>344</v>
      </c>
      <c r="B319" t="s">
        <v>29</v>
      </c>
      <c r="C319" s="1">
        <v>45155</v>
      </c>
      <c r="D319" s="1">
        <v>45173</v>
      </c>
      <c r="E319" t="s">
        <v>39</v>
      </c>
      <c r="F319" t="s">
        <v>18</v>
      </c>
      <c r="G319">
        <v>1274</v>
      </c>
      <c r="H319">
        <v>24.72</v>
      </c>
      <c r="I319">
        <v>23.36</v>
      </c>
      <c r="J319">
        <v>37</v>
      </c>
      <c r="K319" t="s">
        <v>15</v>
      </c>
    </row>
    <row r="320" spans="1:11" x14ac:dyDescent="0.3">
      <c r="A320" t="s">
        <v>345</v>
      </c>
      <c r="B320" t="s">
        <v>29</v>
      </c>
      <c r="C320" s="1">
        <v>45117</v>
      </c>
      <c r="D320" s="1">
        <v>45124</v>
      </c>
      <c r="E320" t="s">
        <v>24</v>
      </c>
      <c r="F320" t="s">
        <v>33</v>
      </c>
      <c r="G320">
        <v>1197</v>
      </c>
      <c r="H320">
        <v>88.92</v>
      </c>
      <c r="I320">
        <v>78.819999999999993</v>
      </c>
      <c r="J320">
        <v>31</v>
      </c>
      <c r="K320" t="s">
        <v>15</v>
      </c>
    </row>
    <row r="321" spans="1:11" x14ac:dyDescent="0.3">
      <c r="A321" t="s">
        <v>346</v>
      </c>
      <c r="B321" t="s">
        <v>20</v>
      </c>
      <c r="C321" s="1">
        <v>44624</v>
      </c>
      <c r="D321" s="1">
        <v>44632</v>
      </c>
      <c r="E321" t="s">
        <v>39</v>
      </c>
      <c r="F321" t="s">
        <v>18</v>
      </c>
      <c r="G321">
        <v>236</v>
      </c>
      <c r="H321">
        <v>28.43</v>
      </c>
      <c r="I321">
        <v>28.11</v>
      </c>
      <c r="J321">
        <v>11</v>
      </c>
      <c r="K321" t="s">
        <v>15</v>
      </c>
    </row>
    <row r="322" spans="1:11" x14ac:dyDescent="0.3">
      <c r="A322" t="s">
        <v>347</v>
      </c>
      <c r="B322" t="s">
        <v>20</v>
      </c>
      <c r="C322" s="1">
        <v>44883</v>
      </c>
      <c r="D322" s="1">
        <v>44898</v>
      </c>
      <c r="E322" t="s">
        <v>26</v>
      </c>
      <c r="F322" t="s">
        <v>33</v>
      </c>
      <c r="G322">
        <v>1399</v>
      </c>
      <c r="H322">
        <v>25.97</v>
      </c>
      <c r="I322">
        <v>22.19</v>
      </c>
      <c r="J322">
        <v>62</v>
      </c>
      <c r="K322" t="s">
        <v>15</v>
      </c>
    </row>
    <row r="323" spans="1:11" x14ac:dyDescent="0.3">
      <c r="A323" t="s">
        <v>348</v>
      </c>
      <c r="B323" t="s">
        <v>20</v>
      </c>
      <c r="C323" s="1">
        <v>44620</v>
      </c>
      <c r="D323" s="1">
        <v>44624</v>
      </c>
      <c r="E323" t="s">
        <v>39</v>
      </c>
      <c r="F323" t="s">
        <v>18</v>
      </c>
      <c r="G323">
        <v>513</v>
      </c>
      <c r="H323">
        <v>24.91</v>
      </c>
      <c r="I323">
        <v>22.58</v>
      </c>
      <c r="J323">
        <v>29</v>
      </c>
      <c r="K323" t="s">
        <v>15</v>
      </c>
    </row>
    <row r="324" spans="1:11" x14ac:dyDescent="0.3">
      <c r="A324" t="s">
        <v>349</v>
      </c>
      <c r="B324" t="s">
        <v>17</v>
      </c>
      <c r="C324" s="1">
        <v>44613</v>
      </c>
      <c r="D324" s="1">
        <v>44624</v>
      </c>
      <c r="E324" t="s">
        <v>21</v>
      </c>
      <c r="F324" t="s">
        <v>18</v>
      </c>
      <c r="G324">
        <v>1422</v>
      </c>
      <c r="H324">
        <v>83.73</v>
      </c>
      <c r="I324">
        <v>76.47</v>
      </c>
      <c r="J324">
        <v>198</v>
      </c>
      <c r="K324" t="s">
        <v>15</v>
      </c>
    </row>
    <row r="325" spans="1:11" x14ac:dyDescent="0.3">
      <c r="A325" t="s">
        <v>350</v>
      </c>
      <c r="B325" t="s">
        <v>12</v>
      </c>
      <c r="C325" s="1">
        <v>45160</v>
      </c>
      <c r="D325" s="1">
        <v>45172</v>
      </c>
      <c r="E325" t="s">
        <v>13</v>
      </c>
      <c r="F325" t="s">
        <v>18</v>
      </c>
      <c r="G325">
        <v>1844</v>
      </c>
      <c r="H325">
        <v>76.510000000000005</v>
      </c>
      <c r="I325">
        <v>73.05</v>
      </c>
      <c r="K325" t="s">
        <v>15</v>
      </c>
    </row>
    <row r="326" spans="1:11" x14ac:dyDescent="0.3">
      <c r="A326" t="s">
        <v>351</v>
      </c>
      <c r="B326" t="s">
        <v>20</v>
      </c>
      <c r="C326" s="1">
        <v>45050</v>
      </c>
      <c r="E326" t="s">
        <v>39</v>
      </c>
      <c r="F326" t="s">
        <v>18</v>
      </c>
      <c r="G326">
        <v>709</v>
      </c>
      <c r="H326">
        <v>61.64</v>
      </c>
      <c r="I326">
        <v>54.55</v>
      </c>
      <c r="J326">
        <v>41</v>
      </c>
      <c r="K326" t="s">
        <v>15</v>
      </c>
    </row>
    <row r="327" spans="1:11" x14ac:dyDescent="0.3">
      <c r="A327" t="s">
        <v>352</v>
      </c>
      <c r="B327" t="s">
        <v>17</v>
      </c>
      <c r="C327" s="1">
        <v>45076</v>
      </c>
      <c r="D327" s="1">
        <v>45092</v>
      </c>
      <c r="E327" t="s">
        <v>21</v>
      </c>
      <c r="F327" t="s">
        <v>18</v>
      </c>
      <c r="G327">
        <v>813</v>
      </c>
      <c r="H327">
        <v>45.68</v>
      </c>
      <c r="I327">
        <v>41.78</v>
      </c>
      <c r="K327" t="s">
        <v>27</v>
      </c>
    </row>
    <row r="328" spans="1:11" x14ac:dyDescent="0.3">
      <c r="A328" t="s">
        <v>353</v>
      </c>
      <c r="B328" t="s">
        <v>17</v>
      </c>
      <c r="C328" s="1">
        <v>45105</v>
      </c>
      <c r="D328" s="1">
        <v>45108</v>
      </c>
      <c r="E328" t="s">
        <v>13</v>
      </c>
      <c r="F328" t="s">
        <v>18</v>
      </c>
      <c r="G328">
        <v>1004</v>
      </c>
      <c r="H328">
        <v>96.51</v>
      </c>
      <c r="I328">
        <v>92.9</v>
      </c>
      <c r="J328">
        <v>146</v>
      </c>
      <c r="K328" t="s">
        <v>27</v>
      </c>
    </row>
    <row r="329" spans="1:11" x14ac:dyDescent="0.3">
      <c r="A329" t="s">
        <v>354</v>
      </c>
      <c r="B329" t="s">
        <v>29</v>
      </c>
      <c r="C329" s="1">
        <v>44723</v>
      </c>
      <c r="D329" s="1">
        <v>44727</v>
      </c>
      <c r="E329" t="s">
        <v>26</v>
      </c>
      <c r="F329" t="s">
        <v>18</v>
      </c>
      <c r="G329">
        <v>452</v>
      </c>
      <c r="H329">
        <v>46.45</v>
      </c>
      <c r="I329">
        <v>40.39</v>
      </c>
      <c r="J329">
        <v>9</v>
      </c>
      <c r="K329" t="s">
        <v>15</v>
      </c>
    </row>
    <row r="330" spans="1:11" x14ac:dyDescent="0.3">
      <c r="A330" t="s">
        <v>355</v>
      </c>
      <c r="B330" t="s">
        <v>23</v>
      </c>
      <c r="C330" s="1">
        <v>44620</v>
      </c>
      <c r="D330" s="1">
        <v>44632</v>
      </c>
      <c r="E330" t="s">
        <v>26</v>
      </c>
      <c r="F330" t="s">
        <v>35</v>
      </c>
      <c r="G330">
        <v>1419</v>
      </c>
      <c r="H330">
        <v>83.91</v>
      </c>
      <c r="I330">
        <v>71.459999999999994</v>
      </c>
      <c r="J330">
        <v>137</v>
      </c>
      <c r="K330" t="s">
        <v>15</v>
      </c>
    </row>
    <row r="331" spans="1:11" x14ac:dyDescent="0.3">
      <c r="A331" t="s">
        <v>356</v>
      </c>
      <c r="B331" t="s">
        <v>23</v>
      </c>
      <c r="C331" s="1">
        <v>45082</v>
      </c>
      <c r="D331" s="1">
        <v>45100</v>
      </c>
      <c r="E331" t="s">
        <v>24</v>
      </c>
      <c r="F331" t="s">
        <v>18</v>
      </c>
      <c r="G331">
        <v>1584</v>
      </c>
      <c r="H331">
        <v>53.73</v>
      </c>
      <c r="I331">
        <v>51.92</v>
      </c>
      <c r="J331">
        <v>167</v>
      </c>
      <c r="K331" t="s">
        <v>27</v>
      </c>
    </row>
    <row r="332" spans="1:11" x14ac:dyDescent="0.3">
      <c r="A332" t="s">
        <v>357</v>
      </c>
      <c r="B332" t="s">
        <v>20</v>
      </c>
      <c r="C332" s="1">
        <v>44644</v>
      </c>
      <c r="D332" s="1">
        <v>44662</v>
      </c>
      <c r="E332" t="s">
        <v>21</v>
      </c>
      <c r="F332" t="s">
        <v>35</v>
      </c>
      <c r="G332">
        <v>196</v>
      </c>
      <c r="H332">
        <v>44.36</v>
      </c>
      <c r="I332">
        <v>43.81</v>
      </c>
      <c r="J332">
        <v>6</v>
      </c>
      <c r="K332" t="s">
        <v>15</v>
      </c>
    </row>
    <row r="333" spans="1:11" x14ac:dyDescent="0.3">
      <c r="A333" t="s">
        <v>358</v>
      </c>
      <c r="B333" t="s">
        <v>12</v>
      </c>
      <c r="C333" s="1">
        <v>44752</v>
      </c>
      <c r="D333" s="1">
        <v>44756</v>
      </c>
      <c r="E333" t="s">
        <v>13</v>
      </c>
      <c r="F333" t="s">
        <v>18</v>
      </c>
      <c r="G333">
        <v>1221</v>
      </c>
      <c r="H333">
        <v>53.19</v>
      </c>
      <c r="I333">
        <v>46.18</v>
      </c>
      <c r="J333">
        <v>29</v>
      </c>
      <c r="K333" t="s">
        <v>15</v>
      </c>
    </row>
    <row r="334" spans="1:11" x14ac:dyDescent="0.3">
      <c r="A334" t="s">
        <v>359</v>
      </c>
      <c r="B334" t="s">
        <v>12</v>
      </c>
      <c r="C334" s="1">
        <v>44632</v>
      </c>
      <c r="D334" s="1">
        <v>44646</v>
      </c>
      <c r="E334" t="s">
        <v>24</v>
      </c>
      <c r="F334" t="s">
        <v>18</v>
      </c>
      <c r="G334">
        <v>913</v>
      </c>
      <c r="H334">
        <v>37.5</v>
      </c>
      <c r="I334">
        <v>36.200000000000003</v>
      </c>
      <c r="K334" t="s">
        <v>15</v>
      </c>
    </row>
    <row r="335" spans="1:11" x14ac:dyDescent="0.3">
      <c r="A335" t="s">
        <v>360</v>
      </c>
      <c r="B335" t="s">
        <v>12</v>
      </c>
      <c r="C335" s="1">
        <v>45171</v>
      </c>
      <c r="D335" s="1">
        <v>45173</v>
      </c>
      <c r="E335" t="s">
        <v>24</v>
      </c>
      <c r="F335" t="s">
        <v>18</v>
      </c>
      <c r="G335">
        <v>1784</v>
      </c>
      <c r="H335">
        <v>85.01</v>
      </c>
      <c r="I335">
        <v>76.69</v>
      </c>
      <c r="J335">
        <v>37</v>
      </c>
      <c r="K335" t="s">
        <v>15</v>
      </c>
    </row>
    <row r="336" spans="1:11" x14ac:dyDescent="0.3">
      <c r="A336" t="s">
        <v>361</v>
      </c>
      <c r="B336" t="s">
        <v>17</v>
      </c>
      <c r="C336" s="1">
        <v>44631</v>
      </c>
      <c r="E336" t="s">
        <v>26</v>
      </c>
      <c r="F336" t="s">
        <v>18</v>
      </c>
      <c r="G336">
        <v>1893</v>
      </c>
      <c r="H336">
        <v>55.8</v>
      </c>
      <c r="I336">
        <v>52.35</v>
      </c>
      <c r="K336" t="s">
        <v>15</v>
      </c>
    </row>
    <row r="337" spans="1:11" x14ac:dyDescent="0.3">
      <c r="A337" t="s">
        <v>362</v>
      </c>
      <c r="B337" t="s">
        <v>17</v>
      </c>
      <c r="C337" s="1">
        <v>45253</v>
      </c>
      <c r="D337" s="1">
        <v>45265</v>
      </c>
      <c r="E337" t="s">
        <v>39</v>
      </c>
      <c r="F337" t="s">
        <v>35</v>
      </c>
      <c r="G337">
        <v>538</v>
      </c>
      <c r="H337">
        <v>34.299999999999997</v>
      </c>
      <c r="I337">
        <v>32.25</v>
      </c>
      <c r="J337">
        <v>84</v>
      </c>
      <c r="K337" t="s">
        <v>27</v>
      </c>
    </row>
    <row r="338" spans="1:11" x14ac:dyDescent="0.3">
      <c r="A338" t="s">
        <v>363</v>
      </c>
      <c r="B338" t="s">
        <v>17</v>
      </c>
      <c r="C338" s="1">
        <v>44802</v>
      </c>
      <c r="D338" s="1">
        <v>44819</v>
      </c>
      <c r="E338" t="s">
        <v>13</v>
      </c>
      <c r="F338" t="s">
        <v>35</v>
      </c>
      <c r="G338">
        <v>978</v>
      </c>
      <c r="H338">
        <v>94.15</v>
      </c>
      <c r="I338">
        <v>87.7</v>
      </c>
      <c r="J338">
        <v>149</v>
      </c>
      <c r="K338" t="s">
        <v>27</v>
      </c>
    </row>
    <row r="339" spans="1:11" x14ac:dyDescent="0.3">
      <c r="A339" t="s">
        <v>364</v>
      </c>
      <c r="B339" t="s">
        <v>29</v>
      </c>
      <c r="C339" s="1">
        <v>44975</v>
      </c>
      <c r="D339" s="1">
        <v>44991</v>
      </c>
      <c r="E339" t="s">
        <v>26</v>
      </c>
      <c r="F339" t="s">
        <v>14</v>
      </c>
      <c r="G339">
        <v>1713</v>
      </c>
      <c r="H339">
        <v>47.45</v>
      </c>
      <c r="I339">
        <v>42.05</v>
      </c>
      <c r="J339">
        <v>53</v>
      </c>
      <c r="K339" t="s">
        <v>15</v>
      </c>
    </row>
    <row r="340" spans="1:11" x14ac:dyDescent="0.3">
      <c r="A340" t="s">
        <v>365</v>
      </c>
      <c r="B340" t="s">
        <v>17</v>
      </c>
      <c r="C340" s="1">
        <v>44684</v>
      </c>
      <c r="D340" s="1">
        <v>44688</v>
      </c>
      <c r="E340" t="s">
        <v>26</v>
      </c>
      <c r="F340" t="s">
        <v>35</v>
      </c>
      <c r="G340">
        <v>600</v>
      </c>
      <c r="H340">
        <v>60.1</v>
      </c>
      <c r="I340">
        <v>57.92</v>
      </c>
      <c r="J340">
        <v>95</v>
      </c>
      <c r="K340" t="s">
        <v>27</v>
      </c>
    </row>
    <row r="341" spans="1:11" x14ac:dyDescent="0.3">
      <c r="A341" t="s">
        <v>366</v>
      </c>
      <c r="B341" t="s">
        <v>12</v>
      </c>
      <c r="C341" s="1">
        <v>45145</v>
      </c>
      <c r="D341" s="1">
        <v>45163</v>
      </c>
      <c r="E341" t="s">
        <v>39</v>
      </c>
      <c r="F341" t="s">
        <v>35</v>
      </c>
      <c r="G341">
        <v>387</v>
      </c>
      <c r="H341">
        <v>100.28</v>
      </c>
      <c r="I341">
        <v>85.54</v>
      </c>
      <c r="J341">
        <v>5</v>
      </c>
      <c r="K341" t="s">
        <v>15</v>
      </c>
    </row>
    <row r="342" spans="1:11" x14ac:dyDescent="0.3">
      <c r="A342" t="s">
        <v>367</v>
      </c>
      <c r="B342" t="s">
        <v>12</v>
      </c>
      <c r="C342" s="1">
        <v>44814</v>
      </c>
      <c r="D342" s="1">
        <v>44823</v>
      </c>
      <c r="E342" t="s">
        <v>21</v>
      </c>
      <c r="F342" t="s">
        <v>35</v>
      </c>
      <c r="G342">
        <v>921</v>
      </c>
      <c r="H342">
        <v>68.83</v>
      </c>
      <c r="I342">
        <v>59.13</v>
      </c>
      <c r="J342">
        <v>22</v>
      </c>
      <c r="K342" t="s">
        <v>15</v>
      </c>
    </row>
    <row r="343" spans="1:11" x14ac:dyDescent="0.3">
      <c r="A343" t="s">
        <v>368</v>
      </c>
      <c r="B343" t="s">
        <v>23</v>
      </c>
      <c r="C343" s="1">
        <v>45154</v>
      </c>
      <c r="D343" s="1">
        <v>45168</v>
      </c>
      <c r="E343" t="s">
        <v>21</v>
      </c>
      <c r="F343" t="s">
        <v>18</v>
      </c>
      <c r="G343">
        <v>690</v>
      </c>
      <c r="H343">
        <v>22.47</v>
      </c>
      <c r="I343">
        <v>21.94</v>
      </c>
      <c r="J343">
        <v>77</v>
      </c>
      <c r="K343" t="s">
        <v>15</v>
      </c>
    </row>
    <row r="344" spans="1:11" x14ac:dyDescent="0.3">
      <c r="A344" t="s">
        <v>369</v>
      </c>
      <c r="B344" t="s">
        <v>12</v>
      </c>
      <c r="C344" s="1">
        <v>45170</v>
      </c>
      <c r="D344" s="1">
        <v>45190</v>
      </c>
      <c r="E344" t="s">
        <v>13</v>
      </c>
      <c r="F344" t="s">
        <v>14</v>
      </c>
      <c r="G344">
        <v>1852</v>
      </c>
      <c r="H344">
        <v>104.04</v>
      </c>
      <c r="I344">
        <v>94.89</v>
      </c>
      <c r="J344">
        <v>36</v>
      </c>
      <c r="K344" t="s">
        <v>15</v>
      </c>
    </row>
    <row r="345" spans="1:11" x14ac:dyDescent="0.3">
      <c r="A345" t="s">
        <v>370</v>
      </c>
      <c r="B345" t="s">
        <v>17</v>
      </c>
      <c r="C345" s="1">
        <v>44602</v>
      </c>
      <c r="D345" s="1">
        <v>44620</v>
      </c>
      <c r="E345" t="s">
        <v>39</v>
      </c>
      <c r="F345" t="s">
        <v>18</v>
      </c>
      <c r="G345">
        <v>522</v>
      </c>
      <c r="H345">
        <v>66.83</v>
      </c>
      <c r="I345">
        <v>58.01</v>
      </c>
      <c r="J345">
        <v>74</v>
      </c>
      <c r="K345" t="s">
        <v>15</v>
      </c>
    </row>
    <row r="346" spans="1:11" x14ac:dyDescent="0.3">
      <c r="A346" t="s">
        <v>371</v>
      </c>
      <c r="B346" t="s">
        <v>17</v>
      </c>
      <c r="C346" s="1">
        <v>45196</v>
      </c>
      <c r="D346" s="1">
        <v>45205</v>
      </c>
      <c r="E346" t="s">
        <v>39</v>
      </c>
      <c r="F346" t="s">
        <v>18</v>
      </c>
      <c r="G346">
        <v>200</v>
      </c>
      <c r="H346">
        <v>44.16</v>
      </c>
      <c r="I346">
        <v>43.13</v>
      </c>
      <c r="J346">
        <v>21</v>
      </c>
      <c r="K346" t="s">
        <v>15</v>
      </c>
    </row>
    <row r="347" spans="1:11" x14ac:dyDescent="0.3">
      <c r="A347" t="s">
        <v>372</v>
      </c>
      <c r="B347" t="s">
        <v>20</v>
      </c>
      <c r="C347" s="1">
        <v>44645</v>
      </c>
      <c r="D347" s="1">
        <v>44654</v>
      </c>
      <c r="E347" t="s">
        <v>24</v>
      </c>
      <c r="F347" t="s">
        <v>18</v>
      </c>
      <c r="G347">
        <v>1488</v>
      </c>
      <c r="H347">
        <v>22.76</v>
      </c>
      <c r="I347">
        <v>21.99</v>
      </c>
      <c r="K347" t="s">
        <v>15</v>
      </c>
    </row>
    <row r="348" spans="1:11" x14ac:dyDescent="0.3">
      <c r="A348" t="s">
        <v>373</v>
      </c>
      <c r="B348" t="s">
        <v>29</v>
      </c>
      <c r="C348" s="1">
        <v>44991</v>
      </c>
      <c r="D348" s="1">
        <v>45001</v>
      </c>
      <c r="E348" t="s">
        <v>39</v>
      </c>
      <c r="F348" t="s">
        <v>18</v>
      </c>
      <c r="G348">
        <v>1371</v>
      </c>
      <c r="H348">
        <v>87.16</v>
      </c>
      <c r="I348">
        <v>78.13</v>
      </c>
      <c r="J348">
        <v>43</v>
      </c>
      <c r="K348" t="s">
        <v>15</v>
      </c>
    </row>
    <row r="349" spans="1:11" x14ac:dyDescent="0.3">
      <c r="A349" t="s">
        <v>374</v>
      </c>
      <c r="B349" t="s">
        <v>12</v>
      </c>
      <c r="C349" s="1">
        <v>45235</v>
      </c>
      <c r="E349" t="s">
        <v>13</v>
      </c>
      <c r="F349" t="s">
        <v>18</v>
      </c>
      <c r="G349">
        <v>1684</v>
      </c>
      <c r="H349">
        <v>73.05</v>
      </c>
      <c r="I349">
        <v>62.53</v>
      </c>
      <c r="K349" t="s">
        <v>15</v>
      </c>
    </row>
    <row r="350" spans="1:11" x14ac:dyDescent="0.3">
      <c r="A350" t="s">
        <v>375</v>
      </c>
      <c r="B350" t="s">
        <v>29</v>
      </c>
      <c r="C350" s="1">
        <v>45159</v>
      </c>
      <c r="D350" s="1">
        <v>45165</v>
      </c>
      <c r="E350" t="s">
        <v>39</v>
      </c>
      <c r="F350" t="s">
        <v>18</v>
      </c>
      <c r="G350">
        <v>312</v>
      </c>
      <c r="H350">
        <v>63.52</v>
      </c>
      <c r="I350">
        <v>58.09</v>
      </c>
      <c r="K350" t="s">
        <v>15</v>
      </c>
    </row>
    <row r="351" spans="1:11" x14ac:dyDescent="0.3">
      <c r="A351" t="s">
        <v>376</v>
      </c>
      <c r="B351" t="s">
        <v>12</v>
      </c>
      <c r="C351" s="1">
        <v>45140</v>
      </c>
      <c r="D351" s="1">
        <v>45159</v>
      </c>
      <c r="E351" t="s">
        <v>24</v>
      </c>
      <c r="F351" t="s">
        <v>14</v>
      </c>
      <c r="G351">
        <v>1837</v>
      </c>
      <c r="H351">
        <v>99.04</v>
      </c>
      <c r="I351">
        <v>86.51</v>
      </c>
      <c r="J351">
        <v>39</v>
      </c>
      <c r="K351" t="s">
        <v>15</v>
      </c>
    </row>
    <row r="352" spans="1:11" x14ac:dyDescent="0.3">
      <c r="A352" t="s">
        <v>377</v>
      </c>
      <c r="B352" t="s">
        <v>23</v>
      </c>
      <c r="C352" s="1">
        <v>45097</v>
      </c>
      <c r="D352" s="1">
        <v>45100</v>
      </c>
      <c r="E352" t="s">
        <v>21</v>
      </c>
      <c r="F352" t="s">
        <v>18</v>
      </c>
      <c r="G352">
        <v>193</v>
      </c>
      <c r="H352">
        <v>87.86</v>
      </c>
      <c r="I352">
        <v>81.739999999999995</v>
      </c>
      <c r="J352">
        <v>21</v>
      </c>
      <c r="K352" t="s">
        <v>15</v>
      </c>
    </row>
    <row r="353" spans="1:11" x14ac:dyDescent="0.3">
      <c r="A353" t="s">
        <v>378</v>
      </c>
      <c r="B353" t="s">
        <v>23</v>
      </c>
      <c r="C353" s="1">
        <v>44885</v>
      </c>
      <c r="D353" s="1">
        <v>44886</v>
      </c>
      <c r="E353" t="s">
        <v>39</v>
      </c>
      <c r="F353" t="s">
        <v>18</v>
      </c>
      <c r="G353">
        <v>395</v>
      </c>
      <c r="H353">
        <v>24.83</v>
      </c>
      <c r="I353">
        <v>23.96</v>
      </c>
      <c r="J353">
        <v>31</v>
      </c>
      <c r="K353" t="s">
        <v>15</v>
      </c>
    </row>
    <row r="354" spans="1:11" x14ac:dyDescent="0.3">
      <c r="A354" t="s">
        <v>379</v>
      </c>
      <c r="B354" t="s">
        <v>29</v>
      </c>
      <c r="C354" s="1">
        <v>44829</v>
      </c>
      <c r="D354" s="1">
        <v>44846</v>
      </c>
      <c r="E354" t="s">
        <v>39</v>
      </c>
      <c r="F354" t="s">
        <v>14</v>
      </c>
      <c r="G354">
        <v>673</v>
      </c>
      <c r="H354">
        <v>39.58</v>
      </c>
      <c r="I354">
        <v>35.83</v>
      </c>
      <c r="J354">
        <v>25</v>
      </c>
      <c r="K354" t="s">
        <v>15</v>
      </c>
    </row>
    <row r="355" spans="1:11" x14ac:dyDescent="0.3">
      <c r="A355" t="s">
        <v>380</v>
      </c>
      <c r="B355" t="s">
        <v>17</v>
      </c>
      <c r="C355" s="1">
        <v>44771</v>
      </c>
      <c r="D355" s="1">
        <v>44785</v>
      </c>
      <c r="E355" t="s">
        <v>13</v>
      </c>
      <c r="F355" t="s">
        <v>14</v>
      </c>
      <c r="G355">
        <v>1066</v>
      </c>
      <c r="H355">
        <v>33.33</v>
      </c>
      <c r="I355">
        <v>28.47</v>
      </c>
      <c r="J355">
        <v>162</v>
      </c>
      <c r="K355" t="s">
        <v>27</v>
      </c>
    </row>
    <row r="356" spans="1:11" x14ac:dyDescent="0.3">
      <c r="A356" t="s">
        <v>381</v>
      </c>
      <c r="B356" t="s">
        <v>20</v>
      </c>
      <c r="C356" s="1">
        <v>45247</v>
      </c>
      <c r="D356" s="1">
        <v>45253</v>
      </c>
      <c r="E356" t="s">
        <v>24</v>
      </c>
      <c r="F356" t="s">
        <v>18</v>
      </c>
      <c r="G356">
        <v>1645</v>
      </c>
      <c r="H356">
        <v>85.42</v>
      </c>
      <c r="I356">
        <v>80.78</v>
      </c>
      <c r="J356">
        <v>73</v>
      </c>
      <c r="K356" t="s">
        <v>27</v>
      </c>
    </row>
    <row r="357" spans="1:11" x14ac:dyDescent="0.3">
      <c r="A357" t="s">
        <v>382</v>
      </c>
      <c r="B357" t="s">
        <v>12</v>
      </c>
      <c r="C357" s="1">
        <v>44883</v>
      </c>
      <c r="D357" s="1">
        <v>44894</v>
      </c>
      <c r="E357" t="s">
        <v>39</v>
      </c>
      <c r="F357" t="s">
        <v>18</v>
      </c>
      <c r="G357">
        <v>930</v>
      </c>
      <c r="H357">
        <v>13.67</v>
      </c>
      <c r="I357">
        <v>11.95</v>
      </c>
      <c r="J357">
        <v>16</v>
      </c>
      <c r="K357" t="s">
        <v>15</v>
      </c>
    </row>
    <row r="358" spans="1:11" x14ac:dyDescent="0.3">
      <c r="A358" t="s">
        <v>383</v>
      </c>
      <c r="B358" t="s">
        <v>12</v>
      </c>
      <c r="C358" s="1">
        <v>44806</v>
      </c>
      <c r="D358" s="1">
        <v>44825</v>
      </c>
      <c r="E358" t="s">
        <v>13</v>
      </c>
      <c r="F358" t="s">
        <v>18</v>
      </c>
      <c r="G358">
        <v>51</v>
      </c>
      <c r="H358">
        <v>63.74</v>
      </c>
      <c r="I358">
        <v>56.1</v>
      </c>
      <c r="J358">
        <v>0</v>
      </c>
      <c r="K358" t="s">
        <v>15</v>
      </c>
    </row>
    <row r="359" spans="1:11" x14ac:dyDescent="0.3">
      <c r="A359" t="s">
        <v>384</v>
      </c>
      <c r="B359" t="s">
        <v>20</v>
      </c>
      <c r="C359" s="1">
        <v>44833</v>
      </c>
      <c r="D359" s="1">
        <v>44835</v>
      </c>
      <c r="E359" t="s">
        <v>24</v>
      </c>
      <c r="F359" t="s">
        <v>18</v>
      </c>
      <c r="G359">
        <v>946</v>
      </c>
      <c r="H359">
        <v>81.77</v>
      </c>
      <c r="I359">
        <v>71.650000000000006</v>
      </c>
      <c r="J359">
        <v>55</v>
      </c>
      <c r="K359" t="s">
        <v>15</v>
      </c>
    </row>
    <row r="360" spans="1:11" x14ac:dyDescent="0.3">
      <c r="A360" t="s">
        <v>385</v>
      </c>
      <c r="B360" t="s">
        <v>29</v>
      </c>
      <c r="C360" s="1">
        <v>44967</v>
      </c>
      <c r="D360" s="1">
        <v>44987</v>
      </c>
      <c r="E360" t="s">
        <v>26</v>
      </c>
      <c r="F360" t="s">
        <v>33</v>
      </c>
      <c r="G360">
        <v>1377</v>
      </c>
      <c r="H360">
        <v>94.69</v>
      </c>
      <c r="I360">
        <v>84.2</v>
      </c>
      <c r="K360" t="s">
        <v>15</v>
      </c>
    </row>
    <row r="361" spans="1:11" x14ac:dyDescent="0.3">
      <c r="A361" t="s">
        <v>386</v>
      </c>
      <c r="B361" t="s">
        <v>29</v>
      </c>
      <c r="C361" s="1">
        <v>44696</v>
      </c>
      <c r="D361" s="1">
        <v>44699</v>
      </c>
      <c r="E361" t="s">
        <v>24</v>
      </c>
      <c r="F361" t="s">
        <v>14</v>
      </c>
      <c r="G361">
        <v>303</v>
      </c>
      <c r="H361">
        <v>41.6</v>
      </c>
      <c r="I361">
        <v>40.51</v>
      </c>
      <c r="J361">
        <v>11</v>
      </c>
      <c r="K361" t="s">
        <v>15</v>
      </c>
    </row>
    <row r="362" spans="1:11" x14ac:dyDescent="0.3">
      <c r="A362" t="s">
        <v>387</v>
      </c>
      <c r="B362" t="s">
        <v>12</v>
      </c>
      <c r="C362" s="1">
        <v>45249</v>
      </c>
      <c r="D362" s="1">
        <v>45263</v>
      </c>
      <c r="E362" t="s">
        <v>26</v>
      </c>
      <c r="F362" t="s">
        <v>18</v>
      </c>
      <c r="G362">
        <v>1725</v>
      </c>
      <c r="H362">
        <v>93.14</v>
      </c>
      <c r="I362">
        <v>79.62</v>
      </c>
      <c r="J362">
        <v>24</v>
      </c>
      <c r="K362" t="s">
        <v>15</v>
      </c>
    </row>
    <row r="363" spans="1:11" x14ac:dyDescent="0.3">
      <c r="A363" t="s">
        <v>388</v>
      </c>
      <c r="B363" t="s">
        <v>23</v>
      </c>
      <c r="C363" s="1">
        <v>45222</v>
      </c>
      <c r="D363" s="1">
        <v>45237</v>
      </c>
      <c r="E363" t="s">
        <v>26</v>
      </c>
      <c r="F363" t="s">
        <v>14</v>
      </c>
      <c r="G363">
        <v>502</v>
      </c>
      <c r="H363">
        <v>22.05</v>
      </c>
      <c r="I363">
        <v>20.65</v>
      </c>
      <c r="J363">
        <v>50</v>
      </c>
      <c r="K363" t="s">
        <v>27</v>
      </c>
    </row>
    <row r="364" spans="1:11" x14ac:dyDescent="0.3">
      <c r="A364" t="s">
        <v>389</v>
      </c>
      <c r="B364" t="s">
        <v>20</v>
      </c>
      <c r="C364" s="1">
        <v>44869</v>
      </c>
      <c r="D364" s="1">
        <v>44876</v>
      </c>
      <c r="E364" t="s">
        <v>24</v>
      </c>
      <c r="F364" t="s">
        <v>18</v>
      </c>
      <c r="G364">
        <v>1110</v>
      </c>
      <c r="H364">
        <v>90.49</v>
      </c>
      <c r="I364">
        <v>80.03</v>
      </c>
      <c r="J364">
        <v>61</v>
      </c>
      <c r="K364" t="s">
        <v>15</v>
      </c>
    </row>
    <row r="365" spans="1:11" x14ac:dyDescent="0.3">
      <c r="A365" t="s">
        <v>390</v>
      </c>
      <c r="B365" t="s">
        <v>12</v>
      </c>
      <c r="C365" s="1">
        <v>45030</v>
      </c>
      <c r="D365" s="1">
        <v>45034</v>
      </c>
      <c r="E365" t="s">
        <v>24</v>
      </c>
      <c r="F365" t="s">
        <v>18</v>
      </c>
      <c r="G365">
        <v>1233</v>
      </c>
      <c r="H365">
        <v>23.08</v>
      </c>
      <c r="I365">
        <v>20.57</v>
      </c>
      <c r="K365" t="s">
        <v>15</v>
      </c>
    </row>
    <row r="366" spans="1:11" x14ac:dyDescent="0.3">
      <c r="A366" t="s">
        <v>391</v>
      </c>
      <c r="B366" t="s">
        <v>23</v>
      </c>
      <c r="C366" s="1">
        <v>44885</v>
      </c>
      <c r="D366" s="1">
        <v>44889</v>
      </c>
      <c r="E366" t="s">
        <v>13</v>
      </c>
      <c r="F366" t="s">
        <v>18</v>
      </c>
      <c r="G366">
        <v>1064</v>
      </c>
      <c r="H366">
        <v>48.04</v>
      </c>
      <c r="I366">
        <v>43.6</v>
      </c>
      <c r="J366">
        <v>94</v>
      </c>
      <c r="K366" t="s">
        <v>15</v>
      </c>
    </row>
    <row r="367" spans="1:11" x14ac:dyDescent="0.3">
      <c r="A367" t="s">
        <v>392</v>
      </c>
      <c r="B367" t="s">
        <v>29</v>
      </c>
      <c r="C367" s="1">
        <v>44636</v>
      </c>
      <c r="D367" s="1">
        <v>44655</v>
      </c>
      <c r="E367" t="s">
        <v>24</v>
      </c>
      <c r="F367" t="s">
        <v>33</v>
      </c>
      <c r="G367">
        <v>58</v>
      </c>
      <c r="H367">
        <v>82.57</v>
      </c>
      <c r="I367">
        <v>76.55</v>
      </c>
      <c r="K367" t="s">
        <v>15</v>
      </c>
    </row>
    <row r="368" spans="1:11" x14ac:dyDescent="0.3">
      <c r="A368" t="s">
        <v>393</v>
      </c>
      <c r="B368" t="s">
        <v>23</v>
      </c>
      <c r="C368" s="1">
        <v>44571</v>
      </c>
      <c r="D368" s="1">
        <v>44581</v>
      </c>
      <c r="E368" t="s">
        <v>21</v>
      </c>
      <c r="F368" t="s">
        <v>18</v>
      </c>
      <c r="G368">
        <v>1306</v>
      </c>
      <c r="H368">
        <v>23.49</v>
      </c>
      <c r="I368">
        <v>20.170000000000002</v>
      </c>
      <c r="J368">
        <v>116</v>
      </c>
      <c r="K368" t="s">
        <v>27</v>
      </c>
    </row>
    <row r="369" spans="1:11" x14ac:dyDescent="0.3">
      <c r="A369" t="s">
        <v>394</v>
      </c>
      <c r="B369" t="s">
        <v>17</v>
      </c>
      <c r="C369" s="1">
        <v>45031</v>
      </c>
      <c r="D369" s="1">
        <v>45044</v>
      </c>
      <c r="E369" t="s">
        <v>39</v>
      </c>
      <c r="F369" t="s">
        <v>18</v>
      </c>
      <c r="G369">
        <v>1172</v>
      </c>
      <c r="H369">
        <v>32.93</v>
      </c>
      <c r="I369">
        <v>29.28</v>
      </c>
      <c r="K369" t="s">
        <v>27</v>
      </c>
    </row>
    <row r="370" spans="1:11" x14ac:dyDescent="0.3">
      <c r="A370" t="s">
        <v>395</v>
      </c>
      <c r="B370" t="s">
        <v>12</v>
      </c>
      <c r="C370" s="1">
        <v>45198</v>
      </c>
      <c r="E370" t="s">
        <v>24</v>
      </c>
      <c r="F370" t="s">
        <v>18</v>
      </c>
      <c r="G370">
        <v>1732</v>
      </c>
      <c r="H370">
        <v>82.5</v>
      </c>
      <c r="I370">
        <v>71.709999999999994</v>
      </c>
      <c r="J370">
        <v>24</v>
      </c>
      <c r="K370" t="s">
        <v>15</v>
      </c>
    </row>
    <row r="371" spans="1:11" x14ac:dyDescent="0.3">
      <c r="A371" t="s">
        <v>396</v>
      </c>
      <c r="B371" t="s">
        <v>20</v>
      </c>
      <c r="C371" s="1">
        <v>45138</v>
      </c>
      <c r="D371" s="1">
        <v>45145</v>
      </c>
      <c r="E371" t="s">
        <v>26</v>
      </c>
      <c r="F371" t="s">
        <v>18</v>
      </c>
      <c r="G371">
        <v>865</v>
      </c>
      <c r="H371">
        <v>81.540000000000006</v>
      </c>
      <c r="I371">
        <v>71.59</v>
      </c>
      <c r="J371">
        <v>39</v>
      </c>
      <c r="K371" t="s">
        <v>15</v>
      </c>
    </row>
    <row r="372" spans="1:11" x14ac:dyDescent="0.3">
      <c r="A372" t="s">
        <v>397</v>
      </c>
      <c r="B372" t="s">
        <v>23</v>
      </c>
      <c r="C372" s="1">
        <v>44664</v>
      </c>
      <c r="D372" s="1">
        <v>44671</v>
      </c>
      <c r="E372" t="s">
        <v>26</v>
      </c>
      <c r="F372" t="s">
        <v>18</v>
      </c>
      <c r="G372">
        <v>257</v>
      </c>
      <c r="H372">
        <v>68.72</v>
      </c>
      <c r="I372">
        <v>66.92</v>
      </c>
      <c r="J372">
        <v>22</v>
      </c>
      <c r="K372" t="s">
        <v>15</v>
      </c>
    </row>
    <row r="373" spans="1:11" x14ac:dyDescent="0.3">
      <c r="A373" t="s">
        <v>398</v>
      </c>
      <c r="B373" t="s">
        <v>29</v>
      </c>
      <c r="C373" s="1">
        <v>44637</v>
      </c>
      <c r="D373" s="1">
        <v>44646</v>
      </c>
      <c r="E373" t="s">
        <v>24</v>
      </c>
      <c r="F373" t="s">
        <v>18</v>
      </c>
      <c r="G373">
        <v>1204</v>
      </c>
      <c r="H373">
        <v>73.180000000000007</v>
      </c>
      <c r="I373">
        <v>67.59</v>
      </c>
      <c r="J373">
        <v>31</v>
      </c>
      <c r="K373" t="s">
        <v>15</v>
      </c>
    </row>
    <row r="374" spans="1:11" x14ac:dyDescent="0.3">
      <c r="A374" t="s">
        <v>399</v>
      </c>
      <c r="B374" t="s">
        <v>23</v>
      </c>
      <c r="C374" s="1">
        <v>45112</v>
      </c>
      <c r="D374" s="1">
        <v>45116</v>
      </c>
      <c r="E374" t="s">
        <v>39</v>
      </c>
      <c r="F374" t="s">
        <v>33</v>
      </c>
      <c r="G374">
        <v>453</v>
      </c>
      <c r="H374">
        <v>64.14</v>
      </c>
      <c r="I374">
        <v>60.18</v>
      </c>
      <c r="J374">
        <v>51</v>
      </c>
      <c r="K374" t="s">
        <v>15</v>
      </c>
    </row>
    <row r="375" spans="1:11" x14ac:dyDescent="0.3">
      <c r="A375" t="s">
        <v>400</v>
      </c>
      <c r="B375" t="s">
        <v>29</v>
      </c>
      <c r="C375" s="1">
        <v>44780</v>
      </c>
      <c r="D375" s="1">
        <v>44794</v>
      </c>
      <c r="E375" t="s">
        <v>39</v>
      </c>
      <c r="F375" t="s">
        <v>18</v>
      </c>
      <c r="G375">
        <v>201</v>
      </c>
      <c r="H375">
        <v>33.81</v>
      </c>
      <c r="I375">
        <v>32.54</v>
      </c>
      <c r="J375">
        <v>3</v>
      </c>
      <c r="K375" t="s">
        <v>15</v>
      </c>
    </row>
    <row r="376" spans="1:11" x14ac:dyDescent="0.3">
      <c r="A376" t="s">
        <v>401</v>
      </c>
      <c r="B376" t="s">
        <v>17</v>
      </c>
      <c r="C376" s="1">
        <v>45080</v>
      </c>
      <c r="D376" s="1">
        <v>45093</v>
      </c>
      <c r="E376" t="s">
        <v>13</v>
      </c>
      <c r="F376" t="s">
        <v>18</v>
      </c>
      <c r="G376">
        <v>103</v>
      </c>
      <c r="H376">
        <v>44.61</v>
      </c>
      <c r="I376">
        <v>42.88</v>
      </c>
      <c r="J376">
        <v>10</v>
      </c>
      <c r="K376" t="s">
        <v>15</v>
      </c>
    </row>
    <row r="377" spans="1:11" x14ac:dyDescent="0.3">
      <c r="A377" t="s">
        <v>402</v>
      </c>
      <c r="B377" t="s">
        <v>29</v>
      </c>
      <c r="C377" s="1">
        <v>44833</v>
      </c>
      <c r="D377" s="1">
        <v>44841</v>
      </c>
      <c r="E377" t="s">
        <v>13</v>
      </c>
      <c r="F377" t="s">
        <v>18</v>
      </c>
      <c r="G377">
        <v>1193</v>
      </c>
      <c r="H377">
        <v>27.4</v>
      </c>
      <c r="I377">
        <v>27.09</v>
      </c>
      <c r="K377" t="s">
        <v>15</v>
      </c>
    </row>
    <row r="378" spans="1:11" x14ac:dyDescent="0.3">
      <c r="A378" t="s">
        <v>403</v>
      </c>
      <c r="B378" t="s">
        <v>20</v>
      </c>
      <c r="C378" s="1">
        <v>44697</v>
      </c>
      <c r="D378" s="1">
        <v>44709</v>
      </c>
      <c r="E378" t="s">
        <v>13</v>
      </c>
      <c r="F378" t="s">
        <v>33</v>
      </c>
      <c r="G378">
        <v>1746</v>
      </c>
      <c r="H378">
        <v>93.6</v>
      </c>
      <c r="I378">
        <v>89.81</v>
      </c>
      <c r="J378">
        <v>85</v>
      </c>
      <c r="K378" t="s">
        <v>15</v>
      </c>
    </row>
    <row r="379" spans="1:11" x14ac:dyDescent="0.3">
      <c r="A379" t="s">
        <v>404</v>
      </c>
      <c r="B379" t="s">
        <v>17</v>
      </c>
      <c r="C379" s="1">
        <v>44919</v>
      </c>
      <c r="D379" s="1">
        <v>44921</v>
      </c>
      <c r="E379" t="s">
        <v>39</v>
      </c>
      <c r="F379" t="s">
        <v>18</v>
      </c>
      <c r="G379">
        <v>1993</v>
      </c>
      <c r="H379">
        <v>65.94</v>
      </c>
      <c r="I379">
        <v>59.36</v>
      </c>
      <c r="K379" t="s">
        <v>15</v>
      </c>
    </row>
    <row r="380" spans="1:11" x14ac:dyDescent="0.3">
      <c r="A380" t="s">
        <v>405</v>
      </c>
      <c r="B380" t="s">
        <v>23</v>
      </c>
      <c r="C380" s="1">
        <v>44632</v>
      </c>
      <c r="D380" s="1">
        <v>44647</v>
      </c>
      <c r="E380" t="s">
        <v>26</v>
      </c>
      <c r="F380" t="s">
        <v>18</v>
      </c>
      <c r="G380">
        <v>677</v>
      </c>
      <c r="H380">
        <v>46.54</v>
      </c>
      <c r="I380">
        <v>43.11</v>
      </c>
      <c r="K380" t="s">
        <v>27</v>
      </c>
    </row>
    <row r="381" spans="1:11" x14ac:dyDescent="0.3">
      <c r="A381" t="s">
        <v>406</v>
      </c>
      <c r="B381" t="s">
        <v>12</v>
      </c>
      <c r="C381" s="1">
        <v>44812</v>
      </c>
      <c r="E381" t="s">
        <v>13</v>
      </c>
      <c r="F381" t="s">
        <v>35</v>
      </c>
      <c r="G381">
        <v>636</v>
      </c>
      <c r="H381">
        <v>53.64</v>
      </c>
      <c r="I381">
        <v>49.23</v>
      </c>
      <c r="J381">
        <v>18</v>
      </c>
      <c r="K381" t="s">
        <v>15</v>
      </c>
    </row>
    <row r="382" spans="1:11" x14ac:dyDescent="0.3">
      <c r="A382" t="s">
        <v>407</v>
      </c>
      <c r="B382" t="s">
        <v>29</v>
      </c>
      <c r="C382" s="1">
        <v>44940</v>
      </c>
      <c r="D382" s="1">
        <v>44959</v>
      </c>
      <c r="E382" t="s">
        <v>24</v>
      </c>
      <c r="F382" t="s">
        <v>18</v>
      </c>
      <c r="G382">
        <v>1698</v>
      </c>
      <c r="H382">
        <v>100.97</v>
      </c>
      <c r="I382">
        <v>98.73</v>
      </c>
      <c r="J382">
        <v>52</v>
      </c>
      <c r="K382" t="s">
        <v>15</v>
      </c>
    </row>
    <row r="383" spans="1:11" x14ac:dyDescent="0.3">
      <c r="A383" t="s">
        <v>408</v>
      </c>
      <c r="B383" t="s">
        <v>20</v>
      </c>
      <c r="C383" s="1">
        <v>44853</v>
      </c>
      <c r="D383" s="1">
        <v>44866</v>
      </c>
      <c r="E383" t="s">
        <v>13</v>
      </c>
      <c r="F383" t="s">
        <v>18</v>
      </c>
      <c r="G383">
        <v>1493</v>
      </c>
      <c r="H383">
        <v>24.87</v>
      </c>
      <c r="I383">
        <v>22.89</v>
      </c>
      <c r="J383">
        <v>56</v>
      </c>
      <c r="K383" t="s">
        <v>15</v>
      </c>
    </row>
    <row r="384" spans="1:11" x14ac:dyDescent="0.3">
      <c r="A384" t="s">
        <v>409</v>
      </c>
      <c r="B384" t="s">
        <v>12</v>
      </c>
      <c r="C384" s="1">
        <v>44723</v>
      </c>
      <c r="D384" s="1">
        <v>44737</v>
      </c>
      <c r="E384" t="s">
        <v>24</v>
      </c>
      <c r="F384" t="s">
        <v>18</v>
      </c>
      <c r="G384">
        <v>1495</v>
      </c>
      <c r="H384">
        <v>64.33</v>
      </c>
      <c r="I384">
        <v>58.18</v>
      </c>
      <c r="J384">
        <v>26</v>
      </c>
      <c r="K384" t="s">
        <v>15</v>
      </c>
    </row>
    <row r="385" spans="1:11" x14ac:dyDescent="0.3">
      <c r="A385" t="s">
        <v>410</v>
      </c>
      <c r="B385" t="s">
        <v>12</v>
      </c>
      <c r="C385" s="1">
        <v>45010</v>
      </c>
      <c r="D385" s="1">
        <v>45023</v>
      </c>
      <c r="E385" t="s">
        <v>24</v>
      </c>
      <c r="F385" t="s">
        <v>14</v>
      </c>
      <c r="G385">
        <v>153</v>
      </c>
      <c r="H385">
        <v>59.42</v>
      </c>
      <c r="I385">
        <v>52</v>
      </c>
      <c r="J385">
        <v>3</v>
      </c>
      <c r="K385" t="s">
        <v>15</v>
      </c>
    </row>
    <row r="386" spans="1:11" x14ac:dyDescent="0.3">
      <c r="A386" t="s">
        <v>411</v>
      </c>
      <c r="B386" t="s">
        <v>17</v>
      </c>
      <c r="C386" s="1">
        <v>45118</v>
      </c>
      <c r="D386" s="1">
        <v>45129</v>
      </c>
      <c r="E386" t="s">
        <v>26</v>
      </c>
      <c r="F386" t="s">
        <v>14</v>
      </c>
      <c r="G386">
        <v>1925</v>
      </c>
      <c r="H386">
        <v>70.88</v>
      </c>
      <c r="I386">
        <v>63.41</v>
      </c>
      <c r="J386">
        <v>292</v>
      </c>
      <c r="K386" t="s">
        <v>15</v>
      </c>
    </row>
    <row r="387" spans="1:11" x14ac:dyDescent="0.3">
      <c r="A387" t="s">
        <v>412</v>
      </c>
      <c r="B387" t="s">
        <v>23</v>
      </c>
      <c r="C387" s="1">
        <v>45282</v>
      </c>
      <c r="D387" s="1">
        <v>45302</v>
      </c>
      <c r="E387" t="s">
        <v>24</v>
      </c>
      <c r="F387" t="s">
        <v>18</v>
      </c>
      <c r="G387">
        <v>303</v>
      </c>
      <c r="H387">
        <v>12.97</v>
      </c>
      <c r="I387">
        <v>11.42</v>
      </c>
      <c r="K387" t="s">
        <v>27</v>
      </c>
    </row>
    <row r="388" spans="1:11" x14ac:dyDescent="0.3">
      <c r="A388" t="s">
        <v>413</v>
      </c>
      <c r="B388" t="s">
        <v>12</v>
      </c>
      <c r="C388" s="1">
        <v>44871</v>
      </c>
      <c r="D388" s="1">
        <v>44883</v>
      </c>
      <c r="E388" t="s">
        <v>13</v>
      </c>
      <c r="F388" t="s">
        <v>18</v>
      </c>
      <c r="G388">
        <v>1300</v>
      </c>
      <c r="H388">
        <v>92.92</v>
      </c>
      <c r="I388">
        <v>90.63</v>
      </c>
      <c r="K388" t="s">
        <v>15</v>
      </c>
    </row>
    <row r="389" spans="1:11" x14ac:dyDescent="0.3">
      <c r="A389" t="s">
        <v>414</v>
      </c>
      <c r="B389" t="s">
        <v>20</v>
      </c>
      <c r="C389" s="1">
        <v>45188</v>
      </c>
      <c r="D389" s="1">
        <v>45192</v>
      </c>
      <c r="E389" t="s">
        <v>26</v>
      </c>
      <c r="F389" t="s">
        <v>18</v>
      </c>
      <c r="G389">
        <v>1185</v>
      </c>
      <c r="H389">
        <v>103.28</v>
      </c>
      <c r="I389">
        <v>99.05</v>
      </c>
      <c r="K389" t="s">
        <v>15</v>
      </c>
    </row>
    <row r="390" spans="1:11" x14ac:dyDescent="0.3">
      <c r="A390" t="s">
        <v>415</v>
      </c>
      <c r="B390" t="s">
        <v>29</v>
      </c>
      <c r="C390" s="1">
        <v>45231</v>
      </c>
      <c r="D390" s="1">
        <v>45250</v>
      </c>
      <c r="E390" t="s">
        <v>26</v>
      </c>
      <c r="F390" t="s">
        <v>18</v>
      </c>
      <c r="G390">
        <v>559</v>
      </c>
      <c r="H390">
        <v>67.56</v>
      </c>
      <c r="I390">
        <v>57.98</v>
      </c>
      <c r="J390">
        <v>15</v>
      </c>
      <c r="K390" t="s">
        <v>15</v>
      </c>
    </row>
    <row r="391" spans="1:11" x14ac:dyDescent="0.3">
      <c r="A391" t="s">
        <v>416</v>
      </c>
      <c r="B391" t="s">
        <v>29</v>
      </c>
      <c r="C391" s="1">
        <v>45103</v>
      </c>
      <c r="D391" s="1">
        <v>45106</v>
      </c>
      <c r="E391" t="s">
        <v>39</v>
      </c>
      <c r="F391" t="s">
        <v>35</v>
      </c>
      <c r="G391">
        <v>1546</v>
      </c>
      <c r="H391">
        <v>78.88</v>
      </c>
      <c r="I391">
        <v>78</v>
      </c>
      <c r="J391">
        <v>38</v>
      </c>
      <c r="K391" t="s">
        <v>15</v>
      </c>
    </row>
    <row r="392" spans="1:11" x14ac:dyDescent="0.3">
      <c r="A392" t="s">
        <v>417</v>
      </c>
      <c r="B392" t="s">
        <v>29</v>
      </c>
      <c r="C392" s="1">
        <v>44570</v>
      </c>
      <c r="D392" s="1">
        <v>44580</v>
      </c>
      <c r="E392" t="s">
        <v>24</v>
      </c>
      <c r="F392" t="s">
        <v>18</v>
      </c>
      <c r="G392">
        <v>148</v>
      </c>
      <c r="H392">
        <v>93.02</v>
      </c>
      <c r="I392">
        <v>85.96</v>
      </c>
      <c r="J392">
        <v>4</v>
      </c>
      <c r="K392" t="s">
        <v>15</v>
      </c>
    </row>
    <row r="393" spans="1:11" x14ac:dyDescent="0.3">
      <c r="A393" t="s">
        <v>418</v>
      </c>
      <c r="B393" t="s">
        <v>17</v>
      </c>
      <c r="C393" s="1">
        <v>45245</v>
      </c>
      <c r="D393" s="1">
        <v>45253</v>
      </c>
      <c r="E393" t="s">
        <v>13</v>
      </c>
      <c r="F393" t="s">
        <v>18</v>
      </c>
      <c r="G393">
        <v>202</v>
      </c>
      <c r="H393">
        <v>81.75</v>
      </c>
      <c r="I393">
        <v>78.260000000000005</v>
      </c>
      <c r="J393">
        <v>37</v>
      </c>
      <c r="K393" t="s">
        <v>27</v>
      </c>
    </row>
    <row r="394" spans="1:11" x14ac:dyDescent="0.3">
      <c r="A394" t="s">
        <v>419</v>
      </c>
      <c r="B394" t="s">
        <v>20</v>
      </c>
      <c r="C394" s="1">
        <v>45129</v>
      </c>
      <c r="D394" s="1">
        <v>45135</v>
      </c>
      <c r="E394" t="s">
        <v>24</v>
      </c>
      <c r="F394" t="s">
        <v>18</v>
      </c>
      <c r="G394">
        <v>1934</v>
      </c>
      <c r="H394">
        <v>25.86</v>
      </c>
      <c r="I394">
        <v>25.6</v>
      </c>
      <c r="J394">
        <v>78</v>
      </c>
      <c r="K394" t="s">
        <v>15</v>
      </c>
    </row>
    <row r="395" spans="1:11" x14ac:dyDescent="0.3">
      <c r="A395" t="s">
        <v>420</v>
      </c>
      <c r="B395" t="s">
        <v>12</v>
      </c>
      <c r="C395" s="1">
        <v>44868</v>
      </c>
      <c r="D395" s="1">
        <v>44872</v>
      </c>
      <c r="E395" t="s">
        <v>13</v>
      </c>
      <c r="F395" t="s">
        <v>18</v>
      </c>
      <c r="G395">
        <v>963</v>
      </c>
      <c r="H395">
        <v>64.959999999999994</v>
      </c>
      <c r="I395">
        <v>64.069999999999993</v>
      </c>
      <c r="J395">
        <v>20</v>
      </c>
      <c r="K395" t="s">
        <v>15</v>
      </c>
    </row>
    <row r="396" spans="1:11" x14ac:dyDescent="0.3">
      <c r="A396" t="s">
        <v>421</v>
      </c>
      <c r="B396" t="s">
        <v>20</v>
      </c>
      <c r="C396" s="1">
        <v>45241</v>
      </c>
      <c r="D396" s="1">
        <v>45248</v>
      </c>
      <c r="E396" t="s">
        <v>21</v>
      </c>
      <c r="F396" t="s">
        <v>18</v>
      </c>
      <c r="G396">
        <v>1969</v>
      </c>
      <c r="H396">
        <v>71.709999999999994</v>
      </c>
      <c r="I396">
        <v>61.96</v>
      </c>
      <c r="K396" t="s">
        <v>15</v>
      </c>
    </row>
    <row r="397" spans="1:11" x14ac:dyDescent="0.3">
      <c r="A397" t="s">
        <v>422</v>
      </c>
      <c r="B397" t="s">
        <v>17</v>
      </c>
      <c r="C397" s="1">
        <v>44668</v>
      </c>
      <c r="E397" t="s">
        <v>39</v>
      </c>
      <c r="F397" t="s">
        <v>18</v>
      </c>
      <c r="G397">
        <v>927</v>
      </c>
      <c r="H397">
        <v>48.89</v>
      </c>
      <c r="I397">
        <v>46.05</v>
      </c>
      <c r="J397">
        <v>138</v>
      </c>
      <c r="K397" t="s">
        <v>15</v>
      </c>
    </row>
    <row r="398" spans="1:11" x14ac:dyDescent="0.3">
      <c r="A398" t="s">
        <v>423</v>
      </c>
      <c r="B398" t="s">
        <v>17</v>
      </c>
      <c r="C398" s="1">
        <v>44699</v>
      </c>
      <c r="D398" s="1">
        <v>44704</v>
      </c>
      <c r="E398" t="s">
        <v>26</v>
      </c>
      <c r="F398" t="s">
        <v>14</v>
      </c>
      <c r="G398">
        <v>387</v>
      </c>
      <c r="H398">
        <v>77.81</v>
      </c>
      <c r="I398">
        <v>69.040000000000006</v>
      </c>
      <c r="J398">
        <v>67</v>
      </c>
      <c r="K398" t="s">
        <v>15</v>
      </c>
    </row>
    <row r="399" spans="1:11" x14ac:dyDescent="0.3">
      <c r="A399" t="s">
        <v>424</v>
      </c>
      <c r="B399" t="s">
        <v>23</v>
      </c>
      <c r="C399" s="1">
        <v>44832</v>
      </c>
      <c r="D399" s="1">
        <v>44837</v>
      </c>
      <c r="E399" t="s">
        <v>39</v>
      </c>
      <c r="F399" t="s">
        <v>18</v>
      </c>
      <c r="G399">
        <v>1779</v>
      </c>
      <c r="H399">
        <v>97.86</v>
      </c>
      <c r="I399">
        <v>94.36</v>
      </c>
      <c r="J399">
        <v>176</v>
      </c>
      <c r="K399" t="s">
        <v>15</v>
      </c>
    </row>
    <row r="400" spans="1:11" x14ac:dyDescent="0.3">
      <c r="A400" t="s">
        <v>425</v>
      </c>
      <c r="B400" t="s">
        <v>20</v>
      </c>
      <c r="C400" s="1">
        <v>44680</v>
      </c>
      <c r="D400" s="1">
        <v>44686</v>
      </c>
      <c r="E400" t="s">
        <v>21</v>
      </c>
      <c r="F400" t="s">
        <v>35</v>
      </c>
      <c r="G400">
        <v>871</v>
      </c>
      <c r="H400">
        <v>94.7</v>
      </c>
      <c r="I400">
        <v>92.66</v>
      </c>
      <c r="J400">
        <v>46</v>
      </c>
      <c r="K400" t="s">
        <v>15</v>
      </c>
    </row>
    <row r="401" spans="1:11" x14ac:dyDescent="0.3">
      <c r="A401" t="s">
        <v>426</v>
      </c>
      <c r="B401" t="s">
        <v>29</v>
      </c>
      <c r="C401" s="1">
        <v>44671</v>
      </c>
      <c r="D401" s="1">
        <v>44674</v>
      </c>
      <c r="E401" t="s">
        <v>39</v>
      </c>
      <c r="F401" t="s">
        <v>18</v>
      </c>
      <c r="G401">
        <v>1236</v>
      </c>
      <c r="H401">
        <v>51.33</v>
      </c>
      <c r="I401">
        <v>44.03</v>
      </c>
      <c r="J401">
        <v>25</v>
      </c>
      <c r="K401" t="s">
        <v>15</v>
      </c>
    </row>
    <row r="402" spans="1:11" x14ac:dyDescent="0.3">
      <c r="A402" t="s">
        <v>427</v>
      </c>
      <c r="B402" t="s">
        <v>17</v>
      </c>
      <c r="C402" s="1">
        <v>45128</v>
      </c>
      <c r="D402" s="1">
        <v>45144</v>
      </c>
      <c r="E402" t="s">
        <v>39</v>
      </c>
      <c r="F402" t="s">
        <v>18</v>
      </c>
      <c r="G402">
        <v>1793</v>
      </c>
      <c r="H402">
        <v>22.01</v>
      </c>
      <c r="I402">
        <v>21.78</v>
      </c>
      <c r="J402">
        <v>285</v>
      </c>
      <c r="K402" t="s">
        <v>15</v>
      </c>
    </row>
    <row r="403" spans="1:11" x14ac:dyDescent="0.3">
      <c r="A403" t="s">
        <v>428</v>
      </c>
      <c r="B403" t="s">
        <v>17</v>
      </c>
      <c r="C403" s="1">
        <v>44721</v>
      </c>
      <c r="D403" s="1">
        <v>44740</v>
      </c>
      <c r="E403" t="s">
        <v>21</v>
      </c>
      <c r="F403" t="s">
        <v>18</v>
      </c>
      <c r="G403">
        <v>1006</v>
      </c>
      <c r="H403">
        <v>101.1</v>
      </c>
      <c r="I403">
        <v>89.04</v>
      </c>
      <c r="J403">
        <v>139</v>
      </c>
      <c r="K403" t="s">
        <v>15</v>
      </c>
    </row>
    <row r="404" spans="1:11" x14ac:dyDescent="0.3">
      <c r="A404" t="s">
        <v>429</v>
      </c>
      <c r="B404" t="s">
        <v>23</v>
      </c>
      <c r="C404" s="1">
        <v>44840</v>
      </c>
      <c r="D404" s="1">
        <v>44855</v>
      </c>
      <c r="E404" t="s">
        <v>39</v>
      </c>
      <c r="F404" t="s">
        <v>14</v>
      </c>
      <c r="G404">
        <v>1754</v>
      </c>
      <c r="H404">
        <v>89.35</v>
      </c>
      <c r="I404">
        <v>86.54</v>
      </c>
      <c r="J404">
        <v>161</v>
      </c>
      <c r="K404" t="s">
        <v>27</v>
      </c>
    </row>
    <row r="405" spans="1:11" x14ac:dyDescent="0.3">
      <c r="A405" t="s">
        <v>430</v>
      </c>
      <c r="B405" t="s">
        <v>29</v>
      </c>
      <c r="C405" s="1">
        <v>44850</v>
      </c>
      <c r="D405" s="1">
        <v>44869</v>
      </c>
      <c r="E405" t="s">
        <v>39</v>
      </c>
      <c r="F405" t="s">
        <v>18</v>
      </c>
      <c r="G405">
        <v>210</v>
      </c>
      <c r="H405">
        <v>22.17</v>
      </c>
      <c r="I405">
        <v>21.32</v>
      </c>
      <c r="J405">
        <v>10</v>
      </c>
      <c r="K405" t="s">
        <v>15</v>
      </c>
    </row>
    <row r="406" spans="1:11" x14ac:dyDescent="0.3">
      <c r="A406" t="s">
        <v>431</v>
      </c>
      <c r="B406" t="s">
        <v>17</v>
      </c>
      <c r="C406" s="1">
        <v>45181</v>
      </c>
      <c r="D406" s="1">
        <v>45201</v>
      </c>
      <c r="E406" t="s">
        <v>21</v>
      </c>
      <c r="F406" t="s">
        <v>18</v>
      </c>
      <c r="G406">
        <v>1653</v>
      </c>
      <c r="H406">
        <v>102.16</v>
      </c>
      <c r="I406">
        <v>91.91</v>
      </c>
      <c r="J406">
        <v>217</v>
      </c>
      <c r="K406" t="s">
        <v>15</v>
      </c>
    </row>
    <row r="407" spans="1:11" x14ac:dyDescent="0.3">
      <c r="A407" t="s">
        <v>432</v>
      </c>
      <c r="B407" t="s">
        <v>12</v>
      </c>
      <c r="C407" s="1">
        <v>44777</v>
      </c>
      <c r="D407" s="1">
        <v>44788</v>
      </c>
      <c r="E407" t="s">
        <v>21</v>
      </c>
      <c r="F407" t="s">
        <v>33</v>
      </c>
      <c r="G407">
        <v>850</v>
      </c>
      <c r="H407">
        <v>91.38</v>
      </c>
      <c r="I407">
        <v>88.41</v>
      </c>
      <c r="J407">
        <v>24</v>
      </c>
      <c r="K407" t="s">
        <v>15</v>
      </c>
    </row>
    <row r="408" spans="1:11" x14ac:dyDescent="0.3">
      <c r="A408" t="s">
        <v>433</v>
      </c>
      <c r="B408" t="s">
        <v>29</v>
      </c>
      <c r="C408" s="1">
        <v>44913</v>
      </c>
      <c r="D408" s="1">
        <v>44916</v>
      </c>
      <c r="E408" t="s">
        <v>26</v>
      </c>
      <c r="F408" t="s">
        <v>18</v>
      </c>
      <c r="G408">
        <v>447</v>
      </c>
      <c r="H408">
        <v>59.81</v>
      </c>
      <c r="I408">
        <v>57.92</v>
      </c>
      <c r="J408">
        <v>13</v>
      </c>
      <c r="K408" t="s">
        <v>15</v>
      </c>
    </row>
    <row r="409" spans="1:11" x14ac:dyDescent="0.3">
      <c r="A409" t="s">
        <v>434</v>
      </c>
      <c r="B409" t="s">
        <v>20</v>
      </c>
      <c r="C409" s="1">
        <v>44770</v>
      </c>
      <c r="D409" s="1">
        <v>44780</v>
      </c>
      <c r="E409" t="s">
        <v>13</v>
      </c>
      <c r="F409" t="s">
        <v>18</v>
      </c>
      <c r="G409">
        <v>1350</v>
      </c>
      <c r="H409">
        <v>65.11</v>
      </c>
      <c r="I409">
        <v>56.95</v>
      </c>
      <c r="J409">
        <v>71</v>
      </c>
      <c r="K409" t="s">
        <v>15</v>
      </c>
    </row>
    <row r="410" spans="1:11" x14ac:dyDescent="0.3">
      <c r="A410" t="s">
        <v>435</v>
      </c>
      <c r="B410" t="s">
        <v>23</v>
      </c>
      <c r="C410" s="1">
        <v>45265</v>
      </c>
      <c r="D410" s="1">
        <v>45284</v>
      </c>
      <c r="E410" t="s">
        <v>13</v>
      </c>
      <c r="F410" t="s">
        <v>18</v>
      </c>
      <c r="G410">
        <v>865</v>
      </c>
      <c r="H410">
        <v>51.19</v>
      </c>
      <c r="I410">
        <v>47.76</v>
      </c>
      <c r="J410">
        <v>83</v>
      </c>
      <c r="K410" t="s">
        <v>15</v>
      </c>
    </row>
    <row r="411" spans="1:11" x14ac:dyDescent="0.3">
      <c r="A411" t="s">
        <v>436</v>
      </c>
      <c r="B411" t="s">
        <v>12</v>
      </c>
      <c r="C411" s="1">
        <v>45211</v>
      </c>
      <c r="D411" s="1">
        <v>45228</v>
      </c>
      <c r="E411" t="s">
        <v>21</v>
      </c>
      <c r="F411" t="s">
        <v>18</v>
      </c>
      <c r="G411">
        <v>1989</v>
      </c>
      <c r="H411">
        <v>16.5</v>
      </c>
      <c r="I411">
        <v>15.89</v>
      </c>
      <c r="J411">
        <v>57</v>
      </c>
      <c r="K411" t="s">
        <v>15</v>
      </c>
    </row>
    <row r="412" spans="1:11" x14ac:dyDescent="0.3">
      <c r="A412" t="s">
        <v>437</v>
      </c>
      <c r="B412" t="s">
        <v>12</v>
      </c>
      <c r="C412" s="1">
        <v>44832</v>
      </c>
      <c r="D412" s="1">
        <v>44847</v>
      </c>
      <c r="E412" t="s">
        <v>13</v>
      </c>
      <c r="F412" t="s">
        <v>18</v>
      </c>
      <c r="G412">
        <v>1577</v>
      </c>
      <c r="H412">
        <v>41.77</v>
      </c>
      <c r="I412">
        <v>39.58</v>
      </c>
      <c r="J412">
        <v>32</v>
      </c>
      <c r="K412" t="s">
        <v>15</v>
      </c>
    </row>
    <row r="413" spans="1:11" x14ac:dyDescent="0.3">
      <c r="A413" t="s">
        <v>438</v>
      </c>
      <c r="B413" t="s">
        <v>20</v>
      </c>
      <c r="C413" s="1">
        <v>45079</v>
      </c>
      <c r="D413" s="1">
        <v>45081</v>
      </c>
      <c r="E413" t="s">
        <v>24</v>
      </c>
      <c r="F413" t="s">
        <v>35</v>
      </c>
      <c r="G413">
        <v>1969</v>
      </c>
      <c r="H413">
        <v>89.25</v>
      </c>
      <c r="I413">
        <v>87.28</v>
      </c>
      <c r="J413">
        <v>108</v>
      </c>
      <c r="K413" t="s">
        <v>27</v>
      </c>
    </row>
    <row r="414" spans="1:11" x14ac:dyDescent="0.3">
      <c r="A414" t="s">
        <v>439</v>
      </c>
      <c r="B414" t="s">
        <v>23</v>
      </c>
      <c r="C414" s="1">
        <v>45062</v>
      </c>
      <c r="D414" s="1">
        <v>45072</v>
      </c>
      <c r="E414" t="s">
        <v>24</v>
      </c>
      <c r="F414" t="s">
        <v>33</v>
      </c>
      <c r="G414">
        <v>1465</v>
      </c>
      <c r="H414">
        <v>11.25</v>
      </c>
      <c r="I414">
        <v>9.61</v>
      </c>
      <c r="J414">
        <v>151</v>
      </c>
      <c r="K414" t="s">
        <v>15</v>
      </c>
    </row>
    <row r="415" spans="1:11" x14ac:dyDescent="0.3">
      <c r="A415" t="s">
        <v>440</v>
      </c>
      <c r="B415" t="s">
        <v>17</v>
      </c>
      <c r="C415" s="1">
        <v>44819</v>
      </c>
      <c r="D415" s="1">
        <v>44822</v>
      </c>
      <c r="E415" t="s">
        <v>24</v>
      </c>
      <c r="F415" t="s">
        <v>35</v>
      </c>
      <c r="G415">
        <v>1208</v>
      </c>
      <c r="H415">
        <v>41.62</v>
      </c>
      <c r="I415">
        <v>39.46</v>
      </c>
      <c r="K415" t="s">
        <v>15</v>
      </c>
    </row>
    <row r="416" spans="1:11" x14ac:dyDescent="0.3">
      <c r="A416" t="s">
        <v>441</v>
      </c>
      <c r="B416" t="s">
        <v>23</v>
      </c>
      <c r="C416" s="1">
        <v>44614</v>
      </c>
      <c r="D416" s="1">
        <v>44631</v>
      </c>
      <c r="E416" t="s">
        <v>26</v>
      </c>
      <c r="F416" t="s">
        <v>18</v>
      </c>
      <c r="G416">
        <v>1268</v>
      </c>
      <c r="H416">
        <v>46.06</v>
      </c>
      <c r="I416">
        <v>45.26</v>
      </c>
      <c r="J416">
        <v>123</v>
      </c>
      <c r="K416" t="s">
        <v>15</v>
      </c>
    </row>
    <row r="417" spans="1:11" x14ac:dyDescent="0.3">
      <c r="A417" t="s">
        <v>442</v>
      </c>
      <c r="B417" t="s">
        <v>17</v>
      </c>
      <c r="C417" s="1">
        <v>44656</v>
      </c>
      <c r="D417" s="1">
        <v>44675</v>
      </c>
      <c r="E417" t="s">
        <v>13</v>
      </c>
      <c r="F417" t="s">
        <v>18</v>
      </c>
      <c r="G417">
        <v>450</v>
      </c>
      <c r="H417">
        <v>59.24</v>
      </c>
      <c r="I417">
        <v>55.03</v>
      </c>
      <c r="J417">
        <v>68</v>
      </c>
      <c r="K417" t="s">
        <v>27</v>
      </c>
    </row>
    <row r="418" spans="1:11" x14ac:dyDescent="0.3">
      <c r="A418" t="s">
        <v>443</v>
      </c>
      <c r="B418" t="s">
        <v>20</v>
      </c>
      <c r="C418" s="1">
        <v>45211</v>
      </c>
      <c r="D418" s="1">
        <v>45213</v>
      </c>
      <c r="E418" t="s">
        <v>39</v>
      </c>
      <c r="F418" t="s">
        <v>33</v>
      </c>
      <c r="G418">
        <v>689</v>
      </c>
      <c r="H418">
        <v>102.53</v>
      </c>
      <c r="I418">
        <v>95.23</v>
      </c>
      <c r="J418">
        <v>38</v>
      </c>
      <c r="K418" t="s">
        <v>15</v>
      </c>
    </row>
    <row r="419" spans="1:11" x14ac:dyDescent="0.3">
      <c r="A419" t="s">
        <v>444</v>
      </c>
      <c r="B419" t="s">
        <v>20</v>
      </c>
      <c r="C419" s="1">
        <v>44995</v>
      </c>
      <c r="D419" s="1">
        <v>45014</v>
      </c>
      <c r="E419" t="s">
        <v>21</v>
      </c>
      <c r="F419" t="s">
        <v>18</v>
      </c>
      <c r="G419">
        <v>1106</v>
      </c>
      <c r="H419">
        <v>44.05</v>
      </c>
      <c r="I419">
        <v>38.6</v>
      </c>
      <c r="J419">
        <v>51</v>
      </c>
      <c r="K419" t="s">
        <v>15</v>
      </c>
    </row>
    <row r="420" spans="1:11" x14ac:dyDescent="0.3">
      <c r="A420" t="s">
        <v>445</v>
      </c>
      <c r="B420" t="s">
        <v>12</v>
      </c>
      <c r="C420" s="1">
        <v>44845</v>
      </c>
      <c r="D420" s="1">
        <v>44856</v>
      </c>
      <c r="E420" t="s">
        <v>13</v>
      </c>
      <c r="F420" t="s">
        <v>18</v>
      </c>
      <c r="G420">
        <v>737</v>
      </c>
      <c r="H420">
        <v>43.08</v>
      </c>
      <c r="I420">
        <v>42.58</v>
      </c>
      <c r="J420">
        <v>21</v>
      </c>
      <c r="K420" t="s">
        <v>15</v>
      </c>
    </row>
    <row r="421" spans="1:11" x14ac:dyDescent="0.3">
      <c r="A421" t="s">
        <v>446</v>
      </c>
      <c r="B421" t="s">
        <v>12</v>
      </c>
      <c r="C421" s="1">
        <v>44607</v>
      </c>
      <c r="D421" s="1">
        <v>44624</v>
      </c>
      <c r="E421" t="s">
        <v>26</v>
      </c>
      <c r="F421" t="s">
        <v>18</v>
      </c>
      <c r="G421">
        <v>509</v>
      </c>
      <c r="H421">
        <v>76.760000000000005</v>
      </c>
      <c r="I421">
        <v>74.72</v>
      </c>
      <c r="J421">
        <v>7</v>
      </c>
      <c r="K421" t="s">
        <v>27</v>
      </c>
    </row>
    <row r="422" spans="1:11" x14ac:dyDescent="0.3">
      <c r="A422" t="s">
        <v>447</v>
      </c>
      <c r="B422" t="s">
        <v>12</v>
      </c>
      <c r="C422" s="1">
        <v>44565</v>
      </c>
      <c r="D422" s="1">
        <v>44567</v>
      </c>
      <c r="E422" t="s">
        <v>39</v>
      </c>
      <c r="F422" t="s">
        <v>18</v>
      </c>
      <c r="G422">
        <v>1004</v>
      </c>
      <c r="H422">
        <v>50.7</v>
      </c>
      <c r="I422">
        <v>46.59</v>
      </c>
      <c r="J422">
        <v>27</v>
      </c>
      <c r="K422" t="s">
        <v>15</v>
      </c>
    </row>
    <row r="423" spans="1:11" x14ac:dyDescent="0.3">
      <c r="A423" t="s">
        <v>448</v>
      </c>
      <c r="B423" t="s">
        <v>20</v>
      </c>
      <c r="C423" s="1">
        <v>44903</v>
      </c>
      <c r="D423" s="1">
        <v>44914</v>
      </c>
      <c r="E423" t="s">
        <v>21</v>
      </c>
      <c r="F423" t="s">
        <v>35</v>
      </c>
      <c r="G423">
        <v>1956</v>
      </c>
      <c r="H423">
        <v>31.88</v>
      </c>
      <c r="I423">
        <v>28.48</v>
      </c>
      <c r="J423">
        <v>86</v>
      </c>
      <c r="K423" t="s">
        <v>15</v>
      </c>
    </row>
    <row r="424" spans="1:11" x14ac:dyDescent="0.3">
      <c r="A424" t="s">
        <v>449</v>
      </c>
      <c r="B424" t="s">
        <v>17</v>
      </c>
      <c r="C424" s="1">
        <v>44695</v>
      </c>
      <c r="E424" t="s">
        <v>39</v>
      </c>
      <c r="F424" t="s">
        <v>18</v>
      </c>
      <c r="G424">
        <v>519</v>
      </c>
      <c r="H424">
        <v>51.73</v>
      </c>
      <c r="I424">
        <v>47.52</v>
      </c>
      <c r="J424">
        <v>81</v>
      </c>
      <c r="K424" t="s">
        <v>27</v>
      </c>
    </row>
    <row r="425" spans="1:11" x14ac:dyDescent="0.3">
      <c r="A425" t="s">
        <v>450</v>
      </c>
      <c r="B425" t="s">
        <v>20</v>
      </c>
      <c r="C425" s="1">
        <v>45214</v>
      </c>
      <c r="D425" s="1">
        <v>45220</v>
      </c>
      <c r="E425" t="s">
        <v>21</v>
      </c>
      <c r="F425" t="s">
        <v>33</v>
      </c>
      <c r="G425">
        <v>1448</v>
      </c>
      <c r="H425">
        <v>25.06</v>
      </c>
      <c r="I425">
        <v>21.62</v>
      </c>
      <c r="J425">
        <v>84</v>
      </c>
      <c r="K425" t="s">
        <v>15</v>
      </c>
    </row>
    <row r="426" spans="1:11" x14ac:dyDescent="0.3">
      <c r="A426" t="s">
        <v>451</v>
      </c>
      <c r="B426" t="s">
        <v>20</v>
      </c>
      <c r="C426" s="1">
        <v>44830</v>
      </c>
      <c r="D426" s="1">
        <v>44845</v>
      </c>
      <c r="E426" t="s">
        <v>24</v>
      </c>
      <c r="F426" t="s">
        <v>18</v>
      </c>
      <c r="G426">
        <v>1095</v>
      </c>
      <c r="H426">
        <v>26.91</v>
      </c>
      <c r="I426">
        <v>23.75</v>
      </c>
      <c r="J426">
        <v>53</v>
      </c>
      <c r="K426" t="s">
        <v>15</v>
      </c>
    </row>
    <row r="427" spans="1:11" x14ac:dyDescent="0.3">
      <c r="A427" t="s">
        <v>452</v>
      </c>
      <c r="B427" t="s">
        <v>12</v>
      </c>
      <c r="C427" s="1">
        <v>44727</v>
      </c>
      <c r="E427" t="s">
        <v>21</v>
      </c>
      <c r="F427" t="s">
        <v>18</v>
      </c>
      <c r="G427">
        <v>799</v>
      </c>
      <c r="H427">
        <v>56.22</v>
      </c>
      <c r="I427">
        <v>49.51</v>
      </c>
      <c r="J427">
        <v>18</v>
      </c>
      <c r="K427" t="s">
        <v>15</v>
      </c>
    </row>
    <row r="428" spans="1:11" x14ac:dyDescent="0.3">
      <c r="A428" t="s">
        <v>453</v>
      </c>
      <c r="B428" t="s">
        <v>23</v>
      </c>
      <c r="C428" s="1">
        <v>45014</v>
      </c>
      <c r="D428" s="1">
        <v>45034</v>
      </c>
      <c r="E428" t="s">
        <v>21</v>
      </c>
      <c r="F428" t="s">
        <v>33</v>
      </c>
      <c r="G428">
        <v>1743</v>
      </c>
      <c r="H428">
        <v>51.04</v>
      </c>
      <c r="I428">
        <v>47.15</v>
      </c>
      <c r="J428">
        <v>160</v>
      </c>
      <c r="K428" t="s">
        <v>15</v>
      </c>
    </row>
    <row r="429" spans="1:11" x14ac:dyDescent="0.3">
      <c r="A429" t="s">
        <v>454</v>
      </c>
      <c r="B429" t="s">
        <v>12</v>
      </c>
      <c r="C429" s="1">
        <v>45126</v>
      </c>
      <c r="D429" s="1">
        <v>45138</v>
      </c>
      <c r="E429" t="s">
        <v>26</v>
      </c>
      <c r="F429" t="s">
        <v>18</v>
      </c>
      <c r="G429">
        <v>87</v>
      </c>
      <c r="H429">
        <v>100.65</v>
      </c>
      <c r="I429">
        <v>85.56</v>
      </c>
      <c r="J429">
        <v>1</v>
      </c>
      <c r="K429" t="s">
        <v>15</v>
      </c>
    </row>
    <row r="430" spans="1:11" x14ac:dyDescent="0.3">
      <c r="A430" t="s">
        <v>455</v>
      </c>
      <c r="B430" t="s">
        <v>23</v>
      </c>
      <c r="C430" s="1">
        <v>45284</v>
      </c>
      <c r="E430" t="s">
        <v>26</v>
      </c>
      <c r="F430" t="s">
        <v>18</v>
      </c>
      <c r="G430">
        <v>279</v>
      </c>
      <c r="H430">
        <v>47.52</v>
      </c>
      <c r="I430">
        <v>46.5</v>
      </c>
      <c r="J430">
        <v>28</v>
      </c>
      <c r="K430" t="s">
        <v>27</v>
      </c>
    </row>
    <row r="431" spans="1:11" x14ac:dyDescent="0.3">
      <c r="A431" t="s">
        <v>456</v>
      </c>
      <c r="B431" t="s">
        <v>17</v>
      </c>
      <c r="C431" s="1">
        <v>44999</v>
      </c>
      <c r="D431" s="1">
        <v>45010</v>
      </c>
      <c r="E431" t="s">
        <v>26</v>
      </c>
      <c r="F431" t="s">
        <v>18</v>
      </c>
      <c r="G431">
        <v>1438</v>
      </c>
      <c r="H431">
        <v>66.61</v>
      </c>
      <c r="I431">
        <v>58.5</v>
      </c>
      <c r="J431">
        <v>237</v>
      </c>
      <c r="K431" t="s">
        <v>15</v>
      </c>
    </row>
    <row r="432" spans="1:11" x14ac:dyDescent="0.3">
      <c r="A432" t="s">
        <v>457</v>
      </c>
      <c r="B432" t="s">
        <v>17</v>
      </c>
      <c r="C432" s="1">
        <v>45136</v>
      </c>
      <c r="D432" s="1">
        <v>45138</v>
      </c>
      <c r="E432" t="s">
        <v>13</v>
      </c>
      <c r="F432" t="s">
        <v>33</v>
      </c>
      <c r="G432">
        <v>612</v>
      </c>
      <c r="H432">
        <v>72.930000000000007</v>
      </c>
      <c r="I432">
        <v>63.32</v>
      </c>
      <c r="J432">
        <v>99</v>
      </c>
      <c r="K432" t="s">
        <v>15</v>
      </c>
    </row>
    <row r="433" spans="1:11" x14ac:dyDescent="0.3">
      <c r="A433" t="s">
        <v>458</v>
      </c>
      <c r="B433" t="s">
        <v>29</v>
      </c>
      <c r="C433" s="1">
        <v>44571</v>
      </c>
      <c r="D433" s="1">
        <v>44582</v>
      </c>
      <c r="E433" t="s">
        <v>24</v>
      </c>
      <c r="F433" t="s">
        <v>35</v>
      </c>
      <c r="G433">
        <v>487</v>
      </c>
      <c r="H433">
        <v>11.18</v>
      </c>
      <c r="I433">
        <v>10.63</v>
      </c>
      <c r="J433">
        <v>15</v>
      </c>
      <c r="K433" t="s">
        <v>15</v>
      </c>
    </row>
    <row r="434" spans="1:11" x14ac:dyDescent="0.3">
      <c r="A434" t="s">
        <v>459</v>
      </c>
      <c r="B434" t="s">
        <v>29</v>
      </c>
      <c r="C434" s="1">
        <v>44676</v>
      </c>
      <c r="D434" s="1">
        <v>44680</v>
      </c>
      <c r="E434" t="s">
        <v>24</v>
      </c>
      <c r="F434" t="s">
        <v>33</v>
      </c>
      <c r="G434">
        <v>1849</v>
      </c>
      <c r="H434">
        <v>70.760000000000005</v>
      </c>
      <c r="I434">
        <v>69.25</v>
      </c>
      <c r="J434">
        <v>51</v>
      </c>
      <c r="K434" t="s">
        <v>15</v>
      </c>
    </row>
    <row r="435" spans="1:11" x14ac:dyDescent="0.3">
      <c r="A435" t="s">
        <v>460</v>
      </c>
      <c r="B435" t="s">
        <v>29</v>
      </c>
      <c r="C435" s="1">
        <v>44639</v>
      </c>
      <c r="D435" s="1">
        <v>44652</v>
      </c>
      <c r="E435" t="s">
        <v>21</v>
      </c>
      <c r="F435" t="s">
        <v>33</v>
      </c>
      <c r="G435">
        <v>1356</v>
      </c>
      <c r="H435">
        <v>26.28</v>
      </c>
      <c r="I435">
        <v>25.44</v>
      </c>
      <c r="J435">
        <v>47</v>
      </c>
      <c r="K435" t="s">
        <v>15</v>
      </c>
    </row>
    <row r="436" spans="1:11" x14ac:dyDescent="0.3">
      <c r="A436" t="s">
        <v>461</v>
      </c>
      <c r="B436" t="s">
        <v>17</v>
      </c>
      <c r="C436" s="1">
        <v>45269</v>
      </c>
      <c r="D436" s="1">
        <v>45289</v>
      </c>
      <c r="E436" t="s">
        <v>26</v>
      </c>
      <c r="F436" t="s">
        <v>18</v>
      </c>
      <c r="G436">
        <v>76</v>
      </c>
      <c r="H436">
        <v>107.59</v>
      </c>
      <c r="I436">
        <v>96.33</v>
      </c>
      <c r="J436">
        <v>10</v>
      </c>
      <c r="K436" t="s">
        <v>15</v>
      </c>
    </row>
    <row r="437" spans="1:11" x14ac:dyDescent="0.3">
      <c r="A437" t="s">
        <v>462</v>
      </c>
      <c r="B437" t="s">
        <v>12</v>
      </c>
      <c r="C437" s="1">
        <v>44714</v>
      </c>
      <c r="D437" s="1">
        <v>44725</v>
      </c>
      <c r="E437" t="s">
        <v>24</v>
      </c>
      <c r="F437" t="s">
        <v>33</v>
      </c>
      <c r="G437">
        <v>275</v>
      </c>
      <c r="H437">
        <v>23.96</v>
      </c>
      <c r="I437">
        <v>20.440000000000001</v>
      </c>
      <c r="K437" t="s">
        <v>15</v>
      </c>
    </row>
    <row r="438" spans="1:11" x14ac:dyDescent="0.3">
      <c r="A438" t="s">
        <v>463</v>
      </c>
      <c r="B438" t="s">
        <v>12</v>
      </c>
      <c r="C438" s="1">
        <v>45120</v>
      </c>
      <c r="D438" s="1">
        <v>45125</v>
      </c>
      <c r="E438" t="s">
        <v>24</v>
      </c>
      <c r="F438" t="s">
        <v>18</v>
      </c>
      <c r="G438">
        <v>1350</v>
      </c>
      <c r="H438">
        <v>51.57</v>
      </c>
      <c r="I438">
        <v>48.07</v>
      </c>
      <c r="K438" t="s">
        <v>15</v>
      </c>
    </row>
    <row r="439" spans="1:11" x14ac:dyDescent="0.3">
      <c r="A439" t="s">
        <v>464</v>
      </c>
      <c r="B439" t="s">
        <v>12</v>
      </c>
      <c r="C439" s="1">
        <v>44598</v>
      </c>
      <c r="E439" t="s">
        <v>21</v>
      </c>
      <c r="F439" t="s">
        <v>18</v>
      </c>
      <c r="G439">
        <v>847</v>
      </c>
      <c r="H439">
        <v>17.77</v>
      </c>
      <c r="I439">
        <v>17.39</v>
      </c>
      <c r="K439" t="s">
        <v>15</v>
      </c>
    </row>
    <row r="440" spans="1:11" x14ac:dyDescent="0.3">
      <c r="A440" t="s">
        <v>465</v>
      </c>
      <c r="B440" t="s">
        <v>20</v>
      </c>
      <c r="C440" s="1">
        <v>44940</v>
      </c>
      <c r="D440" s="1">
        <v>44953</v>
      </c>
      <c r="E440" t="s">
        <v>21</v>
      </c>
      <c r="F440" t="s">
        <v>18</v>
      </c>
      <c r="G440">
        <v>1682</v>
      </c>
      <c r="H440">
        <v>105.7</v>
      </c>
      <c r="I440">
        <v>101.3</v>
      </c>
      <c r="J440">
        <v>94</v>
      </c>
      <c r="K440" t="s">
        <v>15</v>
      </c>
    </row>
    <row r="441" spans="1:11" x14ac:dyDescent="0.3">
      <c r="A441" t="s">
        <v>466</v>
      </c>
      <c r="B441" t="s">
        <v>29</v>
      </c>
      <c r="C441" s="1">
        <v>45158</v>
      </c>
      <c r="D441" s="1">
        <v>45161</v>
      </c>
      <c r="E441" t="s">
        <v>39</v>
      </c>
      <c r="F441" t="s">
        <v>18</v>
      </c>
      <c r="G441">
        <v>333</v>
      </c>
      <c r="H441">
        <v>60.44</v>
      </c>
      <c r="I441">
        <v>58.54</v>
      </c>
      <c r="J441">
        <v>8</v>
      </c>
      <c r="K441" t="s">
        <v>15</v>
      </c>
    </row>
    <row r="442" spans="1:11" x14ac:dyDescent="0.3">
      <c r="A442" t="s">
        <v>467</v>
      </c>
      <c r="B442" t="s">
        <v>12</v>
      </c>
      <c r="C442" s="1">
        <v>45127</v>
      </c>
      <c r="D442" s="1">
        <v>45140</v>
      </c>
      <c r="E442" t="s">
        <v>39</v>
      </c>
      <c r="F442" t="s">
        <v>14</v>
      </c>
      <c r="G442">
        <v>928</v>
      </c>
      <c r="H442">
        <v>69.31</v>
      </c>
      <c r="I442">
        <v>67.260000000000005</v>
      </c>
      <c r="J442">
        <v>20</v>
      </c>
      <c r="K442" t="s">
        <v>15</v>
      </c>
    </row>
    <row r="443" spans="1:11" x14ac:dyDescent="0.3">
      <c r="A443" t="s">
        <v>468</v>
      </c>
      <c r="B443" t="s">
        <v>29</v>
      </c>
      <c r="C443" s="1">
        <v>44713</v>
      </c>
      <c r="D443" s="1">
        <v>44724</v>
      </c>
      <c r="E443" t="s">
        <v>21</v>
      </c>
      <c r="F443" t="s">
        <v>33</v>
      </c>
      <c r="G443">
        <v>1009</v>
      </c>
      <c r="H443">
        <v>16.440000000000001</v>
      </c>
      <c r="I443">
        <v>16.18</v>
      </c>
      <c r="K443" t="s">
        <v>15</v>
      </c>
    </row>
    <row r="444" spans="1:11" x14ac:dyDescent="0.3">
      <c r="A444" t="s">
        <v>469</v>
      </c>
      <c r="B444" t="s">
        <v>29</v>
      </c>
      <c r="C444" s="1">
        <v>45002</v>
      </c>
      <c r="D444" s="1">
        <v>45019</v>
      </c>
      <c r="E444" t="s">
        <v>39</v>
      </c>
      <c r="F444" t="s">
        <v>35</v>
      </c>
      <c r="G444">
        <v>1554</v>
      </c>
      <c r="H444">
        <v>82.92</v>
      </c>
      <c r="I444">
        <v>74.819999999999993</v>
      </c>
      <c r="J444">
        <v>44</v>
      </c>
      <c r="K444" t="s">
        <v>15</v>
      </c>
    </row>
    <row r="445" spans="1:11" x14ac:dyDescent="0.3">
      <c r="A445" t="s">
        <v>470</v>
      </c>
      <c r="B445" t="s">
        <v>20</v>
      </c>
      <c r="C445" s="1">
        <v>44692</v>
      </c>
      <c r="D445" s="1">
        <v>44706</v>
      </c>
      <c r="E445" t="s">
        <v>24</v>
      </c>
      <c r="F445" t="s">
        <v>33</v>
      </c>
      <c r="G445">
        <v>502</v>
      </c>
      <c r="H445">
        <v>29.47</v>
      </c>
      <c r="I445">
        <v>28.94</v>
      </c>
      <c r="J445">
        <v>27</v>
      </c>
      <c r="K445" t="s">
        <v>15</v>
      </c>
    </row>
    <row r="446" spans="1:11" x14ac:dyDescent="0.3">
      <c r="A446" t="s">
        <v>471</v>
      </c>
      <c r="B446" t="s">
        <v>17</v>
      </c>
      <c r="C446" s="1">
        <v>44604</v>
      </c>
      <c r="D446" s="1">
        <v>44605</v>
      </c>
      <c r="E446" t="s">
        <v>21</v>
      </c>
      <c r="F446" t="s">
        <v>18</v>
      </c>
      <c r="G446">
        <v>1069</v>
      </c>
      <c r="H446">
        <v>91.28</v>
      </c>
      <c r="I446">
        <v>82.64</v>
      </c>
      <c r="K446" t="s">
        <v>15</v>
      </c>
    </row>
    <row r="447" spans="1:11" x14ac:dyDescent="0.3">
      <c r="A447" t="s">
        <v>472</v>
      </c>
      <c r="B447" t="s">
        <v>12</v>
      </c>
      <c r="C447" s="1">
        <v>44877</v>
      </c>
      <c r="D447" s="1">
        <v>44883</v>
      </c>
      <c r="E447" t="s">
        <v>21</v>
      </c>
      <c r="F447" t="s">
        <v>35</v>
      </c>
      <c r="G447">
        <v>1902</v>
      </c>
      <c r="H447">
        <v>29.89</v>
      </c>
      <c r="I447">
        <v>25.83</v>
      </c>
      <c r="J447">
        <v>41</v>
      </c>
      <c r="K447" t="s">
        <v>15</v>
      </c>
    </row>
    <row r="448" spans="1:11" x14ac:dyDescent="0.3">
      <c r="A448" t="s">
        <v>473</v>
      </c>
      <c r="B448" t="s">
        <v>20</v>
      </c>
      <c r="C448" s="1">
        <v>44935</v>
      </c>
      <c r="E448" t="s">
        <v>26</v>
      </c>
      <c r="F448" t="s">
        <v>35</v>
      </c>
      <c r="G448">
        <v>865</v>
      </c>
      <c r="H448">
        <v>28.79</v>
      </c>
      <c r="I448">
        <v>25.69</v>
      </c>
      <c r="J448">
        <v>47</v>
      </c>
      <c r="K448" t="s">
        <v>15</v>
      </c>
    </row>
    <row r="449" spans="1:11" x14ac:dyDescent="0.3">
      <c r="A449" t="s">
        <v>474</v>
      </c>
      <c r="B449" t="s">
        <v>17</v>
      </c>
      <c r="C449" s="1">
        <v>44602</v>
      </c>
      <c r="D449" s="1">
        <v>44618</v>
      </c>
      <c r="E449" t="s">
        <v>24</v>
      </c>
      <c r="F449" t="s">
        <v>33</v>
      </c>
      <c r="G449">
        <v>708</v>
      </c>
      <c r="H449">
        <v>13.36</v>
      </c>
      <c r="I449">
        <v>11.61</v>
      </c>
      <c r="K449" t="s">
        <v>27</v>
      </c>
    </row>
    <row r="450" spans="1:11" x14ac:dyDescent="0.3">
      <c r="A450" t="s">
        <v>475</v>
      </c>
      <c r="B450" t="s">
        <v>17</v>
      </c>
      <c r="C450" s="1">
        <v>44928</v>
      </c>
      <c r="D450" s="1">
        <v>44933</v>
      </c>
      <c r="E450" t="s">
        <v>24</v>
      </c>
      <c r="F450" t="s">
        <v>18</v>
      </c>
      <c r="G450">
        <v>1589</v>
      </c>
      <c r="H450">
        <v>55.64</v>
      </c>
      <c r="I450">
        <v>48.52</v>
      </c>
      <c r="K450" t="s">
        <v>15</v>
      </c>
    </row>
    <row r="451" spans="1:11" x14ac:dyDescent="0.3">
      <c r="A451" t="s">
        <v>476</v>
      </c>
      <c r="B451" t="s">
        <v>12</v>
      </c>
      <c r="C451" s="1">
        <v>44777</v>
      </c>
      <c r="D451" s="1">
        <v>44787</v>
      </c>
      <c r="E451" t="s">
        <v>13</v>
      </c>
      <c r="F451" t="s">
        <v>18</v>
      </c>
      <c r="G451">
        <v>596</v>
      </c>
      <c r="H451">
        <v>62.96</v>
      </c>
      <c r="I451">
        <v>61.88</v>
      </c>
      <c r="J451">
        <v>9</v>
      </c>
      <c r="K451" t="s">
        <v>15</v>
      </c>
    </row>
    <row r="452" spans="1:11" x14ac:dyDescent="0.3">
      <c r="A452" t="s">
        <v>477</v>
      </c>
      <c r="B452" t="s">
        <v>29</v>
      </c>
      <c r="C452" s="1">
        <v>45260</v>
      </c>
      <c r="D452" s="1">
        <v>45264</v>
      </c>
      <c r="E452" t="s">
        <v>13</v>
      </c>
      <c r="F452" t="s">
        <v>18</v>
      </c>
      <c r="G452">
        <v>1265</v>
      </c>
      <c r="H452">
        <v>17.66</v>
      </c>
      <c r="I452">
        <v>16.97</v>
      </c>
      <c r="J452">
        <v>34</v>
      </c>
      <c r="K452" t="s">
        <v>15</v>
      </c>
    </row>
    <row r="453" spans="1:11" x14ac:dyDescent="0.3">
      <c r="A453" t="s">
        <v>478</v>
      </c>
      <c r="B453" t="s">
        <v>23</v>
      </c>
      <c r="C453" s="1">
        <v>44817</v>
      </c>
      <c r="D453" s="1">
        <v>44835</v>
      </c>
      <c r="E453" t="s">
        <v>26</v>
      </c>
      <c r="F453" t="s">
        <v>18</v>
      </c>
      <c r="G453">
        <v>1122</v>
      </c>
      <c r="H453">
        <v>82.99</v>
      </c>
      <c r="I453">
        <v>81.7</v>
      </c>
      <c r="J453">
        <v>118</v>
      </c>
      <c r="K453" t="s">
        <v>27</v>
      </c>
    </row>
    <row r="454" spans="1:11" x14ac:dyDescent="0.3">
      <c r="A454" t="s">
        <v>479</v>
      </c>
      <c r="B454" t="s">
        <v>29</v>
      </c>
      <c r="C454" s="1">
        <v>45244</v>
      </c>
      <c r="D454" s="1">
        <v>45261</v>
      </c>
      <c r="E454" t="s">
        <v>13</v>
      </c>
      <c r="F454" t="s">
        <v>18</v>
      </c>
      <c r="G454">
        <v>1585</v>
      </c>
      <c r="H454">
        <v>56.38</v>
      </c>
      <c r="I454">
        <v>53.05</v>
      </c>
      <c r="K454" t="s">
        <v>15</v>
      </c>
    </row>
    <row r="455" spans="1:11" x14ac:dyDescent="0.3">
      <c r="A455" t="s">
        <v>480</v>
      </c>
      <c r="B455" t="s">
        <v>29</v>
      </c>
      <c r="C455" s="1">
        <v>44667</v>
      </c>
      <c r="D455" s="1">
        <v>44678</v>
      </c>
      <c r="E455" t="s">
        <v>39</v>
      </c>
      <c r="F455" t="s">
        <v>18</v>
      </c>
      <c r="G455">
        <v>66</v>
      </c>
      <c r="H455">
        <v>58.05</v>
      </c>
      <c r="I455">
        <v>50.76</v>
      </c>
      <c r="K455" t="s">
        <v>15</v>
      </c>
    </row>
    <row r="456" spans="1:11" x14ac:dyDescent="0.3">
      <c r="A456" t="s">
        <v>481</v>
      </c>
      <c r="B456" t="s">
        <v>23</v>
      </c>
      <c r="C456" s="1">
        <v>44924</v>
      </c>
      <c r="D456" s="1">
        <v>44944</v>
      </c>
      <c r="E456" t="s">
        <v>21</v>
      </c>
      <c r="F456" t="s">
        <v>18</v>
      </c>
      <c r="G456">
        <v>1245</v>
      </c>
      <c r="H456">
        <v>52.4</v>
      </c>
      <c r="I456">
        <v>51.65</v>
      </c>
      <c r="J456">
        <v>118</v>
      </c>
      <c r="K456" t="s">
        <v>27</v>
      </c>
    </row>
    <row r="457" spans="1:11" x14ac:dyDescent="0.3">
      <c r="A457" t="s">
        <v>482</v>
      </c>
      <c r="B457" t="s">
        <v>17</v>
      </c>
      <c r="C457" s="1">
        <v>45135</v>
      </c>
      <c r="D457" s="1">
        <v>45148</v>
      </c>
      <c r="E457" t="s">
        <v>39</v>
      </c>
      <c r="F457" t="s">
        <v>18</v>
      </c>
      <c r="G457">
        <v>1293</v>
      </c>
      <c r="H457">
        <v>50.21</v>
      </c>
      <c r="I457">
        <v>47.55</v>
      </c>
      <c r="K457" t="s">
        <v>27</v>
      </c>
    </row>
    <row r="458" spans="1:11" x14ac:dyDescent="0.3">
      <c r="A458" t="s">
        <v>483</v>
      </c>
      <c r="B458" t="s">
        <v>23</v>
      </c>
      <c r="C458" s="1">
        <v>44978</v>
      </c>
      <c r="D458" s="1">
        <v>44984</v>
      </c>
      <c r="E458" t="s">
        <v>24</v>
      </c>
      <c r="F458" t="s">
        <v>18</v>
      </c>
      <c r="G458">
        <v>207</v>
      </c>
      <c r="H458">
        <v>64.290000000000006</v>
      </c>
      <c r="I458">
        <v>63.01</v>
      </c>
      <c r="J458">
        <v>25</v>
      </c>
      <c r="K458" t="s">
        <v>15</v>
      </c>
    </row>
    <row r="459" spans="1:11" x14ac:dyDescent="0.3">
      <c r="A459" t="s">
        <v>484</v>
      </c>
      <c r="B459" t="s">
        <v>23</v>
      </c>
      <c r="C459" s="1">
        <v>45197</v>
      </c>
      <c r="D459" s="1">
        <v>45217</v>
      </c>
      <c r="E459" t="s">
        <v>13</v>
      </c>
      <c r="F459" t="s">
        <v>18</v>
      </c>
      <c r="G459">
        <v>526</v>
      </c>
      <c r="H459">
        <v>26.37</v>
      </c>
      <c r="I459">
        <v>25.32</v>
      </c>
      <c r="J459">
        <v>47</v>
      </c>
      <c r="K459" t="s">
        <v>15</v>
      </c>
    </row>
    <row r="460" spans="1:11" x14ac:dyDescent="0.3">
      <c r="A460" t="s">
        <v>485</v>
      </c>
      <c r="B460" t="s">
        <v>20</v>
      </c>
      <c r="C460" s="1">
        <v>44720</v>
      </c>
      <c r="D460" s="1">
        <v>44726</v>
      </c>
      <c r="E460" t="s">
        <v>39</v>
      </c>
      <c r="F460" t="s">
        <v>18</v>
      </c>
      <c r="G460">
        <v>1119</v>
      </c>
      <c r="H460">
        <v>27.03</v>
      </c>
      <c r="I460">
        <v>23.82</v>
      </c>
      <c r="K460" t="s">
        <v>15</v>
      </c>
    </row>
    <row r="461" spans="1:11" x14ac:dyDescent="0.3">
      <c r="A461" t="s">
        <v>486</v>
      </c>
      <c r="B461" t="s">
        <v>20</v>
      </c>
      <c r="C461" s="1">
        <v>44804</v>
      </c>
      <c r="D461" s="1">
        <v>44806</v>
      </c>
      <c r="E461" t="s">
        <v>24</v>
      </c>
      <c r="F461" t="s">
        <v>18</v>
      </c>
      <c r="G461">
        <v>1446</v>
      </c>
      <c r="H461">
        <v>90.63</v>
      </c>
      <c r="I461">
        <v>84.51</v>
      </c>
      <c r="J461">
        <v>77</v>
      </c>
      <c r="K461" t="s">
        <v>15</v>
      </c>
    </row>
    <row r="462" spans="1:11" x14ac:dyDescent="0.3">
      <c r="A462" t="s">
        <v>487</v>
      </c>
      <c r="B462" t="s">
        <v>20</v>
      </c>
      <c r="C462" s="1">
        <v>44728</v>
      </c>
      <c r="D462" s="1">
        <v>44736</v>
      </c>
      <c r="E462" t="s">
        <v>13</v>
      </c>
      <c r="F462" t="s">
        <v>18</v>
      </c>
      <c r="G462">
        <v>567</v>
      </c>
      <c r="H462">
        <v>97.53</v>
      </c>
      <c r="I462">
        <v>85.29</v>
      </c>
      <c r="J462">
        <v>21</v>
      </c>
      <c r="K462" t="s">
        <v>15</v>
      </c>
    </row>
    <row r="463" spans="1:11" x14ac:dyDescent="0.3">
      <c r="A463" t="s">
        <v>488</v>
      </c>
      <c r="B463" t="s">
        <v>17</v>
      </c>
      <c r="C463" s="1">
        <v>44743</v>
      </c>
      <c r="E463" t="s">
        <v>21</v>
      </c>
      <c r="F463" t="s">
        <v>18</v>
      </c>
      <c r="G463">
        <v>148</v>
      </c>
      <c r="H463">
        <v>44.91</v>
      </c>
      <c r="I463">
        <v>40.1</v>
      </c>
      <c r="K463" t="s">
        <v>27</v>
      </c>
    </row>
    <row r="464" spans="1:11" x14ac:dyDescent="0.3">
      <c r="A464" t="s">
        <v>489</v>
      </c>
      <c r="B464" t="s">
        <v>23</v>
      </c>
      <c r="C464" s="1">
        <v>44984</v>
      </c>
      <c r="D464" s="1">
        <v>44999</v>
      </c>
      <c r="E464" t="s">
        <v>21</v>
      </c>
      <c r="F464" t="s">
        <v>35</v>
      </c>
      <c r="G464">
        <v>1965</v>
      </c>
      <c r="H464">
        <v>36.6</v>
      </c>
      <c r="I464">
        <v>34.64</v>
      </c>
      <c r="J464">
        <v>195</v>
      </c>
      <c r="K464" t="s">
        <v>15</v>
      </c>
    </row>
    <row r="465" spans="1:11" x14ac:dyDescent="0.3">
      <c r="A465" t="s">
        <v>490</v>
      </c>
      <c r="B465" t="s">
        <v>12</v>
      </c>
      <c r="C465" s="1">
        <v>44587</v>
      </c>
      <c r="D465" s="1">
        <v>44595</v>
      </c>
      <c r="E465" t="s">
        <v>13</v>
      </c>
      <c r="F465" t="s">
        <v>35</v>
      </c>
      <c r="G465">
        <v>1818</v>
      </c>
      <c r="H465">
        <v>67.959999999999994</v>
      </c>
      <c r="I465">
        <v>58.98</v>
      </c>
      <c r="K465" t="s">
        <v>15</v>
      </c>
    </row>
    <row r="466" spans="1:11" x14ac:dyDescent="0.3">
      <c r="A466" t="s">
        <v>491</v>
      </c>
      <c r="B466" t="s">
        <v>23</v>
      </c>
      <c r="C466" s="1">
        <v>44745</v>
      </c>
      <c r="D466" s="1">
        <v>44761</v>
      </c>
      <c r="E466" t="s">
        <v>21</v>
      </c>
      <c r="F466" t="s">
        <v>18</v>
      </c>
      <c r="G466">
        <v>1110</v>
      </c>
      <c r="H466">
        <v>48.19</v>
      </c>
      <c r="I466">
        <v>45.88</v>
      </c>
      <c r="J466">
        <v>112</v>
      </c>
      <c r="K466" t="s">
        <v>15</v>
      </c>
    </row>
    <row r="467" spans="1:11" x14ac:dyDescent="0.3">
      <c r="A467" t="s">
        <v>492</v>
      </c>
      <c r="B467" t="s">
        <v>17</v>
      </c>
      <c r="C467" s="1">
        <v>44902</v>
      </c>
      <c r="E467" t="s">
        <v>26</v>
      </c>
      <c r="F467" t="s">
        <v>18</v>
      </c>
      <c r="G467">
        <v>329</v>
      </c>
      <c r="H467">
        <v>12.96</v>
      </c>
      <c r="I467">
        <v>12.74</v>
      </c>
      <c r="J467">
        <v>48</v>
      </c>
      <c r="K467" t="s">
        <v>15</v>
      </c>
    </row>
    <row r="468" spans="1:11" x14ac:dyDescent="0.3">
      <c r="A468" t="s">
        <v>493</v>
      </c>
      <c r="B468" t="s">
        <v>20</v>
      </c>
      <c r="C468" s="1">
        <v>44983</v>
      </c>
      <c r="D468" s="1">
        <v>45002</v>
      </c>
      <c r="E468" t="s">
        <v>13</v>
      </c>
      <c r="F468" t="s">
        <v>14</v>
      </c>
      <c r="G468">
        <v>1422</v>
      </c>
      <c r="H468">
        <v>25.62</v>
      </c>
      <c r="I468">
        <v>25.18</v>
      </c>
      <c r="J468">
        <v>65</v>
      </c>
      <c r="K468" t="s">
        <v>15</v>
      </c>
    </row>
    <row r="469" spans="1:11" x14ac:dyDescent="0.3">
      <c r="A469" t="s">
        <v>494</v>
      </c>
      <c r="B469" t="s">
        <v>17</v>
      </c>
      <c r="C469" s="1">
        <v>45247</v>
      </c>
      <c r="E469" t="s">
        <v>26</v>
      </c>
      <c r="F469" t="s">
        <v>18</v>
      </c>
      <c r="G469">
        <v>546</v>
      </c>
      <c r="H469">
        <v>82.63</v>
      </c>
      <c r="I469">
        <v>74.77</v>
      </c>
      <c r="J469">
        <v>76</v>
      </c>
      <c r="K469" t="s">
        <v>27</v>
      </c>
    </row>
    <row r="470" spans="1:11" x14ac:dyDescent="0.3">
      <c r="A470" t="s">
        <v>495</v>
      </c>
      <c r="B470" t="s">
        <v>20</v>
      </c>
      <c r="C470" s="1">
        <v>44816</v>
      </c>
      <c r="D470" s="1">
        <v>44826</v>
      </c>
      <c r="E470" t="s">
        <v>13</v>
      </c>
      <c r="F470" t="s">
        <v>33</v>
      </c>
      <c r="G470">
        <v>351</v>
      </c>
      <c r="H470">
        <v>72.08</v>
      </c>
      <c r="I470">
        <v>71.3</v>
      </c>
      <c r="J470">
        <v>20</v>
      </c>
      <c r="K470" t="s">
        <v>15</v>
      </c>
    </row>
    <row r="471" spans="1:11" x14ac:dyDescent="0.3">
      <c r="A471" t="s">
        <v>496</v>
      </c>
      <c r="B471" t="s">
        <v>17</v>
      </c>
      <c r="C471" s="1">
        <v>44835</v>
      </c>
      <c r="D471" s="1">
        <v>44852</v>
      </c>
      <c r="E471" t="s">
        <v>26</v>
      </c>
      <c r="F471" t="s">
        <v>33</v>
      </c>
      <c r="G471">
        <v>230</v>
      </c>
      <c r="H471">
        <v>13</v>
      </c>
      <c r="I471">
        <v>12.81</v>
      </c>
      <c r="K471" t="s">
        <v>27</v>
      </c>
    </row>
    <row r="472" spans="1:11" x14ac:dyDescent="0.3">
      <c r="A472" t="s">
        <v>497</v>
      </c>
      <c r="B472" t="s">
        <v>12</v>
      </c>
      <c r="C472" s="1">
        <v>44725</v>
      </c>
      <c r="D472" s="1">
        <v>44731</v>
      </c>
      <c r="E472" t="s">
        <v>21</v>
      </c>
      <c r="F472" t="s">
        <v>18</v>
      </c>
      <c r="G472">
        <v>656</v>
      </c>
      <c r="H472">
        <v>30.73</v>
      </c>
      <c r="I472">
        <v>26.26</v>
      </c>
      <c r="J472">
        <v>17</v>
      </c>
      <c r="K472" t="s">
        <v>15</v>
      </c>
    </row>
    <row r="473" spans="1:11" x14ac:dyDescent="0.3">
      <c r="A473" t="s">
        <v>498</v>
      </c>
      <c r="B473" t="s">
        <v>20</v>
      </c>
      <c r="C473" s="1">
        <v>45280</v>
      </c>
      <c r="D473" s="1">
        <v>45300</v>
      </c>
      <c r="E473" t="s">
        <v>21</v>
      </c>
      <c r="F473" t="s">
        <v>18</v>
      </c>
      <c r="G473">
        <v>1172</v>
      </c>
      <c r="H473">
        <v>34.340000000000003</v>
      </c>
      <c r="I473">
        <v>32.090000000000003</v>
      </c>
      <c r="J473">
        <v>69</v>
      </c>
      <c r="K473" t="s">
        <v>15</v>
      </c>
    </row>
    <row r="474" spans="1:11" x14ac:dyDescent="0.3">
      <c r="A474" t="s">
        <v>499</v>
      </c>
      <c r="B474" t="s">
        <v>20</v>
      </c>
      <c r="C474" s="1">
        <v>44672</v>
      </c>
      <c r="D474" s="1">
        <v>44681</v>
      </c>
      <c r="E474" t="s">
        <v>39</v>
      </c>
      <c r="F474" t="s">
        <v>18</v>
      </c>
      <c r="G474">
        <v>749</v>
      </c>
      <c r="H474">
        <v>71.53</v>
      </c>
      <c r="I474">
        <v>70.02</v>
      </c>
      <c r="J474">
        <v>41</v>
      </c>
      <c r="K474" t="s">
        <v>15</v>
      </c>
    </row>
    <row r="475" spans="1:11" x14ac:dyDescent="0.3">
      <c r="A475" t="s">
        <v>500</v>
      </c>
      <c r="B475" t="s">
        <v>23</v>
      </c>
      <c r="C475" s="1">
        <v>44953</v>
      </c>
      <c r="D475" s="1">
        <v>44969</v>
      </c>
      <c r="E475" t="s">
        <v>24</v>
      </c>
      <c r="F475" t="s">
        <v>18</v>
      </c>
      <c r="G475">
        <v>1042</v>
      </c>
      <c r="H475">
        <v>12.48</v>
      </c>
      <c r="I475">
        <v>12.3</v>
      </c>
      <c r="J475">
        <v>88</v>
      </c>
      <c r="K475" t="s">
        <v>15</v>
      </c>
    </row>
    <row r="476" spans="1:11" x14ac:dyDescent="0.3">
      <c r="A476" t="s">
        <v>501</v>
      </c>
      <c r="B476" t="s">
        <v>17</v>
      </c>
      <c r="C476" s="1">
        <v>44601</v>
      </c>
      <c r="D476" s="1">
        <v>44619</v>
      </c>
      <c r="E476" t="s">
        <v>26</v>
      </c>
      <c r="F476" t="s">
        <v>18</v>
      </c>
      <c r="G476">
        <v>1189</v>
      </c>
      <c r="H476">
        <v>19.47</v>
      </c>
      <c r="I476">
        <v>17.149999999999999</v>
      </c>
      <c r="K476" t="s">
        <v>27</v>
      </c>
    </row>
    <row r="477" spans="1:11" x14ac:dyDescent="0.3">
      <c r="A477" t="s">
        <v>502</v>
      </c>
      <c r="B477" t="s">
        <v>29</v>
      </c>
      <c r="C477" s="1">
        <v>45043</v>
      </c>
      <c r="E477" t="s">
        <v>13</v>
      </c>
      <c r="F477" t="s">
        <v>18</v>
      </c>
      <c r="G477">
        <v>240</v>
      </c>
      <c r="H477">
        <v>88.14</v>
      </c>
      <c r="I477">
        <v>81.900000000000006</v>
      </c>
      <c r="J477">
        <v>4</v>
      </c>
      <c r="K477" t="s">
        <v>15</v>
      </c>
    </row>
    <row r="478" spans="1:11" x14ac:dyDescent="0.3">
      <c r="A478" t="s">
        <v>503</v>
      </c>
      <c r="B478" t="s">
        <v>29</v>
      </c>
      <c r="C478" s="1">
        <v>44789</v>
      </c>
      <c r="D478" s="1">
        <v>44806</v>
      </c>
      <c r="E478" t="s">
        <v>21</v>
      </c>
      <c r="F478" t="s">
        <v>18</v>
      </c>
      <c r="G478">
        <v>302</v>
      </c>
      <c r="H478">
        <v>26.98</v>
      </c>
      <c r="I478">
        <v>26.47</v>
      </c>
      <c r="J478">
        <v>9</v>
      </c>
      <c r="K478" t="s">
        <v>15</v>
      </c>
    </row>
    <row r="479" spans="1:11" x14ac:dyDescent="0.3">
      <c r="A479" t="s">
        <v>504</v>
      </c>
      <c r="B479" t="s">
        <v>23</v>
      </c>
      <c r="C479" s="1">
        <v>44766</v>
      </c>
      <c r="D479" s="1">
        <v>44776</v>
      </c>
      <c r="E479" t="s">
        <v>21</v>
      </c>
      <c r="F479" t="s">
        <v>35</v>
      </c>
      <c r="G479">
        <v>1030</v>
      </c>
      <c r="H479">
        <v>70.81</v>
      </c>
      <c r="I479">
        <v>61.58</v>
      </c>
      <c r="K479" t="s">
        <v>27</v>
      </c>
    </row>
    <row r="480" spans="1:11" x14ac:dyDescent="0.3">
      <c r="A480" t="s">
        <v>505</v>
      </c>
      <c r="B480" t="s">
        <v>17</v>
      </c>
      <c r="C480" s="1">
        <v>45033</v>
      </c>
      <c r="D480" s="1">
        <v>45039</v>
      </c>
      <c r="E480" t="s">
        <v>13</v>
      </c>
      <c r="F480" t="s">
        <v>18</v>
      </c>
      <c r="G480">
        <v>977</v>
      </c>
      <c r="H480">
        <v>33.79</v>
      </c>
      <c r="I480">
        <v>32.25</v>
      </c>
      <c r="J480">
        <v>137</v>
      </c>
      <c r="K480" t="s">
        <v>15</v>
      </c>
    </row>
    <row r="481" spans="1:11" x14ac:dyDescent="0.3">
      <c r="A481" t="s">
        <v>506</v>
      </c>
      <c r="B481" t="s">
        <v>12</v>
      </c>
      <c r="C481" s="1">
        <v>44920</v>
      </c>
      <c r="D481" s="1">
        <v>44937</v>
      </c>
      <c r="E481" t="s">
        <v>24</v>
      </c>
      <c r="F481" t="s">
        <v>18</v>
      </c>
      <c r="G481">
        <v>1234</v>
      </c>
      <c r="H481">
        <v>19.989999999999998</v>
      </c>
      <c r="I481">
        <v>17.66</v>
      </c>
      <c r="J481">
        <v>25</v>
      </c>
      <c r="K481" t="s">
        <v>15</v>
      </c>
    </row>
    <row r="482" spans="1:11" x14ac:dyDescent="0.3">
      <c r="A482" t="s">
        <v>507</v>
      </c>
      <c r="B482" t="s">
        <v>23</v>
      </c>
      <c r="C482" s="1">
        <v>44874</v>
      </c>
      <c r="D482" s="1">
        <v>44888</v>
      </c>
      <c r="E482" t="s">
        <v>13</v>
      </c>
      <c r="F482" t="s">
        <v>18</v>
      </c>
      <c r="G482">
        <v>1329</v>
      </c>
      <c r="H482">
        <v>33.479999999999997</v>
      </c>
      <c r="I482">
        <v>33.06</v>
      </c>
      <c r="J482">
        <v>146</v>
      </c>
      <c r="K482" t="s">
        <v>15</v>
      </c>
    </row>
    <row r="483" spans="1:11" x14ac:dyDescent="0.3">
      <c r="A483" t="s">
        <v>508</v>
      </c>
      <c r="B483" t="s">
        <v>20</v>
      </c>
      <c r="C483" s="1">
        <v>44795</v>
      </c>
      <c r="D483" s="1">
        <v>44803</v>
      </c>
      <c r="E483" t="s">
        <v>26</v>
      </c>
      <c r="F483" t="s">
        <v>18</v>
      </c>
      <c r="G483">
        <v>1396</v>
      </c>
      <c r="H483">
        <v>77.63</v>
      </c>
      <c r="I483">
        <v>67.81</v>
      </c>
      <c r="J483">
        <v>58</v>
      </c>
      <c r="K483" t="s">
        <v>15</v>
      </c>
    </row>
    <row r="484" spans="1:11" x14ac:dyDescent="0.3">
      <c r="A484" t="s">
        <v>509</v>
      </c>
      <c r="B484" t="s">
        <v>12</v>
      </c>
      <c r="C484" s="1">
        <v>44790</v>
      </c>
      <c r="D484" s="1">
        <v>44802</v>
      </c>
      <c r="E484" t="s">
        <v>26</v>
      </c>
      <c r="F484" t="s">
        <v>18</v>
      </c>
      <c r="G484">
        <v>177</v>
      </c>
      <c r="H484">
        <v>90.06</v>
      </c>
      <c r="I484">
        <v>87.71</v>
      </c>
      <c r="J484">
        <v>7</v>
      </c>
      <c r="K484" t="s">
        <v>15</v>
      </c>
    </row>
    <row r="485" spans="1:11" x14ac:dyDescent="0.3">
      <c r="A485" t="s">
        <v>510</v>
      </c>
      <c r="B485" t="s">
        <v>17</v>
      </c>
      <c r="C485" s="1">
        <v>44586</v>
      </c>
      <c r="E485" t="s">
        <v>39</v>
      </c>
      <c r="F485" t="s">
        <v>18</v>
      </c>
      <c r="G485">
        <v>67</v>
      </c>
      <c r="H485">
        <v>84.72</v>
      </c>
      <c r="I485">
        <v>73.06</v>
      </c>
      <c r="J485">
        <v>9</v>
      </c>
      <c r="K485" t="s">
        <v>15</v>
      </c>
    </row>
    <row r="486" spans="1:11" x14ac:dyDescent="0.3">
      <c r="A486" t="s">
        <v>511</v>
      </c>
      <c r="B486" t="s">
        <v>20</v>
      </c>
      <c r="C486" s="1">
        <v>45237</v>
      </c>
      <c r="D486" s="1">
        <v>45250</v>
      </c>
      <c r="E486" t="s">
        <v>13</v>
      </c>
      <c r="F486" t="s">
        <v>18</v>
      </c>
      <c r="G486">
        <v>1866</v>
      </c>
      <c r="H486">
        <v>50.78</v>
      </c>
      <c r="I486">
        <v>48.2</v>
      </c>
      <c r="J486">
        <v>96</v>
      </c>
      <c r="K486" t="s">
        <v>15</v>
      </c>
    </row>
    <row r="487" spans="1:11" x14ac:dyDescent="0.3">
      <c r="A487" t="s">
        <v>512</v>
      </c>
      <c r="B487" t="s">
        <v>29</v>
      </c>
      <c r="C487" s="1">
        <v>44759</v>
      </c>
      <c r="D487" s="1">
        <v>44767</v>
      </c>
      <c r="E487" t="s">
        <v>21</v>
      </c>
      <c r="F487" t="s">
        <v>18</v>
      </c>
      <c r="G487">
        <v>1808</v>
      </c>
      <c r="H487">
        <v>72.23</v>
      </c>
      <c r="I487">
        <v>67.86</v>
      </c>
      <c r="J487">
        <v>53</v>
      </c>
      <c r="K487" t="s">
        <v>15</v>
      </c>
    </row>
    <row r="488" spans="1:11" x14ac:dyDescent="0.3">
      <c r="A488" t="s">
        <v>513</v>
      </c>
      <c r="B488" t="s">
        <v>17</v>
      </c>
      <c r="C488" s="1">
        <v>44970</v>
      </c>
      <c r="D488" s="1">
        <v>44973</v>
      </c>
      <c r="E488" t="s">
        <v>39</v>
      </c>
      <c r="F488" t="s">
        <v>14</v>
      </c>
      <c r="G488">
        <v>615</v>
      </c>
      <c r="H488">
        <v>30.3</v>
      </c>
      <c r="I488">
        <v>29.52</v>
      </c>
      <c r="J488">
        <v>96</v>
      </c>
      <c r="K488" t="s">
        <v>15</v>
      </c>
    </row>
    <row r="489" spans="1:11" x14ac:dyDescent="0.3">
      <c r="A489" t="s">
        <v>514</v>
      </c>
      <c r="B489" t="s">
        <v>20</v>
      </c>
      <c r="C489" s="1">
        <v>44898</v>
      </c>
      <c r="D489" s="1">
        <v>44899</v>
      </c>
      <c r="E489" t="s">
        <v>13</v>
      </c>
      <c r="F489" t="s">
        <v>35</v>
      </c>
      <c r="G489">
        <v>619</v>
      </c>
      <c r="H489">
        <v>38.380000000000003</v>
      </c>
      <c r="I489">
        <v>35.020000000000003</v>
      </c>
      <c r="J489">
        <v>34</v>
      </c>
      <c r="K489" t="s">
        <v>15</v>
      </c>
    </row>
    <row r="490" spans="1:11" x14ac:dyDescent="0.3">
      <c r="A490" t="s">
        <v>515</v>
      </c>
      <c r="B490" t="s">
        <v>17</v>
      </c>
      <c r="C490" s="1">
        <v>44847</v>
      </c>
      <c r="D490" s="1">
        <v>44851</v>
      </c>
      <c r="E490" t="s">
        <v>13</v>
      </c>
      <c r="F490" t="s">
        <v>18</v>
      </c>
      <c r="G490">
        <v>1396</v>
      </c>
      <c r="H490">
        <v>94.75</v>
      </c>
      <c r="I490">
        <v>84.06</v>
      </c>
      <c r="J490">
        <v>210</v>
      </c>
      <c r="K490" t="s">
        <v>15</v>
      </c>
    </row>
    <row r="491" spans="1:11" x14ac:dyDescent="0.3">
      <c r="A491" t="s">
        <v>516</v>
      </c>
      <c r="B491" t="s">
        <v>20</v>
      </c>
      <c r="C491" s="1">
        <v>44633</v>
      </c>
      <c r="D491" s="1">
        <v>44644</v>
      </c>
      <c r="E491" t="s">
        <v>21</v>
      </c>
      <c r="F491" t="s">
        <v>18</v>
      </c>
      <c r="G491">
        <v>1945</v>
      </c>
      <c r="H491">
        <v>11.28</v>
      </c>
      <c r="I491">
        <v>9.98</v>
      </c>
      <c r="J491">
        <v>94</v>
      </c>
      <c r="K491" t="s">
        <v>15</v>
      </c>
    </row>
    <row r="492" spans="1:11" x14ac:dyDescent="0.3">
      <c r="A492" t="s">
        <v>517</v>
      </c>
      <c r="B492" t="s">
        <v>17</v>
      </c>
      <c r="C492" s="1">
        <v>44847</v>
      </c>
      <c r="D492" s="1">
        <v>44852</v>
      </c>
      <c r="E492" t="s">
        <v>24</v>
      </c>
      <c r="F492" t="s">
        <v>18</v>
      </c>
      <c r="G492">
        <v>735</v>
      </c>
      <c r="H492">
        <v>18.489999999999998</v>
      </c>
      <c r="I492">
        <v>15.89</v>
      </c>
      <c r="J492">
        <v>113</v>
      </c>
      <c r="K492" t="s">
        <v>27</v>
      </c>
    </row>
    <row r="493" spans="1:11" x14ac:dyDescent="0.3">
      <c r="A493" t="s">
        <v>518</v>
      </c>
      <c r="B493" t="s">
        <v>29</v>
      </c>
      <c r="C493" s="1">
        <v>44921</v>
      </c>
      <c r="D493" s="1">
        <v>44937</v>
      </c>
      <c r="E493" t="s">
        <v>13</v>
      </c>
      <c r="F493" t="s">
        <v>35</v>
      </c>
      <c r="G493">
        <v>1865</v>
      </c>
      <c r="H493">
        <v>30.29</v>
      </c>
      <c r="I493">
        <v>26.83</v>
      </c>
      <c r="J493">
        <v>56</v>
      </c>
      <c r="K493" t="s">
        <v>15</v>
      </c>
    </row>
    <row r="494" spans="1:11" x14ac:dyDescent="0.3">
      <c r="A494" t="s">
        <v>519</v>
      </c>
      <c r="B494" t="s">
        <v>23</v>
      </c>
      <c r="C494" s="1">
        <v>45218</v>
      </c>
      <c r="D494" s="1">
        <v>45223</v>
      </c>
      <c r="E494" t="s">
        <v>39</v>
      </c>
      <c r="F494" t="s">
        <v>14</v>
      </c>
      <c r="G494">
        <v>675</v>
      </c>
      <c r="H494">
        <v>13.69</v>
      </c>
      <c r="I494">
        <v>11.84</v>
      </c>
      <c r="J494">
        <v>52</v>
      </c>
      <c r="K494" t="s">
        <v>15</v>
      </c>
    </row>
    <row r="495" spans="1:11" x14ac:dyDescent="0.3">
      <c r="A495" t="s">
        <v>520</v>
      </c>
      <c r="B495" t="s">
        <v>20</v>
      </c>
      <c r="C495" s="1">
        <v>45083</v>
      </c>
      <c r="D495" s="1">
        <v>45099</v>
      </c>
      <c r="E495" t="s">
        <v>21</v>
      </c>
      <c r="F495" t="s">
        <v>35</v>
      </c>
      <c r="G495">
        <v>1361</v>
      </c>
      <c r="H495">
        <v>28.57</v>
      </c>
      <c r="I495">
        <v>24.29</v>
      </c>
      <c r="J495">
        <v>65</v>
      </c>
      <c r="K495" t="s">
        <v>15</v>
      </c>
    </row>
    <row r="496" spans="1:11" x14ac:dyDescent="0.3">
      <c r="A496" t="s">
        <v>521</v>
      </c>
      <c r="B496" t="s">
        <v>20</v>
      </c>
      <c r="C496" s="1">
        <v>44971</v>
      </c>
      <c r="D496" s="1">
        <v>44972</v>
      </c>
      <c r="E496" t="s">
        <v>26</v>
      </c>
      <c r="F496" t="s">
        <v>18</v>
      </c>
      <c r="G496">
        <v>903</v>
      </c>
      <c r="H496">
        <v>66.53</v>
      </c>
      <c r="I496">
        <v>60.15</v>
      </c>
      <c r="J496">
        <v>29</v>
      </c>
      <c r="K496" t="s">
        <v>15</v>
      </c>
    </row>
    <row r="497" spans="1:11" x14ac:dyDescent="0.3">
      <c r="A497" t="s">
        <v>522</v>
      </c>
      <c r="B497" t="s">
        <v>29</v>
      </c>
      <c r="C497" s="1">
        <v>45257</v>
      </c>
      <c r="E497" t="s">
        <v>24</v>
      </c>
      <c r="F497" t="s">
        <v>14</v>
      </c>
      <c r="G497">
        <v>1736</v>
      </c>
      <c r="H497">
        <v>53.2</v>
      </c>
      <c r="I497">
        <v>50.68</v>
      </c>
      <c r="J497">
        <v>48</v>
      </c>
      <c r="K497" t="s">
        <v>15</v>
      </c>
    </row>
    <row r="498" spans="1:11" x14ac:dyDescent="0.3">
      <c r="A498" t="s">
        <v>523</v>
      </c>
      <c r="B498" t="s">
        <v>23</v>
      </c>
      <c r="C498" s="1">
        <v>45111</v>
      </c>
      <c r="D498" s="1">
        <v>45118</v>
      </c>
      <c r="E498" t="s">
        <v>21</v>
      </c>
      <c r="F498" t="s">
        <v>18</v>
      </c>
      <c r="G498">
        <v>1011</v>
      </c>
      <c r="H498">
        <v>98.47</v>
      </c>
      <c r="I498">
        <v>97.06</v>
      </c>
      <c r="J498">
        <v>91</v>
      </c>
      <c r="K498" t="s">
        <v>15</v>
      </c>
    </row>
    <row r="499" spans="1:11" x14ac:dyDescent="0.3">
      <c r="A499" t="s">
        <v>524</v>
      </c>
      <c r="B499" t="s">
        <v>17</v>
      </c>
      <c r="C499" s="1">
        <v>44901</v>
      </c>
      <c r="D499" s="1">
        <v>44919</v>
      </c>
      <c r="E499" t="s">
        <v>39</v>
      </c>
      <c r="F499" t="s">
        <v>18</v>
      </c>
      <c r="G499">
        <v>1712</v>
      </c>
      <c r="H499">
        <v>88.17</v>
      </c>
      <c r="I499">
        <v>85.86</v>
      </c>
      <c r="J499">
        <v>246</v>
      </c>
      <c r="K499" t="s">
        <v>15</v>
      </c>
    </row>
    <row r="500" spans="1:11" x14ac:dyDescent="0.3">
      <c r="A500" t="s">
        <v>525</v>
      </c>
      <c r="B500" t="s">
        <v>20</v>
      </c>
      <c r="C500" s="1">
        <v>44590</v>
      </c>
      <c r="E500" t="s">
        <v>13</v>
      </c>
      <c r="F500" t="s">
        <v>18</v>
      </c>
      <c r="G500">
        <v>204</v>
      </c>
      <c r="H500">
        <v>40.76</v>
      </c>
      <c r="I500">
        <v>37.46</v>
      </c>
      <c r="J500">
        <v>10</v>
      </c>
      <c r="K500" t="s">
        <v>15</v>
      </c>
    </row>
    <row r="501" spans="1:11" x14ac:dyDescent="0.3">
      <c r="A501" t="s">
        <v>526</v>
      </c>
      <c r="B501" t="s">
        <v>23</v>
      </c>
      <c r="C501" s="1">
        <v>44680</v>
      </c>
      <c r="D501" s="1">
        <v>44694</v>
      </c>
      <c r="E501" t="s">
        <v>39</v>
      </c>
      <c r="F501" t="s">
        <v>33</v>
      </c>
      <c r="G501">
        <v>539</v>
      </c>
      <c r="H501">
        <v>33.85</v>
      </c>
      <c r="I501">
        <v>30.57</v>
      </c>
      <c r="J501">
        <v>34</v>
      </c>
      <c r="K501" t="s">
        <v>27</v>
      </c>
    </row>
    <row r="502" spans="1:11" x14ac:dyDescent="0.3">
      <c r="A502" t="s">
        <v>527</v>
      </c>
      <c r="B502" t="s">
        <v>17</v>
      </c>
      <c r="C502" s="1">
        <v>44829</v>
      </c>
      <c r="D502" s="1">
        <v>44839</v>
      </c>
      <c r="E502" t="s">
        <v>13</v>
      </c>
      <c r="F502" t="s">
        <v>18</v>
      </c>
      <c r="G502">
        <v>1459</v>
      </c>
      <c r="H502">
        <v>45.94</v>
      </c>
      <c r="I502">
        <v>42.56</v>
      </c>
      <c r="J502">
        <v>212</v>
      </c>
      <c r="K502" t="s">
        <v>27</v>
      </c>
    </row>
    <row r="503" spans="1:11" x14ac:dyDescent="0.3">
      <c r="A503" t="s">
        <v>528</v>
      </c>
      <c r="B503" t="s">
        <v>20</v>
      </c>
      <c r="C503" s="1">
        <v>44744</v>
      </c>
      <c r="D503" s="1">
        <v>44748</v>
      </c>
      <c r="E503" t="s">
        <v>21</v>
      </c>
      <c r="F503" t="s">
        <v>18</v>
      </c>
      <c r="G503">
        <v>834</v>
      </c>
      <c r="H503">
        <v>65.02</v>
      </c>
      <c r="I503">
        <v>56.19</v>
      </c>
      <c r="K503" t="s">
        <v>15</v>
      </c>
    </row>
    <row r="504" spans="1:11" x14ac:dyDescent="0.3">
      <c r="A504" t="s">
        <v>529</v>
      </c>
      <c r="B504" t="s">
        <v>20</v>
      </c>
      <c r="C504" s="1">
        <v>45156</v>
      </c>
      <c r="D504" s="1">
        <v>45170</v>
      </c>
      <c r="E504" t="s">
        <v>24</v>
      </c>
      <c r="F504" t="s">
        <v>33</v>
      </c>
      <c r="G504">
        <v>1177</v>
      </c>
      <c r="H504">
        <v>37.369999999999997</v>
      </c>
      <c r="I504">
        <v>34.270000000000003</v>
      </c>
      <c r="J504">
        <v>60</v>
      </c>
      <c r="K504" t="s">
        <v>15</v>
      </c>
    </row>
    <row r="505" spans="1:11" x14ac:dyDescent="0.3">
      <c r="A505" t="s">
        <v>530</v>
      </c>
      <c r="B505" t="s">
        <v>17</v>
      </c>
      <c r="C505" s="1">
        <v>44833</v>
      </c>
      <c r="D505" s="1">
        <v>44853</v>
      </c>
      <c r="E505" t="s">
        <v>21</v>
      </c>
      <c r="F505" t="s">
        <v>18</v>
      </c>
      <c r="G505">
        <v>1466</v>
      </c>
      <c r="H505">
        <v>68.819999999999993</v>
      </c>
      <c r="I505">
        <v>66.819999999999993</v>
      </c>
      <c r="J505">
        <v>211</v>
      </c>
      <c r="K505" t="s">
        <v>15</v>
      </c>
    </row>
    <row r="506" spans="1:11" x14ac:dyDescent="0.3">
      <c r="A506" t="s">
        <v>531</v>
      </c>
      <c r="B506" t="s">
        <v>29</v>
      </c>
      <c r="C506" s="1">
        <v>44601</v>
      </c>
      <c r="D506" s="1">
        <v>44605</v>
      </c>
      <c r="E506" t="s">
        <v>39</v>
      </c>
      <c r="F506" t="s">
        <v>18</v>
      </c>
      <c r="G506">
        <v>1884</v>
      </c>
      <c r="H506">
        <v>47.08</v>
      </c>
      <c r="I506">
        <v>44.31</v>
      </c>
      <c r="J506">
        <v>54</v>
      </c>
      <c r="K506" t="s">
        <v>15</v>
      </c>
    </row>
    <row r="507" spans="1:11" x14ac:dyDescent="0.3">
      <c r="A507" t="s">
        <v>532</v>
      </c>
      <c r="B507" t="s">
        <v>23</v>
      </c>
      <c r="C507" s="1">
        <v>44673</v>
      </c>
      <c r="D507" s="1">
        <v>44689</v>
      </c>
      <c r="E507" t="s">
        <v>39</v>
      </c>
      <c r="F507" t="s">
        <v>18</v>
      </c>
      <c r="G507">
        <v>295</v>
      </c>
      <c r="H507">
        <v>60.58</v>
      </c>
      <c r="I507">
        <v>57.32</v>
      </c>
      <c r="J507">
        <v>31</v>
      </c>
      <c r="K507" t="s">
        <v>15</v>
      </c>
    </row>
    <row r="508" spans="1:11" x14ac:dyDescent="0.3">
      <c r="A508" t="s">
        <v>533</v>
      </c>
      <c r="B508" t="s">
        <v>20</v>
      </c>
      <c r="C508" s="1">
        <v>45172</v>
      </c>
      <c r="D508" s="1">
        <v>45173</v>
      </c>
      <c r="E508" t="s">
        <v>26</v>
      </c>
      <c r="F508" t="s">
        <v>18</v>
      </c>
      <c r="G508">
        <v>1249</v>
      </c>
      <c r="H508">
        <v>54.18</v>
      </c>
      <c r="I508">
        <v>47.29</v>
      </c>
      <c r="J508">
        <v>59</v>
      </c>
      <c r="K508" t="s">
        <v>15</v>
      </c>
    </row>
    <row r="509" spans="1:11" x14ac:dyDescent="0.3">
      <c r="A509" t="s">
        <v>534</v>
      </c>
      <c r="B509" t="s">
        <v>17</v>
      </c>
      <c r="C509" s="1">
        <v>45006</v>
      </c>
      <c r="D509" s="1">
        <v>45025</v>
      </c>
      <c r="E509" t="s">
        <v>26</v>
      </c>
      <c r="F509" t="s">
        <v>18</v>
      </c>
      <c r="G509">
        <v>1112</v>
      </c>
      <c r="H509">
        <v>39.06</v>
      </c>
      <c r="I509">
        <v>33.6</v>
      </c>
      <c r="J509">
        <v>184</v>
      </c>
      <c r="K509" t="s">
        <v>27</v>
      </c>
    </row>
    <row r="510" spans="1:11" x14ac:dyDescent="0.3">
      <c r="A510" t="s">
        <v>535</v>
      </c>
      <c r="B510" t="s">
        <v>20</v>
      </c>
      <c r="C510" s="1">
        <v>44915</v>
      </c>
      <c r="D510" s="1">
        <v>44920</v>
      </c>
      <c r="E510" t="s">
        <v>13</v>
      </c>
      <c r="F510" t="s">
        <v>18</v>
      </c>
      <c r="G510">
        <v>1550</v>
      </c>
      <c r="H510">
        <v>100.61</v>
      </c>
      <c r="I510">
        <v>97.43</v>
      </c>
      <c r="J510">
        <v>66</v>
      </c>
      <c r="K510" t="s">
        <v>15</v>
      </c>
    </row>
    <row r="511" spans="1:11" x14ac:dyDescent="0.3">
      <c r="A511" t="s">
        <v>536</v>
      </c>
      <c r="B511" t="s">
        <v>17</v>
      </c>
      <c r="C511" s="1">
        <v>44883</v>
      </c>
      <c r="D511" s="1">
        <v>44884</v>
      </c>
      <c r="E511" t="s">
        <v>39</v>
      </c>
      <c r="F511" t="s">
        <v>18</v>
      </c>
      <c r="G511">
        <v>1755</v>
      </c>
      <c r="H511">
        <v>82.66</v>
      </c>
      <c r="I511">
        <v>73.67</v>
      </c>
      <c r="J511">
        <v>258</v>
      </c>
      <c r="K511" t="s">
        <v>27</v>
      </c>
    </row>
    <row r="512" spans="1:11" x14ac:dyDescent="0.3">
      <c r="A512" t="s">
        <v>537</v>
      </c>
      <c r="B512" t="s">
        <v>20</v>
      </c>
      <c r="C512" s="1">
        <v>45008</v>
      </c>
      <c r="D512" s="1">
        <v>45016</v>
      </c>
      <c r="E512" t="s">
        <v>26</v>
      </c>
      <c r="F512" t="s">
        <v>18</v>
      </c>
      <c r="G512">
        <v>808</v>
      </c>
      <c r="H512">
        <v>24.19</v>
      </c>
      <c r="I512">
        <v>21.64</v>
      </c>
      <c r="J512">
        <v>39</v>
      </c>
      <c r="K512" t="s">
        <v>15</v>
      </c>
    </row>
    <row r="513" spans="1:11" x14ac:dyDescent="0.3">
      <c r="A513" t="s">
        <v>538</v>
      </c>
      <c r="B513" t="s">
        <v>12</v>
      </c>
      <c r="C513" s="1">
        <v>45182</v>
      </c>
      <c r="D513" s="1">
        <v>45188</v>
      </c>
      <c r="E513" t="s">
        <v>26</v>
      </c>
      <c r="F513" t="s">
        <v>33</v>
      </c>
      <c r="G513">
        <v>587</v>
      </c>
      <c r="H513">
        <v>96.98</v>
      </c>
      <c r="I513">
        <v>95.35</v>
      </c>
      <c r="J513">
        <v>14</v>
      </c>
      <c r="K513" t="s">
        <v>15</v>
      </c>
    </row>
    <row r="514" spans="1:11" x14ac:dyDescent="0.3">
      <c r="A514" t="s">
        <v>539</v>
      </c>
      <c r="B514" t="s">
        <v>29</v>
      </c>
      <c r="C514" s="1">
        <v>45085</v>
      </c>
      <c r="D514" s="1">
        <v>45088</v>
      </c>
      <c r="E514" t="s">
        <v>21</v>
      </c>
      <c r="F514" t="s">
        <v>18</v>
      </c>
      <c r="G514">
        <v>1940</v>
      </c>
      <c r="H514">
        <v>58.45</v>
      </c>
      <c r="I514">
        <v>50.29</v>
      </c>
      <c r="J514">
        <v>54</v>
      </c>
      <c r="K514" t="s">
        <v>15</v>
      </c>
    </row>
    <row r="515" spans="1:11" x14ac:dyDescent="0.3">
      <c r="A515" t="s">
        <v>540</v>
      </c>
      <c r="B515" t="s">
        <v>23</v>
      </c>
      <c r="C515" s="1">
        <v>44680</v>
      </c>
      <c r="D515" s="1">
        <v>44692</v>
      </c>
      <c r="E515" t="s">
        <v>13</v>
      </c>
      <c r="F515" t="s">
        <v>14</v>
      </c>
      <c r="G515">
        <v>1891</v>
      </c>
      <c r="H515">
        <v>91.87</v>
      </c>
      <c r="I515">
        <v>80.28</v>
      </c>
      <c r="J515">
        <v>158</v>
      </c>
      <c r="K515" t="s">
        <v>15</v>
      </c>
    </row>
    <row r="516" spans="1:11" x14ac:dyDescent="0.3">
      <c r="A516" t="s">
        <v>541</v>
      </c>
      <c r="B516" t="s">
        <v>29</v>
      </c>
      <c r="C516" s="1">
        <v>44956</v>
      </c>
      <c r="D516" s="1">
        <v>44973</v>
      </c>
      <c r="E516" t="s">
        <v>24</v>
      </c>
      <c r="F516" t="s">
        <v>18</v>
      </c>
      <c r="G516">
        <v>970</v>
      </c>
      <c r="H516">
        <v>86.91</v>
      </c>
      <c r="I516">
        <v>78.44</v>
      </c>
      <c r="J516">
        <v>18</v>
      </c>
      <c r="K516" t="s">
        <v>15</v>
      </c>
    </row>
    <row r="517" spans="1:11" x14ac:dyDescent="0.3">
      <c r="A517" t="s">
        <v>542</v>
      </c>
      <c r="B517" t="s">
        <v>29</v>
      </c>
      <c r="C517" s="1">
        <v>45152</v>
      </c>
      <c r="D517" s="1">
        <v>45169</v>
      </c>
      <c r="E517" t="s">
        <v>21</v>
      </c>
      <c r="F517" t="s">
        <v>18</v>
      </c>
      <c r="G517">
        <v>457</v>
      </c>
      <c r="H517">
        <v>52.85</v>
      </c>
      <c r="I517">
        <v>50.34</v>
      </c>
      <c r="J517">
        <v>16</v>
      </c>
      <c r="K517" t="s">
        <v>15</v>
      </c>
    </row>
    <row r="518" spans="1:11" x14ac:dyDescent="0.3">
      <c r="A518" t="s">
        <v>543</v>
      </c>
      <c r="B518" t="s">
        <v>23</v>
      </c>
      <c r="C518" s="1">
        <v>44756</v>
      </c>
      <c r="D518" s="1">
        <v>44769</v>
      </c>
      <c r="E518" t="s">
        <v>13</v>
      </c>
      <c r="F518" t="s">
        <v>14</v>
      </c>
      <c r="G518">
        <v>574</v>
      </c>
      <c r="H518">
        <v>12.38</v>
      </c>
      <c r="I518">
        <v>11.47</v>
      </c>
      <c r="K518" t="s">
        <v>27</v>
      </c>
    </row>
    <row r="519" spans="1:11" x14ac:dyDescent="0.3">
      <c r="A519" t="s">
        <v>544</v>
      </c>
      <c r="B519" t="s">
        <v>29</v>
      </c>
      <c r="C519" s="1">
        <v>44822</v>
      </c>
      <c r="D519" s="1">
        <v>44824</v>
      </c>
      <c r="E519" t="s">
        <v>13</v>
      </c>
      <c r="F519" t="s">
        <v>18</v>
      </c>
      <c r="G519">
        <v>877</v>
      </c>
      <c r="H519">
        <v>35.549999999999997</v>
      </c>
      <c r="I519">
        <v>34.69</v>
      </c>
      <c r="J519">
        <v>24</v>
      </c>
      <c r="K519" t="s">
        <v>15</v>
      </c>
    </row>
    <row r="520" spans="1:11" x14ac:dyDescent="0.3">
      <c r="A520" t="s">
        <v>545</v>
      </c>
      <c r="B520" t="s">
        <v>12</v>
      </c>
      <c r="C520" s="1">
        <v>44607</v>
      </c>
      <c r="D520" s="1">
        <v>44619</v>
      </c>
      <c r="E520" t="s">
        <v>21</v>
      </c>
      <c r="F520" t="s">
        <v>18</v>
      </c>
      <c r="G520">
        <v>1579</v>
      </c>
      <c r="H520">
        <v>59.04</v>
      </c>
      <c r="I520">
        <v>50.95</v>
      </c>
      <c r="J520">
        <v>29</v>
      </c>
      <c r="K520" t="s">
        <v>15</v>
      </c>
    </row>
    <row r="521" spans="1:11" x14ac:dyDescent="0.3">
      <c r="A521" t="s">
        <v>546</v>
      </c>
      <c r="B521" t="s">
        <v>17</v>
      </c>
      <c r="C521" s="1">
        <v>45287</v>
      </c>
      <c r="D521" s="1">
        <v>45288</v>
      </c>
      <c r="E521" t="s">
        <v>26</v>
      </c>
      <c r="F521" t="s">
        <v>18</v>
      </c>
      <c r="G521">
        <v>952</v>
      </c>
      <c r="H521">
        <v>74.72</v>
      </c>
      <c r="I521">
        <v>69.73</v>
      </c>
      <c r="K521" t="s">
        <v>15</v>
      </c>
    </row>
    <row r="522" spans="1:11" x14ac:dyDescent="0.3">
      <c r="A522" t="s">
        <v>547</v>
      </c>
      <c r="B522" t="s">
        <v>23</v>
      </c>
      <c r="C522" s="1">
        <v>45008</v>
      </c>
      <c r="D522" s="1">
        <v>45011</v>
      </c>
      <c r="E522" t="s">
        <v>26</v>
      </c>
      <c r="F522" t="s">
        <v>35</v>
      </c>
      <c r="G522">
        <v>1898</v>
      </c>
      <c r="H522">
        <v>35.53</v>
      </c>
      <c r="I522">
        <v>33.25</v>
      </c>
      <c r="J522">
        <v>187</v>
      </c>
      <c r="K522" t="s">
        <v>15</v>
      </c>
    </row>
    <row r="523" spans="1:11" x14ac:dyDescent="0.3">
      <c r="A523" t="s">
        <v>548</v>
      </c>
      <c r="B523" t="s">
        <v>17</v>
      </c>
      <c r="C523" s="1">
        <v>44563</v>
      </c>
      <c r="D523" s="1">
        <v>44567</v>
      </c>
      <c r="E523" t="s">
        <v>24</v>
      </c>
      <c r="F523" t="s">
        <v>18</v>
      </c>
      <c r="G523">
        <v>85</v>
      </c>
      <c r="H523">
        <v>22.54</v>
      </c>
      <c r="I523">
        <v>20.68</v>
      </c>
      <c r="J523">
        <v>6</v>
      </c>
      <c r="K523" t="s">
        <v>15</v>
      </c>
    </row>
    <row r="524" spans="1:11" x14ac:dyDescent="0.3">
      <c r="A524" t="s">
        <v>549</v>
      </c>
      <c r="B524" t="s">
        <v>20</v>
      </c>
      <c r="C524" s="1">
        <v>45094</v>
      </c>
      <c r="D524" s="1">
        <v>45105</v>
      </c>
      <c r="E524" t="s">
        <v>24</v>
      </c>
      <c r="F524" t="s">
        <v>35</v>
      </c>
      <c r="G524">
        <v>734</v>
      </c>
      <c r="H524">
        <v>92.38</v>
      </c>
      <c r="I524">
        <v>78.92</v>
      </c>
      <c r="J524">
        <v>34</v>
      </c>
      <c r="K524" t="s">
        <v>27</v>
      </c>
    </row>
    <row r="525" spans="1:11" x14ac:dyDescent="0.3">
      <c r="A525" t="s">
        <v>550</v>
      </c>
      <c r="B525" t="s">
        <v>12</v>
      </c>
      <c r="C525" s="1">
        <v>45113</v>
      </c>
      <c r="D525" s="1">
        <v>45125</v>
      </c>
      <c r="E525" t="s">
        <v>13</v>
      </c>
      <c r="F525" t="s">
        <v>18</v>
      </c>
      <c r="G525">
        <v>69</v>
      </c>
      <c r="H525">
        <v>107.47</v>
      </c>
      <c r="I525">
        <v>105.53</v>
      </c>
      <c r="K525" t="s">
        <v>15</v>
      </c>
    </row>
    <row r="526" spans="1:11" x14ac:dyDescent="0.3">
      <c r="A526" t="s">
        <v>551</v>
      </c>
      <c r="B526" t="s">
        <v>17</v>
      </c>
      <c r="C526" s="1">
        <v>45265</v>
      </c>
      <c r="D526" s="1">
        <v>45271</v>
      </c>
      <c r="E526" t="s">
        <v>24</v>
      </c>
      <c r="F526" t="s">
        <v>18</v>
      </c>
      <c r="G526">
        <v>370</v>
      </c>
      <c r="H526">
        <v>63.9</v>
      </c>
      <c r="I526">
        <v>55.79</v>
      </c>
      <c r="J526">
        <v>59</v>
      </c>
      <c r="K526" t="s">
        <v>15</v>
      </c>
    </row>
    <row r="527" spans="1:11" x14ac:dyDescent="0.3">
      <c r="A527" t="s">
        <v>552</v>
      </c>
      <c r="B527" t="s">
        <v>17</v>
      </c>
      <c r="C527" s="1">
        <v>45248</v>
      </c>
      <c r="D527" s="1">
        <v>45263</v>
      </c>
      <c r="E527" t="s">
        <v>21</v>
      </c>
      <c r="F527" t="s">
        <v>18</v>
      </c>
      <c r="G527">
        <v>1849</v>
      </c>
      <c r="H527">
        <v>28.25</v>
      </c>
      <c r="I527">
        <v>27.53</v>
      </c>
      <c r="J527">
        <v>271</v>
      </c>
      <c r="K527" t="s">
        <v>15</v>
      </c>
    </row>
    <row r="528" spans="1:11" x14ac:dyDescent="0.3">
      <c r="A528" t="s">
        <v>553</v>
      </c>
      <c r="B528" t="s">
        <v>23</v>
      </c>
      <c r="C528" s="1">
        <v>44763</v>
      </c>
      <c r="E528" t="s">
        <v>24</v>
      </c>
      <c r="F528" t="s">
        <v>18</v>
      </c>
      <c r="G528">
        <v>561</v>
      </c>
      <c r="H528">
        <v>35.54</v>
      </c>
      <c r="I528">
        <v>30.99</v>
      </c>
      <c r="J528">
        <v>68</v>
      </c>
      <c r="K528" t="s">
        <v>27</v>
      </c>
    </row>
    <row r="529" spans="1:11" x14ac:dyDescent="0.3">
      <c r="A529" t="s">
        <v>554</v>
      </c>
      <c r="B529" t="s">
        <v>20</v>
      </c>
      <c r="C529" s="1">
        <v>44934</v>
      </c>
      <c r="D529" s="1">
        <v>44940</v>
      </c>
      <c r="E529" t="s">
        <v>39</v>
      </c>
      <c r="F529" t="s">
        <v>18</v>
      </c>
      <c r="G529">
        <v>449</v>
      </c>
      <c r="H529">
        <v>12.35</v>
      </c>
      <c r="I529">
        <v>10.67</v>
      </c>
      <c r="J529">
        <v>29</v>
      </c>
      <c r="K529" t="s">
        <v>15</v>
      </c>
    </row>
    <row r="530" spans="1:11" x14ac:dyDescent="0.3">
      <c r="A530" t="s">
        <v>555</v>
      </c>
      <c r="B530" t="s">
        <v>23</v>
      </c>
      <c r="C530" s="1">
        <v>45003</v>
      </c>
      <c r="D530" s="1">
        <v>45006</v>
      </c>
      <c r="E530" t="s">
        <v>13</v>
      </c>
      <c r="F530" t="s">
        <v>18</v>
      </c>
      <c r="G530">
        <v>703</v>
      </c>
      <c r="H530">
        <v>98.75</v>
      </c>
      <c r="I530">
        <v>86.78</v>
      </c>
      <c r="J530">
        <v>59</v>
      </c>
      <c r="K530" t="s">
        <v>15</v>
      </c>
    </row>
    <row r="531" spans="1:11" x14ac:dyDescent="0.3">
      <c r="A531" t="s">
        <v>556</v>
      </c>
      <c r="B531" t="s">
        <v>20</v>
      </c>
      <c r="C531" s="1">
        <v>44633</v>
      </c>
      <c r="D531" s="1">
        <v>44648</v>
      </c>
      <c r="E531" t="s">
        <v>39</v>
      </c>
      <c r="F531" t="s">
        <v>18</v>
      </c>
      <c r="G531">
        <v>1021</v>
      </c>
      <c r="H531">
        <v>20.8</v>
      </c>
      <c r="I531">
        <v>18.23</v>
      </c>
      <c r="J531">
        <v>37</v>
      </c>
      <c r="K531" t="s">
        <v>15</v>
      </c>
    </row>
    <row r="532" spans="1:11" x14ac:dyDescent="0.3">
      <c r="A532" t="s">
        <v>557</v>
      </c>
      <c r="B532" t="s">
        <v>23</v>
      </c>
      <c r="C532" s="1">
        <v>45242</v>
      </c>
      <c r="D532" s="1">
        <v>45249</v>
      </c>
      <c r="E532" t="s">
        <v>13</v>
      </c>
      <c r="F532" t="s">
        <v>18</v>
      </c>
      <c r="G532">
        <v>1956</v>
      </c>
      <c r="H532">
        <v>68.69</v>
      </c>
      <c r="I532">
        <v>65.09</v>
      </c>
      <c r="K532" t="s">
        <v>15</v>
      </c>
    </row>
    <row r="533" spans="1:11" x14ac:dyDescent="0.3">
      <c r="A533" t="s">
        <v>558</v>
      </c>
      <c r="B533" t="s">
        <v>17</v>
      </c>
      <c r="C533" s="1">
        <v>44900</v>
      </c>
      <c r="D533" s="1">
        <v>44907</v>
      </c>
      <c r="E533" t="s">
        <v>13</v>
      </c>
      <c r="F533" t="s">
        <v>33</v>
      </c>
      <c r="G533">
        <v>520</v>
      </c>
      <c r="H533">
        <v>36.57</v>
      </c>
      <c r="I533">
        <v>34.78</v>
      </c>
      <c r="J533">
        <v>67</v>
      </c>
      <c r="K533" t="s">
        <v>27</v>
      </c>
    </row>
    <row r="534" spans="1:11" x14ac:dyDescent="0.3">
      <c r="A534" t="s">
        <v>559</v>
      </c>
      <c r="B534" t="s">
        <v>17</v>
      </c>
      <c r="C534" s="1">
        <v>45200</v>
      </c>
      <c r="D534" s="1">
        <v>45211</v>
      </c>
      <c r="E534" t="s">
        <v>21</v>
      </c>
      <c r="F534" t="s">
        <v>18</v>
      </c>
      <c r="G534">
        <v>1216</v>
      </c>
      <c r="H534">
        <v>66.16</v>
      </c>
      <c r="I534">
        <v>63</v>
      </c>
      <c r="J534">
        <v>179</v>
      </c>
      <c r="K534" t="s">
        <v>27</v>
      </c>
    </row>
    <row r="535" spans="1:11" x14ac:dyDescent="0.3">
      <c r="A535" t="s">
        <v>560</v>
      </c>
      <c r="B535" t="s">
        <v>12</v>
      </c>
      <c r="C535" s="1">
        <v>44883</v>
      </c>
      <c r="E535" t="s">
        <v>26</v>
      </c>
      <c r="F535" t="s">
        <v>18</v>
      </c>
      <c r="G535">
        <v>1165</v>
      </c>
      <c r="H535">
        <v>72.06</v>
      </c>
      <c r="I535">
        <v>63.93</v>
      </c>
      <c r="K535" t="s">
        <v>15</v>
      </c>
    </row>
    <row r="536" spans="1:11" x14ac:dyDescent="0.3">
      <c r="A536" t="s">
        <v>561</v>
      </c>
      <c r="B536" t="s">
        <v>17</v>
      </c>
      <c r="C536" s="1">
        <v>45241</v>
      </c>
      <c r="D536" s="1">
        <v>45259</v>
      </c>
      <c r="E536" t="s">
        <v>24</v>
      </c>
      <c r="F536" t="s">
        <v>35</v>
      </c>
      <c r="G536">
        <v>1427</v>
      </c>
      <c r="H536">
        <v>93.99</v>
      </c>
      <c r="I536">
        <v>83.6</v>
      </c>
      <c r="J536">
        <v>213</v>
      </c>
      <c r="K536" t="s">
        <v>15</v>
      </c>
    </row>
    <row r="537" spans="1:11" x14ac:dyDescent="0.3">
      <c r="A537" t="s">
        <v>562</v>
      </c>
      <c r="B537" t="s">
        <v>29</v>
      </c>
      <c r="C537" s="1">
        <v>44689</v>
      </c>
      <c r="D537" s="1">
        <v>44691</v>
      </c>
      <c r="E537" t="s">
        <v>39</v>
      </c>
      <c r="F537" t="s">
        <v>18</v>
      </c>
      <c r="G537">
        <v>883</v>
      </c>
      <c r="H537">
        <v>29.15</v>
      </c>
      <c r="I537">
        <v>25.75</v>
      </c>
      <c r="J537">
        <v>14</v>
      </c>
      <c r="K537" t="s">
        <v>15</v>
      </c>
    </row>
    <row r="538" spans="1:11" x14ac:dyDescent="0.3">
      <c r="A538" t="s">
        <v>563</v>
      </c>
      <c r="B538" t="s">
        <v>17</v>
      </c>
      <c r="C538" s="1">
        <v>44869</v>
      </c>
      <c r="D538" s="1">
        <v>44876</v>
      </c>
      <c r="E538" t="s">
        <v>24</v>
      </c>
      <c r="F538" t="s">
        <v>33</v>
      </c>
      <c r="G538">
        <v>1873</v>
      </c>
      <c r="H538">
        <v>11.54</v>
      </c>
      <c r="I538">
        <v>9.89</v>
      </c>
      <c r="J538">
        <v>284</v>
      </c>
      <c r="K538" t="s">
        <v>27</v>
      </c>
    </row>
    <row r="539" spans="1:11" x14ac:dyDescent="0.3">
      <c r="A539" t="s">
        <v>564</v>
      </c>
      <c r="B539" t="s">
        <v>29</v>
      </c>
      <c r="C539" s="1">
        <v>45081</v>
      </c>
      <c r="D539" s="1">
        <v>45083</v>
      </c>
      <c r="E539" t="s">
        <v>13</v>
      </c>
      <c r="F539" t="s">
        <v>18</v>
      </c>
      <c r="G539">
        <v>776</v>
      </c>
      <c r="H539">
        <v>24.22</v>
      </c>
      <c r="I539">
        <v>22.53</v>
      </c>
      <c r="J539">
        <v>27</v>
      </c>
      <c r="K539" t="s">
        <v>15</v>
      </c>
    </row>
    <row r="540" spans="1:11" x14ac:dyDescent="0.3">
      <c r="A540" t="s">
        <v>565</v>
      </c>
      <c r="B540" t="s">
        <v>17</v>
      </c>
      <c r="C540" s="1">
        <v>44878</v>
      </c>
      <c r="D540" s="1">
        <v>44889</v>
      </c>
      <c r="E540" t="s">
        <v>39</v>
      </c>
      <c r="F540" t="s">
        <v>18</v>
      </c>
      <c r="G540">
        <v>903</v>
      </c>
      <c r="H540">
        <v>95.55</v>
      </c>
      <c r="I540">
        <v>92.45</v>
      </c>
      <c r="J540">
        <v>149</v>
      </c>
      <c r="K540" t="s">
        <v>27</v>
      </c>
    </row>
    <row r="541" spans="1:11" x14ac:dyDescent="0.3">
      <c r="A541" t="s">
        <v>566</v>
      </c>
      <c r="B541" t="s">
        <v>29</v>
      </c>
      <c r="C541" s="1">
        <v>45244</v>
      </c>
      <c r="D541" s="1">
        <v>45256</v>
      </c>
      <c r="E541" t="s">
        <v>39</v>
      </c>
      <c r="F541" t="s">
        <v>18</v>
      </c>
      <c r="G541">
        <v>100</v>
      </c>
      <c r="H541">
        <v>98.4</v>
      </c>
      <c r="I541">
        <v>85.76</v>
      </c>
      <c r="J541">
        <v>3</v>
      </c>
      <c r="K541" t="s">
        <v>15</v>
      </c>
    </row>
    <row r="542" spans="1:11" x14ac:dyDescent="0.3">
      <c r="A542" t="s">
        <v>567</v>
      </c>
      <c r="B542" t="s">
        <v>29</v>
      </c>
      <c r="C542" s="1">
        <v>44980</v>
      </c>
      <c r="D542" s="1">
        <v>44993</v>
      </c>
      <c r="E542" t="s">
        <v>13</v>
      </c>
      <c r="F542" t="s">
        <v>18</v>
      </c>
      <c r="G542">
        <v>1738</v>
      </c>
      <c r="H542">
        <v>67.91</v>
      </c>
      <c r="I542">
        <v>61.15</v>
      </c>
      <c r="K542" t="s">
        <v>15</v>
      </c>
    </row>
    <row r="543" spans="1:11" x14ac:dyDescent="0.3">
      <c r="A543" t="s">
        <v>568</v>
      </c>
      <c r="B543" t="s">
        <v>17</v>
      </c>
      <c r="C543" s="1">
        <v>44896</v>
      </c>
      <c r="D543" s="1">
        <v>44909</v>
      </c>
      <c r="E543" t="s">
        <v>24</v>
      </c>
      <c r="F543" t="s">
        <v>18</v>
      </c>
      <c r="G543">
        <v>1771</v>
      </c>
      <c r="H543">
        <v>67.569999999999993</v>
      </c>
      <c r="I543">
        <v>61.48</v>
      </c>
      <c r="J543">
        <v>280</v>
      </c>
      <c r="K543" t="s">
        <v>27</v>
      </c>
    </row>
    <row r="544" spans="1:11" x14ac:dyDescent="0.3">
      <c r="A544" t="s">
        <v>569</v>
      </c>
      <c r="B544" t="s">
        <v>29</v>
      </c>
      <c r="C544" s="1">
        <v>44974</v>
      </c>
      <c r="D544" s="1">
        <v>44980</v>
      </c>
      <c r="E544" t="s">
        <v>39</v>
      </c>
      <c r="F544" t="s">
        <v>18</v>
      </c>
      <c r="G544">
        <v>624</v>
      </c>
      <c r="H544">
        <v>74.39</v>
      </c>
      <c r="I544">
        <v>66.3</v>
      </c>
      <c r="J544">
        <v>18</v>
      </c>
      <c r="K544" t="s">
        <v>27</v>
      </c>
    </row>
    <row r="545" spans="1:11" x14ac:dyDescent="0.3">
      <c r="A545" t="s">
        <v>570</v>
      </c>
      <c r="B545" t="s">
        <v>12</v>
      </c>
      <c r="C545" s="1">
        <v>45275</v>
      </c>
      <c r="D545" s="1">
        <v>45291</v>
      </c>
      <c r="E545" t="s">
        <v>24</v>
      </c>
      <c r="F545" t="s">
        <v>33</v>
      </c>
      <c r="G545">
        <v>1263</v>
      </c>
      <c r="H545">
        <v>28.75</v>
      </c>
      <c r="I545">
        <v>27.1</v>
      </c>
      <c r="J545">
        <v>26</v>
      </c>
      <c r="K545" t="s">
        <v>15</v>
      </c>
    </row>
    <row r="546" spans="1:11" x14ac:dyDescent="0.3">
      <c r="A546" t="s">
        <v>571</v>
      </c>
      <c r="B546" t="s">
        <v>20</v>
      </c>
      <c r="C546" s="1">
        <v>44864</v>
      </c>
      <c r="D546" s="1">
        <v>44881</v>
      </c>
      <c r="E546" t="s">
        <v>39</v>
      </c>
      <c r="F546" t="s">
        <v>14</v>
      </c>
      <c r="G546">
        <v>1198</v>
      </c>
      <c r="H546">
        <v>96.45</v>
      </c>
      <c r="I546">
        <v>90.09</v>
      </c>
      <c r="K546" t="s">
        <v>15</v>
      </c>
    </row>
    <row r="547" spans="1:11" x14ac:dyDescent="0.3">
      <c r="A547" t="s">
        <v>572</v>
      </c>
      <c r="B547" t="s">
        <v>29</v>
      </c>
      <c r="C547" s="1">
        <v>45129</v>
      </c>
      <c r="D547" s="1">
        <v>45132</v>
      </c>
      <c r="E547" t="s">
        <v>26</v>
      </c>
      <c r="F547" t="s">
        <v>18</v>
      </c>
      <c r="G547">
        <v>199</v>
      </c>
      <c r="H547">
        <v>51.98</v>
      </c>
      <c r="I547">
        <v>45.64</v>
      </c>
      <c r="K547" t="s">
        <v>27</v>
      </c>
    </row>
    <row r="548" spans="1:11" x14ac:dyDescent="0.3">
      <c r="A548" t="s">
        <v>573</v>
      </c>
      <c r="B548" t="s">
        <v>29</v>
      </c>
      <c r="C548" s="1">
        <v>44692</v>
      </c>
      <c r="D548" s="1">
        <v>44695</v>
      </c>
      <c r="E548" t="s">
        <v>21</v>
      </c>
      <c r="F548" t="s">
        <v>35</v>
      </c>
      <c r="G548">
        <v>363</v>
      </c>
      <c r="H548">
        <v>45.37</v>
      </c>
      <c r="I548">
        <v>38.729999999999997</v>
      </c>
      <c r="K548" t="s">
        <v>15</v>
      </c>
    </row>
    <row r="549" spans="1:11" x14ac:dyDescent="0.3">
      <c r="A549" t="s">
        <v>574</v>
      </c>
      <c r="B549" t="s">
        <v>12</v>
      </c>
      <c r="C549" s="1">
        <v>44758</v>
      </c>
      <c r="D549" s="1">
        <v>44764</v>
      </c>
      <c r="E549" t="s">
        <v>13</v>
      </c>
      <c r="F549" t="s">
        <v>18</v>
      </c>
      <c r="G549">
        <v>619</v>
      </c>
      <c r="H549">
        <v>58.4</v>
      </c>
      <c r="I549">
        <v>51.04</v>
      </c>
      <c r="K549" t="s">
        <v>15</v>
      </c>
    </row>
    <row r="550" spans="1:11" x14ac:dyDescent="0.3">
      <c r="A550" t="s">
        <v>575</v>
      </c>
      <c r="B550" t="s">
        <v>12</v>
      </c>
      <c r="C550" s="1">
        <v>44992</v>
      </c>
      <c r="D550" s="1">
        <v>45003</v>
      </c>
      <c r="E550" t="s">
        <v>21</v>
      </c>
      <c r="F550" t="s">
        <v>18</v>
      </c>
      <c r="G550">
        <v>1415</v>
      </c>
      <c r="H550">
        <v>15.22</v>
      </c>
      <c r="I550">
        <v>13.56</v>
      </c>
      <c r="J550">
        <v>30</v>
      </c>
      <c r="K550" t="s">
        <v>15</v>
      </c>
    </row>
    <row r="551" spans="1:11" x14ac:dyDescent="0.3">
      <c r="A551" t="s">
        <v>576</v>
      </c>
      <c r="B551" t="s">
        <v>23</v>
      </c>
      <c r="C551" s="1">
        <v>45242</v>
      </c>
      <c r="D551" s="1">
        <v>45253</v>
      </c>
      <c r="E551" t="s">
        <v>24</v>
      </c>
      <c r="F551" t="s">
        <v>18</v>
      </c>
      <c r="G551">
        <v>354</v>
      </c>
      <c r="H551">
        <v>27.71</v>
      </c>
      <c r="I551">
        <v>23.87</v>
      </c>
      <c r="J551">
        <v>39</v>
      </c>
      <c r="K551" t="s">
        <v>27</v>
      </c>
    </row>
    <row r="552" spans="1:11" x14ac:dyDescent="0.3">
      <c r="A552" t="s">
        <v>577</v>
      </c>
      <c r="B552" t="s">
        <v>20</v>
      </c>
      <c r="C552" s="1">
        <v>44950</v>
      </c>
      <c r="D552" s="1">
        <v>44960</v>
      </c>
      <c r="E552" t="s">
        <v>21</v>
      </c>
      <c r="F552" t="s">
        <v>18</v>
      </c>
      <c r="G552">
        <v>1765</v>
      </c>
      <c r="H552">
        <v>81.010000000000005</v>
      </c>
      <c r="I552">
        <v>78.430000000000007</v>
      </c>
      <c r="J552">
        <v>78</v>
      </c>
      <c r="K552" t="s">
        <v>15</v>
      </c>
    </row>
    <row r="553" spans="1:11" x14ac:dyDescent="0.3">
      <c r="A553" t="s">
        <v>578</v>
      </c>
      <c r="B553" t="s">
        <v>23</v>
      </c>
      <c r="C553" s="1">
        <v>45255</v>
      </c>
      <c r="D553" s="1">
        <v>45269</v>
      </c>
      <c r="E553" t="s">
        <v>21</v>
      </c>
      <c r="F553" t="s">
        <v>18</v>
      </c>
      <c r="G553">
        <v>731</v>
      </c>
      <c r="H553">
        <v>19.37</v>
      </c>
      <c r="I553">
        <v>17.3</v>
      </c>
      <c r="J553">
        <v>69</v>
      </c>
      <c r="K553" t="s">
        <v>27</v>
      </c>
    </row>
    <row r="554" spans="1:11" x14ac:dyDescent="0.3">
      <c r="A554" t="s">
        <v>579</v>
      </c>
      <c r="B554" t="s">
        <v>29</v>
      </c>
      <c r="C554" s="1">
        <v>44740</v>
      </c>
      <c r="D554" s="1">
        <v>44755</v>
      </c>
      <c r="E554" t="s">
        <v>21</v>
      </c>
      <c r="F554" t="s">
        <v>18</v>
      </c>
      <c r="G554">
        <v>887</v>
      </c>
      <c r="H554">
        <v>65.89</v>
      </c>
      <c r="I554">
        <v>59.67</v>
      </c>
      <c r="J554">
        <v>29</v>
      </c>
      <c r="K554" t="s">
        <v>15</v>
      </c>
    </row>
    <row r="555" spans="1:11" x14ac:dyDescent="0.3">
      <c r="A555" t="s">
        <v>580</v>
      </c>
      <c r="B555" t="s">
        <v>12</v>
      </c>
      <c r="C555" s="1">
        <v>45192</v>
      </c>
      <c r="D555" s="1">
        <v>45194</v>
      </c>
      <c r="E555" t="s">
        <v>21</v>
      </c>
      <c r="F555" t="s">
        <v>18</v>
      </c>
      <c r="G555">
        <v>1856</v>
      </c>
      <c r="H555">
        <v>35.29</v>
      </c>
      <c r="I555">
        <v>32.409999999999997</v>
      </c>
      <c r="J555">
        <v>26</v>
      </c>
      <c r="K555" t="s">
        <v>15</v>
      </c>
    </row>
    <row r="556" spans="1:11" x14ac:dyDescent="0.3">
      <c r="A556" t="s">
        <v>581</v>
      </c>
      <c r="B556" t="s">
        <v>29</v>
      </c>
      <c r="C556" s="1">
        <v>45144</v>
      </c>
      <c r="D556" s="1">
        <v>45156</v>
      </c>
      <c r="E556" t="s">
        <v>13</v>
      </c>
      <c r="F556" t="s">
        <v>18</v>
      </c>
      <c r="G556">
        <v>1127</v>
      </c>
      <c r="H556">
        <v>49.32</v>
      </c>
      <c r="I556">
        <v>46.49</v>
      </c>
      <c r="J556">
        <v>30</v>
      </c>
      <c r="K556" t="s">
        <v>15</v>
      </c>
    </row>
    <row r="557" spans="1:11" x14ac:dyDescent="0.3">
      <c r="A557" t="s">
        <v>582</v>
      </c>
      <c r="B557" t="s">
        <v>17</v>
      </c>
      <c r="C557" s="1">
        <v>44870</v>
      </c>
      <c r="D557" s="1">
        <v>44884</v>
      </c>
      <c r="E557" t="s">
        <v>26</v>
      </c>
      <c r="F557" t="s">
        <v>18</v>
      </c>
      <c r="G557">
        <v>1052</v>
      </c>
      <c r="H557">
        <v>37.78</v>
      </c>
      <c r="I557">
        <v>32.6</v>
      </c>
      <c r="J557">
        <v>162</v>
      </c>
      <c r="K557" t="s">
        <v>15</v>
      </c>
    </row>
    <row r="558" spans="1:11" x14ac:dyDescent="0.3">
      <c r="A558" t="s">
        <v>583</v>
      </c>
      <c r="B558" t="s">
        <v>20</v>
      </c>
      <c r="C558" s="1">
        <v>44977</v>
      </c>
      <c r="D558" s="1">
        <v>44979</v>
      </c>
      <c r="E558" t="s">
        <v>26</v>
      </c>
      <c r="F558" t="s">
        <v>18</v>
      </c>
      <c r="G558">
        <v>493</v>
      </c>
      <c r="H558">
        <v>44.74</v>
      </c>
      <c r="I558">
        <v>41.44</v>
      </c>
      <c r="J558">
        <v>24</v>
      </c>
      <c r="K558" t="s">
        <v>27</v>
      </c>
    </row>
    <row r="559" spans="1:11" x14ac:dyDescent="0.3">
      <c r="A559" t="s">
        <v>584</v>
      </c>
      <c r="B559" t="s">
        <v>17</v>
      </c>
      <c r="C559" s="1">
        <v>45123</v>
      </c>
      <c r="D559" s="1">
        <v>45136</v>
      </c>
      <c r="E559" t="s">
        <v>21</v>
      </c>
      <c r="F559" t="s">
        <v>33</v>
      </c>
      <c r="G559">
        <v>662</v>
      </c>
      <c r="H559">
        <v>81.44</v>
      </c>
      <c r="I559">
        <v>71.33</v>
      </c>
      <c r="J559">
        <v>87</v>
      </c>
      <c r="K559" t="s">
        <v>15</v>
      </c>
    </row>
    <row r="560" spans="1:11" x14ac:dyDescent="0.3">
      <c r="A560" t="s">
        <v>585</v>
      </c>
      <c r="B560" t="s">
        <v>12</v>
      </c>
      <c r="C560" s="1">
        <v>44562</v>
      </c>
      <c r="D560" s="1">
        <v>44568</v>
      </c>
      <c r="E560" t="s">
        <v>26</v>
      </c>
      <c r="F560" t="s">
        <v>18</v>
      </c>
      <c r="G560">
        <v>1042</v>
      </c>
      <c r="H560">
        <v>36.74</v>
      </c>
      <c r="I560">
        <v>35.78</v>
      </c>
      <c r="J560">
        <v>33</v>
      </c>
      <c r="K560" t="s">
        <v>15</v>
      </c>
    </row>
    <row r="561" spans="1:11" x14ac:dyDescent="0.3">
      <c r="A561" t="s">
        <v>586</v>
      </c>
      <c r="B561" t="s">
        <v>12</v>
      </c>
      <c r="C561" s="1">
        <v>44873</v>
      </c>
      <c r="E561" t="s">
        <v>26</v>
      </c>
      <c r="F561" t="s">
        <v>18</v>
      </c>
      <c r="G561">
        <v>313</v>
      </c>
      <c r="H561">
        <v>64.03</v>
      </c>
      <c r="I561">
        <v>57.74</v>
      </c>
      <c r="J561">
        <v>1</v>
      </c>
      <c r="K561" t="s">
        <v>15</v>
      </c>
    </row>
    <row r="562" spans="1:11" x14ac:dyDescent="0.3">
      <c r="A562" t="s">
        <v>587</v>
      </c>
      <c r="B562" t="s">
        <v>12</v>
      </c>
      <c r="C562" s="1">
        <v>44855</v>
      </c>
      <c r="D562" s="1">
        <v>44875</v>
      </c>
      <c r="E562" t="s">
        <v>13</v>
      </c>
      <c r="F562" t="s">
        <v>18</v>
      </c>
      <c r="G562">
        <v>1126</v>
      </c>
      <c r="H562">
        <v>55.22</v>
      </c>
      <c r="I562">
        <v>50.38</v>
      </c>
      <c r="K562" t="s">
        <v>15</v>
      </c>
    </row>
    <row r="563" spans="1:11" x14ac:dyDescent="0.3">
      <c r="A563" t="s">
        <v>588</v>
      </c>
      <c r="B563" t="s">
        <v>20</v>
      </c>
      <c r="C563" s="1">
        <v>44777</v>
      </c>
      <c r="D563" s="1">
        <v>44792</v>
      </c>
      <c r="E563" t="s">
        <v>21</v>
      </c>
      <c r="F563" t="s">
        <v>18</v>
      </c>
      <c r="G563">
        <v>1645</v>
      </c>
      <c r="H563">
        <v>72.17</v>
      </c>
      <c r="I563">
        <v>64</v>
      </c>
      <c r="J563">
        <v>79</v>
      </c>
      <c r="K563" t="s">
        <v>15</v>
      </c>
    </row>
    <row r="564" spans="1:11" x14ac:dyDescent="0.3">
      <c r="A564" t="s">
        <v>589</v>
      </c>
      <c r="B564" t="s">
        <v>23</v>
      </c>
      <c r="C564" s="1">
        <v>45002</v>
      </c>
      <c r="D564" s="1">
        <v>45005</v>
      </c>
      <c r="E564" t="s">
        <v>24</v>
      </c>
      <c r="F564" t="s">
        <v>18</v>
      </c>
      <c r="G564">
        <v>1053</v>
      </c>
      <c r="H564">
        <v>100.92</v>
      </c>
      <c r="I564">
        <v>92.35</v>
      </c>
      <c r="J564">
        <v>104</v>
      </c>
      <c r="K564" t="s">
        <v>15</v>
      </c>
    </row>
    <row r="565" spans="1:11" x14ac:dyDescent="0.3">
      <c r="A565" t="s">
        <v>590</v>
      </c>
      <c r="B565" t="s">
        <v>29</v>
      </c>
      <c r="C565" s="1">
        <v>45155</v>
      </c>
      <c r="D565" s="1">
        <v>45167</v>
      </c>
      <c r="E565" t="s">
        <v>21</v>
      </c>
      <c r="F565" t="s">
        <v>18</v>
      </c>
      <c r="G565">
        <v>1693</v>
      </c>
      <c r="H565">
        <v>83.14</v>
      </c>
      <c r="I565">
        <v>73.3</v>
      </c>
      <c r="J565">
        <v>62</v>
      </c>
      <c r="K565" t="s">
        <v>15</v>
      </c>
    </row>
    <row r="566" spans="1:11" x14ac:dyDescent="0.3">
      <c r="A566" t="s">
        <v>591</v>
      </c>
      <c r="B566" t="s">
        <v>29</v>
      </c>
      <c r="C566" s="1">
        <v>45183</v>
      </c>
      <c r="D566" s="1">
        <v>45202</v>
      </c>
      <c r="E566" t="s">
        <v>26</v>
      </c>
      <c r="F566" t="s">
        <v>35</v>
      </c>
      <c r="G566">
        <v>54</v>
      </c>
      <c r="H566">
        <v>32.28</v>
      </c>
      <c r="I566">
        <v>28.65</v>
      </c>
      <c r="J566">
        <v>3</v>
      </c>
      <c r="K566" t="s">
        <v>15</v>
      </c>
    </row>
    <row r="567" spans="1:11" x14ac:dyDescent="0.3">
      <c r="A567" t="s">
        <v>592</v>
      </c>
      <c r="B567" t="s">
        <v>29</v>
      </c>
      <c r="C567" s="1">
        <v>45232</v>
      </c>
      <c r="D567" s="1">
        <v>45237</v>
      </c>
      <c r="E567" t="s">
        <v>24</v>
      </c>
      <c r="F567" t="s">
        <v>18</v>
      </c>
      <c r="G567">
        <v>1176</v>
      </c>
      <c r="H567">
        <v>14.22</v>
      </c>
      <c r="I567">
        <v>12.21</v>
      </c>
      <c r="J567">
        <v>33</v>
      </c>
      <c r="K567" t="s">
        <v>15</v>
      </c>
    </row>
    <row r="568" spans="1:11" x14ac:dyDescent="0.3">
      <c r="A568" t="s">
        <v>593</v>
      </c>
      <c r="B568" t="s">
        <v>29</v>
      </c>
      <c r="C568" s="1">
        <v>44891</v>
      </c>
      <c r="D568" s="1">
        <v>44903</v>
      </c>
      <c r="E568" t="s">
        <v>26</v>
      </c>
      <c r="F568" t="s">
        <v>18</v>
      </c>
      <c r="G568">
        <v>1269</v>
      </c>
      <c r="H568">
        <v>35.28</v>
      </c>
      <c r="I568">
        <v>33.700000000000003</v>
      </c>
      <c r="J568">
        <v>35</v>
      </c>
      <c r="K568" t="s">
        <v>15</v>
      </c>
    </row>
    <row r="569" spans="1:11" x14ac:dyDescent="0.3">
      <c r="A569" t="s">
        <v>594</v>
      </c>
      <c r="B569" t="s">
        <v>29</v>
      </c>
      <c r="C569" s="1">
        <v>45038</v>
      </c>
      <c r="D569" s="1">
        <v>45041</v>
      </c>
      <c r="E569" t="s">
        <v>26</v>
      </c>
      <c r="F569" t="s">
        <v>18</v>
      </c>
      <c r="G569">
        <v>823</v>
      </c>
      <c r="H569">
        <v>68.319999999999993</v>
      </c>
      <c r="I569">
        <v>64.459999999999994</v>
      </c>
      <c r="J569">
        <v>19</v>
      </c>
      <c r="K569" t="s">
        <v>15</v>
      </c>
    </row>
    <row r="570" spans="1:11" x14ac:dyDescent="0.3">
      <c r="A570" t="s">
        <v>595</v>
      </c>
      <c r="B570" t="s">
        <v>23</v>
      </c>
      <c r="C570" s="1">
        <v>45014</v>
      </c>
      <c r="D570" s="1">
        <v>45031</v>
      </c>
      <c r="E570" t="s">
        <v>39</v>
      </c>
      <c r="F570" t="s">
        <v>18</v>
      </c>
      <c r="G570">
        <v>926</v>
      </c>
      <c r="H570">
        <v>15.65</v>
      </c>
      <c r="I570">
        <v>13.49</v>
      </c>
      <c r="J570">
        <v>94</v>
      </c>
      <c r="K570" t="s">
        <v>27</v>
      </c>
    </row>
    <row r="571" spans="1:11" x14ac:dyDescent="0.3">
      <c r="A571" t="s">
        <v>596</v>
      </c>
      <c r="B571" t="s">
        <v>17</v>
      </c>
      <c r="C571" s="1">
        <v>45014</v>
      </c>
      <c r="D571" s="1">
        <v>45025</v>
      </c>
      <c r="E571" t="s">
        <v>39</v>
      </c>
      <c r="F571" t="s">
        <v>14</v>
      </c>
      <c r="G571">
        <v>1041</v>
      </c>
      <c r="H571">
        <v>58.5</v>
      </c>
      <c r="I571">
        <v>52.54</v>
      </c>
      <c r="J571">
        <v>170</v>
      </c>
      <c r="K571" t="s">
        <v>27</v>
      </c>
    </row>
    <row r="572" spans="1:11" x14ac:dyDescent="0.3">
      <c r="A572" t="s">
        <v>597</v>
      </c>
      <c r="B572" t="s">
        <v>20</v>
      </c>
      <c r="C572" s="1">
        <v>45253</v>
      </c>
      <c r="D572" s="1">
        <v>45261</v>
      </c>
      <c r="E572" t="s">
        <v>39</v>
      </c>
      <c r="F572" t="s">
        <v>35</v>
      </c>
      <c r="G572">
        <v>933</v>
      </c>
      <c r="H572">
        <v>70.72</v>
      </c>
      <c r="I572">
        <v>65.47</v>
      </c>
      <c r="J572">
        <v>42</v>
      </c>
      <c r="K572" t="s">
        <v>15</v>
      </c>
    </row>
    <row r="573" spans="1:11" x14ac:dyDescent="0.3">
      <c r="A573" t="s">
        <v>598</v>
      </c>
      <c r="B573" t="s">
        <v>17</v>
      </c>
      <c r="C573" s="1">
        <v>44780</v>
      </c>
      <c r="E573" t="s">
        <v>26</v>
      </c>
      <c r="F573" t="s">
        <v>18</v>
      </c>
      <c r="G573">
        <v>1423</v>
      </c>
      <c r="H573">
        <v>41.48</v>
      </c>
      <c r="I573">
        <v>40.9</v>
      </c>
      <c r="J573">
        <v>199</v>
      </c>
      <c r="K573" t="s">
        <v>15</v>
      </c>
    </row>
    <row r="574" spans="1:11" x14ac:dyDescent="0.3">
      <c r="A574" t="s">
        <v>599</v>
      </c>
      <c r="B574" t="s">
        <v>17</v>
      </c>
      <c r="C574" s="1">
        <v>45085</v>
      </c>
      <c r="D574" s="1">
        <v>45091</v>
      </c>
      <c r="E574" t="s">
        <v>21</v>
      </c>
      <c r="F574" t="s">
        <v>18</v>
      </c>
      <c r="G574">
        <v>96</v>
      </c>
      <c r="H574">
        <v>86.13</v>
      </c>
      <c r="I574">
        <v>80.319999999999993</v>
      </c>
      <c r="J574">
        <v>12</v>
      </c>
      <c r="K574" t="s">
        <v>27</v>
      </c>
    </row>
    <row r="575" spans="1:11" x14ac:dyDescent="0.3">
      <c r="A575" t="s">
        <v>600</v>
      </c>
      <c r="B575" t="s">
        <v>29</v>
      </c>
      <c r="C575" s="1">
        <v>45046</v>
      </c>
      <c r="D575" s="1">
        <v>45059</v>
      </c>
      <c r="E575" t="s">
        <v>21</v>
      </c>
      <c r="F575" t="s">
        <v>18</v>
      </c>
      <c r="G575">
        <v>916</v>
      </c>
      <c r="H575">
        <v>21.06</v>
      </c>
      <c r="I575">
        <v>19.53</v>
      </c>
      <c r="J575">
        <v>25</v>
      </c>
      <c r="K575" t="s">
        <v>15</v>
      </c>
    </row>
    <row r="576" spans="1:11" x14ac:dyDescent="0.3">
      <c r="A576" t="s">
        <v>601</v>
      </c>
      <c r="B576" t="s">
        <v>29</v>
      </c>
      <c r="C576" s="1">
        <v>44735</v>
      </c>
      <c r="E576" t="s">
        <v>26</v>
      </c>
      <c r="F576" t="s">
        <v>18</v>
      </c>
      <c r="G576">
        <v>872</v>
      </c>
      <c r="H576">
        <v>17.18</v>
      </c>
      <c r="I576">
        <v>16.63</v>
      </c>
      <c r="J576">
        <v>20</v>
      </c>
      <c r="K576" t="s">
        <v>15</v>
      </c>
    </row>
    <row r="577" spans="1:11" x14ac:dyDescent="0.3">
      <c r="A577" t="s">
        <v>602</v>
      </c>
      <c r="B577" t="s">
        <v>23</v>
      </c>
      <c r="C577" s="1">
        <v>45236</v>
      </c>
      <c r="D577" s="1">
        <v>45245</v>
      </c>
      <c r="E577" t="s">
        <v>39</v>
      </c>
      <c r="F577" t="s">
        <v>18</v>
      </c>
      <c r="G577">
        <v>985</v>
      </c>
      <c r="H577">
        <v>83.85</v>
      </c>
      <c r="I577">
        <v>80.88</v>
      </c>
      <c r="K577" t="s">
        <v>27</v>
      </c>
    </row>
    <row r="578" spans="1:11" x14ac:dyDescent="0.3">
      <c r="A578" t="s">
        <v>603</v>
      </c>
      <c r="B578" t="s">
        <v>20</v>
      </c>
      <c r="C578" s="1">
        <v>44648</v>
      </c>
      <c r="D578" s="1">
        <v>44655</v>
      </c>
      <c r="E578" t="s">
        <v>26</v>
      </c>
      <c r="F578" t="s">
        <v>18</v>
      </c>
      <c r="G578">
        <v>1893</v>
      </c>
      <c r="H578">
        <v>55.14</v>
      </c>
      <c r="I578">
        <v>50.1</v>
      </c>
      <c r="J578">
        <v>98</v>
      </c>
      <c r="K578" t="s">
        <v>15</v>
      </c>
    </row>
    <row r="579" spans="1:11" x14ac:dyDescent="0.3">
      <c r="A579" t="s">
        <v>604</v>
      </c>
      <c r="B579" t="s">
        <v>12</v>
      </c>
      <c r="C579" s="1">
        <v>44852</v>
      </c>
      <c r="E579" t="s">
        <v>21</v>
      </c>
      <c r="F579" t="s">
        <v>18</v>
      </c>
      <c r="G579">
        <v>705</v>
      </c>
      <c r="H579">
        <v>75.19</v>
      </c>
      <c r="I579">
        <v>69.55</v>
      </c>
      <c r="J579">
        <v>19</v>
      </c>
      <c r="K579" t="s">
        <v>15</v>
      </c>
    </row>
    <row r="580" spans="1:11" x14ac:dyDescent="0.3">
      <c r="A580" t="s">
        <v>605</v>
      </c>
      <c r="B580" t="s">
        <v>17</v>
      </c>
      <c r="C580" s="1">
        <v>45089</v>
      </c>
      <c r="D580" s="1">
        <v>45105</v>
      </c>
      <c r="E580" t="s">
        <v>21</v>
      </c>
      <c r="F580" t="s">
        <v>18</v>
      </c>
      <c r="G580">
        <v>318</v>
      </c>
      <c r="H580">
        <v>53.31</v>
      </c>
      <c r="I580">
        <v>51.78</v>
      </c>
      <c r="K580" t="s">
        <v>27</v>
      </c>
    </row>
    <row r="581" spans="1:11" x14ac:dyDescent="0.3">
      <c r="A581" t="s">
        <v>606</v>
      </c>
      <c r="B581" t="s">
        <v>12</v>
      </c>
      <c r="C581" s="1">
        <v>45241</v>
      </c>
      <c r="D581" s="1">
        <v>45246</v>
      </c>
      <c r="E581" t="s">
        <v>13</v>
      </c>
      <c r="F581" t="s">
        <v>35</v>
      </c>
      <c r="G581">
        <v>419</v>
      </c>
      <c r="H581">
        <v>35.72</v>
      </c>
      <c r="I581">
        <v>32.74</v>
      </c>
      <c r="J581">
        <v>7</v>
      </c>
      <c r="K581" t="s">
        <v>15</v>
      </c>
    </row>
    <row r="582" spans="1:11" x14ac:dyDescent="0.3">
      <c r="A582" t="s">
        <v>607</v>
      </c>
      <c r="B582" t="s">
        <v>20</v>
      </c>
      <c r="C582" s="1">
        <v>45210</v>
      </c>
      <c r="D582" s="1">
        <v>45225</v>
      </c>
      <c r="E582" t="s">
        <v>21</v>
      </c>
      <c r="F582" t="s">
        <v>18</v>
      </c>
      <c r="G582">
        <v>685</v>
      </c>
      <c r="H582">
        <v>92.51</v>
      </c>
      <c r="I582">
        <v>90.05</v>
      </c>
      <c r="J582">
        <v>38</v>
      </c>
      <c r="K582" t="s">
        <v>15</v>
      </c>
    </row>
    <row r="583" spans="1:11" x14ac:dyDescent="0.3">
      <c r="A583" t="s">
        <v>608</v>
      </c>
      <c r="B583" t="s">
        <v>17</v>
      </c>
      <c r="C583" s="1">
        <v>45196</v>
      </c>
      <c r="D583" s="1">
        <v>45211</v>
      </c>
      <c r="E583" t="s">
        <v>13</v>
      </c>
      <c r="F583" t="s">
        <v>33</v>
      </c>
      <c r="G583">
        <v>1179</v>
      </c>
      <c r="H583">
        <v>90.14</v>
      </c>
      <c r="I583">
        <v>82.63</v>
      </c>
      <c r="J583">
        <v>194</v>
      </c>
      <c r="K583" t="s">
        <v>15</v>
      </c>
    </row>
    <row r="584" spans="1:11" x14ac:dyDescent="0.3">
      <c r="A584" t="s">
        <v>609</v>
      </c>
      <c r="B584" t="s">
        <v>12</v>
      </c>
      <c r="C584" s="1">
        <v>44905</v>
      </c>
      <c r="E584" t="s">
        <v>26</v>
      </c>
      <c r="F584" t="s">
        <v>18</v>
      </c>
      <c r="G584">
        <v>1743</v>
      </c>
      <c r="H584">
        <v>76.510000000000005</v>
      </c>
      <c r="I584">
        <v>65.88</v>
      </c>
      <c r="J584">
        <v>40</v>
      </c>
      <c r="K584" t="s">
        <v>15</v>
      </c>
    </row>
    <row r="585" spans="1:11" x14ac:dyDescent="0.3">
      <c r="A585" t="s">
        <v>610</v>
      </c>
      <c r="B585" t="s">
        <v>12</v>
      </c>
      <c r="C585" s="1">
        <v>44657</v>
      </c>
      <c r="D585" s="1">
        <v>44668</v>
      </c>
      <c r="E585" t="s">
        <v>21</v>
      </c>
      <c r="F585" t="s">
        <v>18</v>
      </c>
      <c r="G585">
        <v>1732</v>
      </c>
      <c r="H585">
        <v>35.01</v>
      </c>
      <c r="I585">
        <v>34.18</v>
      </c>
      <c r="J585">
        <v>40</v>
      </c>
      <c r="K585" t="s">
        <v>15</v>
      </c>
    </row>
    <row r="586" spans="1:11" x14ac:dyDescent="0.3">
      <c r="A586" t="s">
        <v>611</v>
      </c>
      <c r="B586" t="s">
        <v>23</v>
      </c>
      <c r="C586" s="1">
        <v>44802</v>
      </c>
      <c r="D586" s="1">
        <v>44805</v>
      </c>
      <c r="E586" t="s">
        <v>13</v>
      </c>
      <c r="F586" t="s">
        <v>18</v>
      </c>
      <c r="G586">
        <v>706</v>
      </c>
      <c r="H586">
        <v>65.33</v>
      </c>
      <c r="I586">
        <v>62.06</v>
      </c>
      <c r="J586">
        <v>60</v>
      </c>
      <c r="K586" t="s">
        <v>27</v>
      </c>
    </row>
    <row r="587" spans="1:11" x14ac:dyDescent="0.3">
      <c r="A587" t="s">
        <v>612</v>
      </c>
      <c r="B587" t="s">
        <v>20</v>
      </c>
      <c r="C587" s="1">
        <v>45250</v>
      </c>
      <c r="D587" s="1">
        <v>45260</v>
      </c>
      <c r="E587" t="s">
        <v>21</v>
      </c>
      <c r="F587" t="s">
        <v>14</v>
      </c>
      <c r="G587">
        <v>169</v>
      </c>
      <c r="H587">
        <v>47.16</v>
      </c>
      <c r="I587">
        <v>43.4</v>
      </c>
      <c r="K587" t="s">
        <v>15</v>
      </c>
    </row>
    <row r="588" spans="1:11" x14ac:dyDescent="0.3">
      <c r="A588" t="s">
        <v>613</v>
      </c>
      <c r="B588" t="s">
        <v>20</v>
      </c>
      <c r="C588" s="1">
        <v>44879</v>
      </c>
      <c r="D588" s="1">
        <v>44885</v>
      </c>
      <c r="E588" t="s">
        <v>13</v>
      </c>
      <c r="F588" t="s">
        <v>35</v>
      </c>
      <c r="G588">
        <v>880</v>
      </c>
      <c r="H588">
        <v>19.149999999999999</v>
      </c>
      <c r="I588">
        <v>18.690000000000001</v>
      </c>
      <c r="K588" t="s">
        <v>27</v>
      </c>
    </row>
    <row r="589" spans="1:11" x14ac:dyDescent="0.3">
      <c r="A589" t="s">
        <v>614</v>
      </c>
      <c r="B589" t="s">
        <v>20</v>
      </c>
      <c r="C589" s="1">
        <v>44792</v>
      </c>
      <c r="D589" s="1">
        <v>44798</v>
      </c>
      <c r="E589" t="s">
        <v>21</v>
      </c>
      <c r="F589" t="s">
        <v>18</v>
      </c>
      <c r="G589">
        <v>1860</v>
      </c>
      <c r="H589">
        <v>95.8</v>
      </c>
      <c r="I589">
        <v>92.17</v>
      </c>
      <c r="J589">
        <v>105</v>
      </c>
      <c r="K589" t="s">
        <v>27</v>
      </c>
    </row>
    <row r="590" spans="1:11" x14ac:dyDescent="0.3">
      <c r="A590" t="s">
        <v>615</v>
      </c>
      <c r="B590" t="s">
        <v>17</v>
      </c>
      <c r="C590" s="1">
        <v>44765</v>
      </c>
      <c r="D590" s="1">
        <v>44782</v>
      </c>
      <c r="E590" t="s">
        <v>21</v>
      </c>
      <c r="F590" t="s">
        <v>18</v>
      </c>
      <c r="G590">
        <v>1677</v>
      </c>
      <c r="H590">
        <v>22.98</v>
      </c>
      <c r="I590">
        <v>21.71</v>
      </c>
      <c r="J590">
        <v>246</v>
      </c>
      <c r="K590" t="s">
        <v>15</v>
      </c>
    </row>
    <row r="591" spans="1:11" x14ac:dyDescent="0.3">
      <c r="A591" t="s">
        <v>616</v>
      </c>
      <c r="B591" t="s">
        <v>23</v>
      </c>
      <c r="C591" s="1">
        <v>44712</v>
      </c>
      <c r="D591" s="1">
        <v>44719</v>
      </c>
      <c r="E591" t="s">
        <v>24</v>
      </c>
      <c r="F591" t="s">
        <v>33</v>
      </c>
      <c r="G591">
        <v>1131</v>
      </c>
      <c r="H591">
        <v>97.43</v>
      </c>
      <c r="I591">
        <v>91.28</v>
      </c>
      <c r="J591">
        <v>103</v>
      </c>
      <c r="K591" t="s">
        <v>15</v>
      </c>
    </row>
    <row r="592" spans="1:11" x14ac:dyDescent="0.3">
      <c r="A592" t="s">
        <v>617</v>
      </c>
      <c r="B592" t="s">
        <v>29</v>
      </c>
      <c r="C592" s="1">
        <v>44587</v>
      </c>
      <c r="D592" s="1">
        <v>44595</v>
      </c>
      <c r="E592" t="s">
        <v>26</v>
      </c>
      <c r="F592" t="s">
        <v>14</v>
      </c>
      <c r="G592">
        <v>1419</v>
      </c>
      <c r="H592">
        <v>50.14</v>
      </c>
      <c r="I592">
        <v>43.46</v>
      </c>
      <c r="K592" t="s">
        <v>15</v>
      </c>
    </row>
    <row r="593" spans="1:11" x14ac:dyDescent="0.3">
      <c r="A593" t="s">
        <v>618</v>
      </c>
      <c r="B593" t="s">
        <v>17</v>
      </c>
      <c r="C593" s="1">
        <v>44609</v>
      </c>
      <c r="D593" s="1">
        <v>44610</v>
      </c>
      <c r="E593" t="s">
        <v>26</v>
      </c>
      <c r="F593" t="s">
        <v>35</v>
      </c>
      <c r="G593">
        <v>790</v>
      </c>
      <c r="H593">
        <v>26.8</v>
      </c>
      <c r="I593">
        <v>25.62</v>
      </c>
      <c r="J593">
        <v>115</v>
      </c>
      <c r="K593" t="s">
        <v>15</v>
      </c>
    </row>
    <row r="594" spans="1:11" x14ac:dyDescent="0.3">
      <c r="A594" t="s">
        <v>619</v>
      </c>
      <c r="B594" t="s">
        <v>20</v>
      </c>
      <c r="C594" s="1">
        <v>44812</v>
      </c>
      <c r="D594" s="1">
        <v>44831</v>
      </c>
      <c r="E594" t="s">
        <v>21</v>
      </c>
      <c r="F594" t="s">
        <v>35</v>
      </c>
      <c r="G594">
        <v>1547</v>
      </c>
      <c r="H594">
        <v>61.12</v>
      </c>
      <c r="I594">
        <v>53.43</v>
      </c>
      <c r="J594">
        <v>77</v>
      </c>
      <c r="K594" t="s">
        <v>15</v>
      </c>
    </row>
    <row r="595" spans="1:11" x14ac:dyDescent="0.3">
      <c r="A595" t="s">
        <v>620</v>
      </c>
      <c r="B595" t="s">
        <v>17</v>
      </c>
      <c r="C595" s="1">
        <v>45048</v>
      </c>
      <c r="D595" s="1">
        <v>45066</v>
      </c>
      <c r="E595" t="s">
        <v>13</v>
      </c>
      <c r="F595" t="s">
        <v>14</v>
      </c>
      <c r="G595">
        <v>166</v>
      </c>
      <c r="H595">
        <v>95.65</v>
      </c>
      <c r="I595">
        <v>94.48</v>
      </c>
      <c r="J595">
        <v>23</v>
      </c>
      <c r="K595" t="s">
        <v>15</v>
      </c>
    </row>
    <row r="596" spans="1:11" x14ac:dyDescent="0.3">
      <c r="A596" t="s">
        <v>621</v>
      </c>
      <c r="B596" t="s">
        <v>12</v>
      </c>
      <c r="C596" s="1">
        <v>45187</v>
      </c>
      <c r="D596" s="1">
        <v>45190</v>
      </c>
      <c r="E596" t="s">
        <v>39</v>
      </c>
      <c r="F596" t="s">
        <v>18</v>
      </c>
      <c r="G596">
        <v>1903</v>
      </c>
      <c r="H596">
        <v>83.49</v>
      </c>
      <c r="I596">
        <v>82.33</v>
      </c>
      <c r="J596">
        <v>43</v>
      </c>
      <c r="K596" t="s">
        <v>15</v>
      </c>
    </row>
    <row r="597" spans="1:11" x14ac:dyDescent="0.3">
      <c r="A597" t="s">
        <v>622</v>
      </c>
      <c r="B597" t="s">
        <v>17</v>
      </c>
      <c r="C597" s="1">
        <v>44636</v>
      </c>
      <c r="D597" s="1">
        <v>44649</v>
      </c>
      <c r="E597" t="s">
        <v>13</v>
      </c>
      <c r="F597" t="s">
        <v>33</v>
      </c>
      <c r="G597">
        <v>840</v>
      </c>
      <c r="H597">
        <v>83.42</v>
      </c>
      <c r="I597">
        <v>80.349999999999994</v>
      </c>
      <c r="J597">
        <v>153</v>
      </c>
      <c r="K597" t="s">
        <v>15</v>
      </c>
    </row>
    <row r="598" spans="1:11" x14ac:dyDescent="0.3">
      <c r="A598" t="s">
        <v>623</v>
      </c>
      <c r="B598" t="s">
        <v>17</v>
      </c>
      <c r="C598" s="1">
        <v>45028</v>
      </c>
      <c r="E598" t="s">
        <v>21</v>
      </c>
      <c r="F598" t="s">
        <v>18</v>
      </c>
      <c r="G598">
        <v>1200</v>
      </c>
      <c r="H598">
        <v>74.489999999999995</v>
      </c>
      <c r="I598">
        <v>64.63</v>
      </c>
      <c r="J598">
        <v>161</v>
      </c>
      <c r="K598" t="s">
        <v>15</v>
      </c>
    </row>
    <row r="599" spans="1:11" x14ac:dyDescent="0.3">
      <c r="A599" t="s">
        <v>624</v>
      </c>
      <c r="B599" t="s">
        <v>20</v>
      </c>
      <c r="C599" s="1">
        <v>44986</v>
      </c>
      <c r="D599" s="1">
        <v>45003</v>
      </c>
      <c r="E599" t="s">
        <v>26</v>
      </c>
      <c r="F599" t="s">
        <v>18</v>
      </c>
      <c r="G599">
        <v>1466</v>
      </c>
      <c r="H599">
        <v>77.37</v>
      </c>
      <c r="I599">
        <v>70.349999999999994</v>
      </c>
      <c r="J599">
        <v>72</v>
      </c>
      <c r="K599" t="s">
        <v>15</v>
      </c>
    </row>
    <row r="600" spans="1:11" x14ac:dyDescent="0.3">
      <c r="A600" t="s">
        <v>625</v>
      </c>
      <c r="B600" t="s">
        <v>12</v>
      </c>
      <c r="C600" s="1">
        <v>45206</v>
      </c>
      <c r="D600" s="1">
        <v>45220</v>
      </c>
      <c r="E600" t="s">
        <v>13</v>
      </c>
      <c r="F600" t="s">
        <v>18</v>
      </c>
      <c r="G600">
        <v>1981</v>
      </c>
      <c r="H600">
        <v>95.5</v>
      </c>
      <c r="I600">
        <v>94.39</v>
      </c>
      <c r="J600">
        <v>49</v>
      </c>
      <c r="K600" t="s">
        <v>15</v>
      </c>
    </row>
    <row r="601" spans="1:11" x14ac:dyDescent="0.3">
      <c r="A601" t="s">
        <v>626</v>
      </c>
      <c r="B601" t="s">
        <v>20</v>
      </c>
      <c r="C601" s="1">
        <v>45151</v>
      </c>
      <c r="D601" s="1">
        <v>45154</v>
      </c>
      <c r="E601" t="s">
        <v>24</v>
      </c>
      <c r="F601" t="s">
        <v>18</v>
      </c>
      <c r="G601">
        <v>1062</v>
      </c>
      <c r="H601">
        <v>35.549999999999997</v>
      </c>
      <c r="I601">
        <v>32.380000000000003</v>
      </c>
      <c r="K601" t="s">
        <v>15</v>
      </c>
    </row>
    <row r="602" spans="1:11" x14ac:dyDescent="0.3">
      <c r="A602" t="s">
        <v>627</v>
      </c>
      <c r="B602" t="s">
        <v>12</v>
      </c>
      <c r="C602" s="1">
        <v>44761</v>
      </c>
      <c r="D602" s="1">
        <v>44772</v>
      </c>
      <c r="E602" t="s">
        <v>21</v>
      </c>
      <c r="F602" t="s">
        <v>18</v>
      </c>
      <c r="G602">
        <v>1714</v>
      </c>
      <c r="H602">
        <v>55.67</v>
      </c>
      <c r="I602">
        <v>55.09</v>
      </c>
      <c r="J602">
        <v>42</v>
      </c>
      <c r="K602" t="s">
        <v>15</v>
      </c>
    </row>
    <row r="603" spans="1:11" x14ac:dyDescent="0.3">
      <c r="A603" t="s">
        <v>628</v>
      </c>
      <c r="B603" t="s">
        <v>12</v>
      </c>
      <c r="C603" s="1">
        <v>45275</v>
      </c>
      <c r="D603" s="1">
        <v>45290</v>
      </c>
      <c r="E603" t="s">
        <v>13</v>
      </c>
      <c r="F603" t="s">
        <v>18</v>
      </c>
      <c r="G603">
        <v>1131</v>
      </c>
      <c r="H603">
        <v>33.35</v>
      </c>
      <c r="I603">
        <v>31.28</v>
      </c>
      <c r="J603">
        <v>23</v>
      </c>
      <c r="K603" t="s">
        <v>15</v>
      </c>
    </row>
    <row r="604" spans="1:11" x14ac:dyDescent="0.3">
      <c r="A604" t="s">
        <v>629</v>
      </c>
      <c r="B604" t="s">
        <v>12</v>
      </c>
      <c r="C604" s="1">
        <v>44955</v>
      </c>
      <c r="D604" s="1">
        <v>44972</v>
      </c>
      <c r="E604" t="s">
        <v>13</v>
      </c>
      <c r="F604" t="s">
        <v>18</v>
      </c>
      <c r="G604">
        <v>683</v>
      </c>
      <c r="H604">
        <v>104.82</v>
      </c>
      <c r="I604">
        <v>101.34</v>
      </c>
      <c r="K604" t="s">
        <v>15</v>
      </c>
    </row>
    <row r="605" spans="1:11" x14ac:dyDescent="0.3">
      <c r="A605" t="s">
        <v>630</v>
      </c>
      <c r="B605" t="s">
        <v>20</v>
      </c>
      <c r="C605" s="1">
        <v>45068</v>
      </c>
      <c r="D605" s="1">
        <v>45086</v>
      </c>
      <c r="E605" t="s">
        <v>24</v>
      </c>
      <c r="F605" t="s">
        <v>33</v>
      </c>
      <c r="G605">
        <v>562</v>
      </c>
      <c r="H605">
        <v>102.56</v>
      </c>
      <c r="I605">
        <v>90.88</v>
      </c>
      <c r="J605">
        <v>38</v>
      </c>
      <c r="K605" t="s">
        <v>15</v>
      </c>
    </row>
    <row r="606" spans="1:11" x14ac:dyDescent="0.3">
      <c r="A606" t="s">
        <v>631</v>
      </c>
      <c r="B606" t="s">
        <v>12</v>
      </c>
      <c r="C606" s="1">
        <v>44971</v>
      </c>
      <c r="D606" s="1">
        <v>44977</v>
      </c>
      <c r="E606" t="s">
        <v>39</v>
      </c>
      <c r="F606" t="s">
        <v>18</v>
      </c>
      <c r="G606">
        <v>1824</v>
      </c>
      <c r="H606">
        <v>14.43</v>
      </c>
      <c r="I606">
        <v>14.11</v>
      </c>
      <c r="J606">
        <v>36</v>
      </c>
      <c r="K606" t="s">
        <v>15</v>
      </c>
    </row>
    <row r="607" spans="1:11" x14ac:dyDescent="0.3">
      <c r="A607" t="s">
        <v>632</v>
      </c>
      <c r="B607" t="s">
        <v>23</v>
      </c>
      <c r="C607" s="1">
        <v>44811</v>
      </c>
      <c r="D607" s="1">
        <v>44816</v>
      </c>
      <c r="E607" t="s">
        <v>39</v>
      </c>
      <c r="F607" t="s">
        <v>33</v>
      </c>
      <c r="G607">
        <v>851</v>
      </c>
      <c r="H607">
        <v>76.44</v>
      </c>
      <c r="I607">
        <v>74.760000000000005</v>
      </c>
      <c r="J607">
        <v>91</v>
      </c>
      <c r="K607" t="s">
        <v>15</v>
      </c>
    </row>
    <row r="608" spans="1:11" x14ac:dyDescent="0.3">
      <c r="A608" t="s">
        <v>633</v>
      </c>
      <c r="B608" t="s">
        <v>23</v>
      </c>
      <c r="C608" s="1">
        <v>44713</v>
      </c>
      <c r="D608" s="1">
        <v>44715</v>
      </c>
      <c r="E608" t="s">
        <v>13</v>
      </c>
      <c r="F608" t="s">
        <v>18</v>
      </c>
      <c r="G608">
        <v>1169</v>
      </c>
      <c r="H608">
        <v>95.6</v>
      </c>
      <c r="I608">
        <v>82.16</v>
      </c>
      <c r="J608">
        <v>103</v>
      </c>
      <c r="K608" t="s">
        <v>15</v>
      </c>
    </row>
    <row r="609" spans="1:11" x14ac:dyDescent="0.3">
      <c r="A609" t="s">
        <v>634</v>
      </c>
      <c r="B609" t="s">
        <v>29</v>
      </c>
      <c r="C609" s="1">
        <v>45233</v>
      </c>
      <c r="D609" s="1">
        <v>45250</v>
      </c>
      <c r="E609" t="s">
        <v>21</v>
      </c>
      <c r="F609" t="s">
        <v>18</v>
      </c>
      <c r="G609">
        <v>1711</v>
      </c>
      <c r="H609">
        <v>29.14</v>
      </c>
      <c r="I609">
        <v>26.35</v>
      </c>
      <c r="J609">
        <v>48</v>
      </c>
      <c r="K609" t="s">
        <v>15</v>
      </c>
    </row>
    <row r="610" spans="1:11" x14ac:dyDescent="0.3">
      <c r="A610" t="s">
        <v>635</v>
      </c>
      <c r="B610" t="s">
        <v>23</v>
      </c>
      <c r="C610" s="1">
        <v>45266</v>
      </c>
      <c r="D610" s="1">
        <v>45272</v>
      </c>
      <c r="E610" t="s">
        <v>24</v>
      </c>
      <c r="F610" t="s">
        <v>35</v>
      </c>
      <c r="G610">
        <v>1191</v>
      </c>
      <c r="H610">
        <v>68.14</v>
      </c>
      <c r="I610">
        <v>61.71</v>
      </c>
      <c r="J610">
        <v>112</v>
      </c>
      <c r="K610" t="s">
        <v>15</v>
      </c>
    </row>
    <row r="611" spans="1:11" x14ac:dyDescent="0.3">
      <c r="A611" t="s">
        <v>636</v>
      </c>
      <c r="B611" t="s">
        <v>29</v>
      </c>
      <c r="C611" s="1">
        <v>44567</v>
      </c>
      <c r="D611" s="1">
        <v>44575</v>
      </c>
      <c r="E611" t="s">
        <v>39</v>
      </c>
      <c r="F611" t="s">
        <v>18</v>
      </c>
      <c r="G611">
        <v>609</v>
      </c>
      <c r="H611">
        <v>92.39</v>
      </c>
      <c r="I611">
        <v>82.75</v>
      </c>
      <c r="J611">
        <v>29</v>
      </c>
      <c r="K611" t="s">
        <v>15</v>
      </c>
    </row>
    <row r="612" spans="1:11" x14ac:dyDescent="0.3">
      <c r="A612" t="s">
        <v>637</v>
      </c>
      <c r="B612" t="s">
        <v>23</v>
      </c>
      <c r="C612" s="1">
        <v>44671</v>
      </c>
      <c r="D612" s="1">
        <v>44688</v>
      </c>
      <c r="E612" t="s">
        <v>13</v>
      </c>
      <c r="F612" t="s">
        <v>18</v>
      </c>
      <c r="G612">
        <v>1674</v>
      </c>
      <c r="H612">
        <v>13.25</v>
      </c>
      <c r="I612">
        <v>11.77</v>
      </c>
      <c r="J612">
        <v>181</v>
      </c>
      <c r="K612" t="s">
        <v>15</v>
      </c>
    </row>
    <row r="613" spans="1:11" x14ac:dyDescent="0.3">
      <c r="A613" t="s">
        <v>638</v>
      </c>
      <c r="B613" t="s">
        <v>20</v>
      </c>
      <c r="C613" s="1">
        <v>44997</v>
      </c>
      <c r="D613" s="1">
        <v>45000</v>
      </c>
      <c r="E613" t="s">
        <v>21</v>
      </c>
      <c r="F613" t="s">
        <v>18</v>
      </c>
      <c r="G613">
        <v>537</v>
      </c>
      <c r="H613">
        <v>77.86</v>
      </c>
      <c r="I613">
        <v>71.180000000000007</v>
      </c>
      <c r="J613">
        <v>20</v>
      </c>
      <c r="K613" t="s">
        <v>15</v>
      </c>
    </row>
    <row r="614" spans="1:11" x14ac:dyDescent="0.3">
      <c r="A614" t="s">
        <v>639</v>
      </c>
      <c r="B614" t="s">
        <v>29</v>
      </c>
      <c r="C614" s="1">
        <v>44786</v>
      </c>
      <c r="D614" s="1">
        <v>44804</v>
      </c>
      <c r="E614" t="s">
        <v>39</v>
      </c>
      <c r="F614" t="s">
        <v>18</v>
      </c>
      <c r="G614">
        <v>1310</v>
      </c>
      <c r="H614">
        <v>38.049999999999997</v>
      </c>
      <c r="I614">
        <v>37</v>
      </c>
      <c r="J614">
        <v>45</v>
      </c>
      <c r="K614" t="s">
        <v>15</v>
      </c>
    </row>
    <row r="615" spans="1:11" x14ac:dyDescent="0.3">
      <c r="A615" t="s">
        <v>640</v>
      </c>
      <c r="B615" t="s">
        <v>17</v>
      </c>
      <c r="C615" s="1">
        <v>44742</v>
      </c>
      <c r="D615" s="1">
        <v>44752</v>
      </c>
      <c r="E615" t="s">
        <v>26</v>
      </c>
      <c r="F615" t="s">
        <v>18</v>
      </c>
      <c r="G615">
        <v>1958</v>
      </c>
      <c r="H615">
        <v>95.53</v>
      </c>
      <c r="I615">
        <v>91.72</v>
      </c>
      <c r="J615">
        <v>308</v>
      </c>
      <c r="K615" t="s">
        <v>15</v>
      </c>
    </row>
    <row r="616" spans="1:11" x14ac:dyDescent="0.3">
      <c r="A616" t="s">
        <v>641</v>
      </c>
      <c r="B616" t="s">
        <v>17</v>
      </c>
      <c r="C616" s="1">
        <v>45274</v>
      </c>
      <c r="D616" s="1">
        <v>45277</v>
      </c>
      <c r="E616" t="s">
        <v>13</v>
      </c>
      <c r="F616" t="s">
        <v>18</v>
      </c>
      <c r="G616">
        <v>946</v>
      </c>
      <c r="H616">
        <v>108.6</v>
      </c>
      <c r="I616">
        <v>101.78</v>
      </c>
      <c r="J616">
        <v>146</v>
      </c>
      <c r="K616" t="s">
        <v>15</v>
      </c>
    </row>
    <row r="617" spans="1:11" x14ac:dyDescent="0.3">
      <c r="A617" t="s">
        <v>642</v>
      </c>
      <c r="B617" t="s">
        <v>23</v>
      </c>
      <c r="C617" s="1">
        <v>45092</v>
      </c>
      <c r="D617" s="1">
        <v>45098</v>
      </c>
      <c r="E617" t="s">
        <v>24</v>
      </c>
      <c r="F617" t="s">
        <v>33</v>
      </c>
      <c r="G617">
        <v>1345</v>
      </c>
      <c r="H617">
        <v>103.06</v>
      </c>
      <c r="I617">
        <v>95.14</v>
      </c>
      <c r="K617" t="s">
        <v>15</v>
      </c>
    </row>
    <row r="618" spans="1:11" x14ac:dyDescent="0.3">
      <c r="A618" t="s">
        <v>643</v>
      </c>
      <c r="B618" t="s">
        <v>17</v>
      </c>
      <c r="C618" s="1">
        <v>45037</v>
      </c>
      <c r="D618" s="1">
        <v>45056</v>
      </c>
      <c r="E618" t="s">
        <v>21</v>
      </c>
      <c r="F618" t="s">
        <v>18</v>
      </c>
      <c r="G618">
        <v>1262</v>
      </c>
      <c r="H618">
        <v>56.63</v>
      </c>
      <c r="I618">
        <v>51.46</v>
      </c>
      <c r="K618" t="s">
        <v>27</v>
      </c>
    </row>
    <row r="619" spans="1:11" x14ac:dyDescent="0.3">
      <c r="A619" t="s">
        <v>644</v>
      </c>
      <c r="B619" t="s">
        <v>23</v>
      </c>
      <c r="C619" s="1">
        <v>44613</v>
      </c>
      <c r="D619" s="1">
        <v>44633</v>
      </c>
      <c r="E619" t="s">
        <v>13</v>
      </c>
      <c r="F619" t="s">
        <v>35</v>
      </c>
      <c r="G619">
        <v>753</v>
      </c>
      <c r="H619">
        <v>88.02</v>
      </c>
      <c r="I619">
        <v>79.92</v>
      </c>
      <c r="J619">
        <v>75</v>
      </c>
      <c r="K619" t="s">
        <v>15</v>
      </c>
    </row>
    <row r="620" spans="1:11" x14ac:dyDescent="0.3">
      <c r="A620" t="s">
        <v>645</v>
      </c>
      <c r="B620" t="s">
        <v>23</v>
      </c>
      <c r="C620" s="1">
        <v>45132</v>
      </c>
      <c r="D620" s="1">
        <v>45152</v>
      </c>
      <c r="E620" t="s">
        <v>39</v>
      </c>
      <c r="F620" t="s">
        <v>18</v>
      </c>
      <c r="G620">
        <v>1520</v>
      </c>
      <c r="H620">
        <v>93.75</v>
      </c>
      <c r="I620">
        <v>81.63</v>
      </c>
      <c r="J620">
        <v>149</v>
      </c>
      <c r="K620" t="s">
        <v>15</v>
      </c>
    </row>
    <row r="621" spans="1:11" x14ac:dyDescent="0.3">
      <c r="A621" t="s">
        <v>646</v>
      </c>
      <c r="B621" t="s">
        <v>17</v>
      </c>
      <c r="C621" s="1">
        <v>44817</v>
      </c>
      <c r="D621" s="1">
        <v>44836</v>
      </c>
      <c r="E621" t="s">
        <v>13</v>
      </c>
      <c r="F621" t="s">
        <v>18</v>
      </c>
      <c r="G621">
        <v>630</v>
      </c>
      <c r="H621">
        <v>40.270000000000003</v>
      </c>
      <c r="I621">
        <v>37.54</v>
      </c>
      <c r="J621">
        <v>76</v>
      </c>
      <c r="K621" t="s">
        <v>15</v>
      </c>
    </row>
    <row r="622" spans="1:11" x14ac:dyDescent="0.3">
      <c r="A622" t="s">
        <v>647</v>
      </c>
      <c r="B622" t="s">
        <v>17</v>
      </c>
      <c r="C622" s="1">
        <v>44686</v>
      </c>
      <c r="D622" s="1">
        <v>44687</v>
      </c>
      <c r="E622" t="s">
        <v>13</v>
      </c>
      <c r="F622" t="s">
        <v>18</v>
      </c>
      <c r="G622">
        <v>839</v>
      </c>
      <c r="H622">
        <v>86.29</v>
      </c>
      <c r="I622">
        <v>82.51</v>
      </c>
      <c r="J622">
        <v>110</v>
      </c>
      <c r="K622" t="s">
        <v>15</v>
      </c>
    </row>
    <row r="623" spans="1:11" x14ac:dyDescent="0.3">
      <c r="A623" t="s">
        <v>648</v>
      </c>
      <c r="B623" t="s">
        <v>12</v>
      </c>
      <c r="C623" s="1">
        <v>45029</v>
      </c>
      <c r="D623" s="1">
        <v>45048</v>
      </c>
      <c r="E623" t="s">
        <v>39</v>
      </c>
      <c r="F623" t="s">
        <v>18</v>
      </c>
      <c r="G623">
        <v>910</v>
      </c>
      <c r="H623">
        <v>14.33</v>
      </c>
      <c r="I623">
        <v>14.07</v>
      </c>
      <c r="J623">
        <v>27</v>
      </c>
      <c r="K623" t="s">
        <v>15</v>
      </c>
    </row>
    <row r="624" spans="1:11" x14ac:dyDescent="0.3">
      <c r="A624" t="s">
        <v>649</v>
      </c>
      <c r="B624" t="s">
        <v>29</v>
      </c>
      <c r="C624" s="1">
        <v>44698</v>
      </c>
      <c r="D624" s="1">
        <v>44705</v>
      </c>
      <c r="E624" t="s">
        <v>26</v>
      </c>
      <c r="F624" t="s">
        <v>18</v>
      </c>
      <c r="G624">
        <v>296</v>
      </c>
      <c r="H624">
        <v>64.94</v>
      </c>
      <c r="I624">
        <v>63.61</v>
      </c>
      <c r="K624" t="s">
        <v>15</v>
      </c>
    </row>
    <row r="625" spans="1:11" x14ac:dyDescent="0.3">
      <c r="A625" t="s">
        <v>650</v>
      </c>
      <c r="B625" t="s">
        <v>23</v>
      </c>
      <c r="C625" s="1">
        <v>45037</v>
      </c>
      <c r="D625" s="1">
        <v>45051</v>
      </c>
      <c r="E625" t="s">
        <v>21</v>
      </c>
      <c r="F625" t="s">
        <v>18</v>
      </c>
      <c r="G625">
        <v>1149</v>
      </c>
      <c r="H625">
        <v>33</v>
      </c>
      <c r="I625">
        <v>30.65</v>
      </c>
      <c r="J625">
        <v>141</v>
      </c>
      <c r="K625" t="s">
        <v>15</v>
      </c>
    </row>
    <row r="626" spans="1:11" x14ac:dyDescent="0.3">
      <c r="A626" t="s">
        <v>651</v>
      </c>
      <c r="B626" t="s">
        <v>17</v>
      </c>
      <c r="C626" s="1">
        <v>45245</v>
      </c>
      <c r="D626" s="1">
        <v>45246</v>
      </c>
      <c r="E626" t="s">
        <v>39</v>
      </c>
      <c r="F626" t="s">
        <v>18</v>
      </c>
      <c r="G626">
        <v>203</v>
      </c>
      <c r="H626">
        <v>23.14</v>
      </c>
      <c r="I626">
        <v>20</v>
      </c>
      <c r="K626" t="s">
        <v>27</v>
      </c>
    </row>
    <row r="627" spans="1:11" x14ac:dyDescent="0.3">
      <c r="A627" t="s">
        <v>652</v>
      </c>
      <c r="B627" t="s">
        <v>29</v>
      </c>
      <c r="C627" s="1">
        <v>45105</v>
      </c>
      <c r="D627" s="1">
        <v>45123</v>
      </c>
      <c r="E627" t="s">
        <v>13</v>
      </c>
      <c r="F627" t="s">
        <v>18</v>
      </c>
      <c r="G627">
        <v>1729</v>
      </c>
      <c r="H627">
        <v>18.36</v>
      </c>
      <c r="I627">
        <v>16.34</v>
      </c>
      <c r="J627">
        <v>47</v>
      </c>
      <c r="K627" t="s">
        <v>15</v>
      </c>
    </row>
    <row r="628" spans="1:11" x14ac:dyDescent="0.3">
      <c r="A628" t="s">
        <v>653</v>
      </c>
      <c r="B628" t="s">
        <v>17</v>
      </c>
      <c r="C628" s="1">
        <v>45134</v>
      </c>
      <c r="D628" s="1">
        <v>45144</v>
      </c>
      <c r="E628" t="s">
        <v>13</v>
      </c>
      <c r="F628" t="s">
        <v>18</v>
      </c>
      <c r="G628">
        <v>1508</v>
      </c>
      <c r="H628">
        <v>79.209999999999994</v>
      </c>
      <c r="I628">
        <v>73.27</v>
      </c>
      <c r="J628">
        <v>226</v>
      </c>
      <c r="K628" t="s">
        <v>15</v>
      </c>
    </row>
    <row r="629" spans="1:11" x14ac:dyDescent="0.3">
      <c r="A629" t="s">
        <v>654</v>
      </c>
      <c r="B629" t="s">
        <v>17</v>
      </c>
      <c r="C629" s="1">
        <v>45171</v>
      </c>
      <c r="D629" s="1">
        <v>45184</v>
      </c>
      <c r="E629" t="s">
        <v>24</v>
      </c>
      <c r="F629" t="s">
        <v>33</v>
      </c>
      <c r="G629">
        <v>1046</v>
      </c>
      <c r="H629">
        <v>44.65</v>
      </c>
      <c r="I629">
        <v>40.1</v>
      </c>
      <c r="J629">
        <v>165</v>
      </c>
      <c r="K629" t="s">
        <v>27</v>
      </c>
    </row>
    <row r="630" spans="1:11" x14ac:dyDescent="0.3">
      <c r="A630" t="s">
        <v>655</v>
      </c>
      <c r="B630" t="s">
        <v>12</v>
      </c>
      <c r="C630" s="1">
        <v>44886</v>
      </c>
      <c r="D630" s="1">
        <v>44889</v>
      </c>
      <c r="E630" t="s">
        <v>13</v>
      </c>
      <c r="F630" t="s">
        <v>18</v>
      </c>
      <c r="G630">
        <v>1159</v>
      </c>
      <c r="H630">
        <v>78.989999999999995</v>
      </c>
      <c r="I630">
        <v>71.69</v>
      </c>
      <c r="J630">
        <v>14</v>
      </c>
      <c r="K630" t="s">
        <v>15</v>
      </c>
    </row>
    <row r="631" spans="1:11" x14ac:dyDescent="0.3">
      <c r="A631" t="s">
        <v>656</v>
      </c>
      <c r="B631" t="s">
        <v>23</v>
      </c>
      <c r="C631" s="1">
        <v>45015</v>
      </c>
      <c r="D631" s="1">
        <v>45021</v>
      </c>
      <c r="E631" t="s">
        <v>39</v>
      </c>
      <c r="F631" t="s">
        <v>18</v>
      </c>
      <c r="G631">
        <v>746</v>
      </c>
      <c r="H631">
        <v>16.989999999999998</v>
      </c>
      <c r="I631">
        <v>15.35</v>
      </c>
      <c r="J631">
        <v>69</v>
      </c>
      <c r="K631" t="s">
        <v>27</v>
      </c>
    </row>
    <row r="632" spans="1:11" x14ac:dyDescent="0.3">
      <c r="A632" t="s">
        <v>657</v>
      </c>
      <c r="B632" t="s">
        <v>23</v>
      </c>
      <c r="C632" s="1">
        <v>45189</v>
      </c>
      <c r="D632" s="1">
        <v>45205</v>
      </c>
      <c r="E632" t="s">
        <v>24</v>
      </c>
      <c r="F632" t="s">
        <v>18</v>
      </c>
      <c r="G632">
        <v>1358</v>
      </c>
      <c r="H632">
        <v>42.21</v>
      </c>
      <c r="I632">
        <v>38.75</v>
      </c>
      <c r="J632">
        <v>128</v>
      </c>
      <c r="K632" t="s">
        <v>15</v>
      </c>
    </row>
    <row r="633" spans="1:11" x14ac:dyDescent="0.3">
      <c r="A633" t="s">
        <v>658</v>
      </c>
      <c r="B633" t="s">
        <v>20</v>
      </c>
      <c r="C633" s="1">
        <v>45078</v>
      </c>
      <c r="D633" s="1">
        <v>45089</v>
      </c>
      <c r="E633" t="s">
        <v>13</v>
      </c>
      <c r="F633" t="s">
        <v>18</v>
      </c>
      <c r="G633">
        <v>1293</v>
      </c>
      <c r="H633">
        <v>63.53</v>
      </c>
      <c r="I633">
        <v>59.42</v>
      </c>
      <c r="J633">
        <v>79</v>
      </c>
      <c r="K633" t="s">
        <v>15</v>
      </c>
    </row>
    <row r="634" spans="1:11" x14ac:dyDescent="0.3">
      <c r="A634" t="s">
        <v>659</v>
      </c>
      <c r="B634" t="s">
        <v>12</v>
      </c>
      <c r="C634" s="1">
        <v>44998</v>
      </c>
      <c r="D634" s="1">
        <v>45009</v>
      </c>
      <c r="E634" t="s">
        <v>39</v>
      </c>
      <c r="F634" t="s">
        <v>18</v>
      </c>
      <c r="G634">
        <v>1142</v>
      </c>
      <c r="H634">
        <v>86.85</v>
      </c>
      <c r="I634">
        <v>74.28</v>
      </c>
      <c r="J634">
        <v>30</v>
      </c>
      <c r="K634" t="s">
        <v>15</v>
      </c>
    </row>
    <row r="635" spans="1:11" x14ac:dyDescent="0.3">
      <c r="A635" t="s">
        <v>660</v>
      </c>
      <c r="B635" t="s">
        <v>29</v>
      </c>
      <c r="C635" s="1">
        <v>45123</v>
      </c>
      <c r="D635" s="1">
        <v>45134</v>
      </c>
      <c r="E635" t="s">
        <v>21</v>
      </c>
      <c r="F635" t="s">
        <v>18</v>
      </c>
      <c r="G635">
        <v>1120</v>
      </c>
      <c r="H635">
        <v>42.17</v>
      </c>
      <c r="I635">
        <v>37.47</v>
      </c>
      <c r="J635">
        <v>33</v>
      </c>
      <c r="K635" t="s">
        <v>15</v>
      </c>
    </row>
    <row r="636" spans="1:11" x14ac:dyDescent="0.3">
      <c r="A636" t="s">
        <v>661</v>
      </c>
      <c r="B636" t="s">
        <v>12</v>
      </c>
      <c r="C636" s="1">
        <v>45018</v>
      </c>
      <c r="D636" s="1">
        <v>45030</v>
      </c>
      <c r="E636" t="s">
        <v>21</v>
      </c>
      <c r="F636" t="s">
        <v>18</v>
      </c>
      <c r="G636">
        <v>1058</v>
      </c>
      <c r="H636">
        <v>71.3</v>
      </c>
      <c r="I636">
        <v>62.04</v>
      </c>
      <c r="K636" t="s">
        <v>15</v>
      </c>
    </row>
    <row r="637" spans="1:11" x14ac:dyDescent="0.3">
      <c r="A637" t="s">
        <v>662</v>
      </c>
      <c r="B637" t="s">
        <v>29</v>
      </c>
      <c r="C637" s="1">
        <v>44724</v>
      </c>
      <c r="E637" t="s">
        <v>13</v>
      </c>
      <c r="F637" t="s">
        <v>18</v>
      </c>
      <c r="G637">
        <v>143</v>
      </c>
      <c r="H637">
        <v>91.98</v>
      </c>
      <c r="I637">
        <v>86.02</v>
      </c>
      <c r="J637">
        <v>5</v>
      </c>
      <c r="K637" t="s">
        <v>15</v>
      </c>
    </row>
    <row r="638" spans="1:11" x14ac:dyDescent="0.3">
      <c r="A638" t="s">
        <v>663</v>
      </c>
      <c r="B638" t="s">
        <v>23</v>
      </c>
      <c r="C638" s="1">
        <v>45048</v>
      </c>
      <c r="D638" s="1">
        <v>45060</v>
      </c>
      <c r="E638" t="s">
        <v>21</v>
      </c>
      <c r="F638" t="s">
        <v>18</v>
      </c>
      <c r="G638">
        <v>1823</v>
      </c>
      <c r="H638">
        <v>70.66</v>
      </c>
      <c r="I638">
        <v>66.92</v>
      </c>
      <c r="J638">
        <v>202</v>
      </c>
      <c r="K638" t="s">
        <v>15</v>
      </c>
    </row>
    <row r="639" spans="1:11" x14ac:dyDescent="0.3">
      <c r="A639" t="s">
        <v>664</v>
      </c>
      <c r="B639" t="s">
        <v>20</v>
      </c>
      <c r="C639" s="1">
        <v>45022</v>
      </c>
      <c r="D639" s="1">
        <v>45026</v>
      </c>
      <c r="E639" t="s">
        <v>13</v>
      </c>
      <c r="F639" t="s">
        <v>18</v>
      </c>
      <c r="G639">
        <v>1007</v>
      </c>
      <c r="H639">
        <v>33.29</v>
      </c>
      <c r="I639">
        <v>28.48</v>
      </c>
      <c r="J639">
        <v>49</v>
      </c>
      <c r="K639" t="s">
        <v>15</v>
      </c>
    </row>
    <row r="640" spans="1:11" x14ac:dyDescent="0.3">
      <c r="A640" t="s">
        <v>665</v>
      </c>
      <c r="B640" t="s">
        <v>20</v>
      </c>
      <c r="C640" s="1">
        <v>44827</v>
      </c>
      <c r="D640" s="1">
        <v>44842</v>
      </c>
      <c r="E640" t="s">
        <v>24</v>
      </c>
      <c r="F640" t="s">
        <v>18</v>
      </c>
      <c r="G640">
        <v>1061</v>
      </c>
      <c r="H640">
        <v>12.68</v>
      </c>
      <c r="I640">
        <v>12.36</v>
      </c>
      <c r="J640">
        <v>56</v>
      </c>
      <c r="K640" t="s">
        <v>27</v>
      </c>
    </row>
    <row r="641" spans="1:11" x14ac:dyDescent="0.3">
      <c r="A641" t="s">
        <v>666</v>
      </c>
      <c r="B641" t="s">
        <v>23</v>
      </c>
      <c r="C641" s="1">
        <v>44815</v>
      </c>
      <c r="D641" s="1">
        <v>44830</v>
      </c>
      <c r="E641" t="s">
        <v>21</v>
      </c>
      <c r="F641" t="s">
        <v>35</v>
      </c>
      <c r="G641">
        <v>502</v>
      </c>
      <c r="H641">
        <v>91.84</v>
      </c>
      <c r="I641">
        <v>82.33</v>
      </c>
      <c r="K641" t="s">
        <v>15</v>
      </c>
    </row>
    <row r="642" spans="1:11" x14ac:dyDescent="0.3">
      <c r="A642" t="s">
        <v>667</v>
      </c>
      <c r="B642" t="s">
        <v>17</v>
      </c>
      <c r="C642" s="1">
        <v>45214</v>
      </c>
      <c r="D642" s="1">
        <v>45218</v>
      </c>
      <c r="E642" t="s">
        <v>24</v>
      </c>
      <c r="F642" t="s">
        <v>18</v>
      </c>
      <c r="G642">
        <v>1277</v>
      </c>
      <c r="H642">
        <v>13.17</v>
      </c>
      <c r="I642">
        <v>11.63</v>
      </c>
      <c r="J642">
        <v>199</v>
      </c>
      <c r="K642" t="s">
        <v>27</v>
      </c>
    </row>
    <row r="643" spans="1:11" x14ac:dyDescent="0.3">
      <c r="A643" t="s">
        <v>668</v>
      </c>
      <c r="B643" t="s">
        <v>12</v>
      </c>
      <c r="C643" s="1">
        <v>44845</v>
      </c>
      <c r="D643" s="1">
        <v>44858</v>
      </c>
      <c r="E643" t="s">
        <v>24</v>
      </c>
      <c r="F643" t="s">
        <v>18</v>
      </c>
      <c r="G643">
        <v>961</v>
      </c>
      <c r="H643">
        <v>92.72</v>
      </c>
      <c r="I643">
        <v>88.49</v>
      </c>
      <c r="J643">
        <v>22</v>
      </c>
      <c r="K643" t="s">
        <v>15</v>
      </c>
    </row>
    <row r="644" spans="1:11" x14ac:dyDescent="0.3">
      <c r="A644" t="s">
        <v>669</v>
      </c>
      <c r="B644" t="s">
        <v>20</v>
      </c>
      <c r="C644" s="1">
        <v>45095</v>
      </c>
      <c r="D644" s="1">
        <v>45109</v>
      </c>
      <c r="E644" t="s">
        <v>24</v>
      </c>
      <c r="F644" t="s">
        <v>18</v>
      </c>
      <c r="G644">
        <v>267</v>
      </c>
      <c r="H644">
        <v>62.5</v>
      </c>
      <c r="I644">
        <v>61.18</v>
      </c>
      <c r="J644">
        <v>17</v>
      </c>
      <c r="K644" t="s">
        <v>15</v>
      </c>
    </row>
    <row r="645" spans="1:11" x14ac:dyDescent="0.3">
      <c r="A645" t="s">
        <v>670</v>
      </c>
      <c r="B645" t="s">
        <v>17</v>
      </c>
      <c r="C645" s="1">
        <v>45058</v>
      </c>
      <c r="D645" s="1">
        <v>45064</v>
      </c>
      <c r="E645" t="s">
        <v>26</v>
      </c>
      <c r="F645" t="s">
        <v>14</v>
      </c>
      <c r="G645">
        <v>523</v>
      </c>
      <c r="H645">
        <v>102.08</v>
      </c>
      <c r="I645">
        <v>99.59</v>
      </c>
      <c r="K645" t="s">
        <v>15</v>
      </c>
    </row>
    <row r="646" spans="1:11" x14ac:dyDescent="0.3">
      <c r="A646" t="s">
        <v>671</v>
      </c>
      <c r="B646" t="s">
        <v>29</v>
      </c>
      <c r="C646" s="1">
        <v>45203</v>
      </c>
      <c r="D646" s="1">
        <v>45222</v>
      </c>
      <c r="E646" t="s">
        <v>39</v>
      </c>
      <c r="F646" t="s">
        <v>35</v>
      </c>
      <c r="G646">
        <v>481</v>
      </c>
      <c r="H646">
        <v>90.49</v>
      </c>
      <c r="I646">
        <v>77.17</v>
      </c>
      <c r="K646" t="s">
        <v>15</v>
      </c>
    </row>
    <row r="647" spans="1:11" x14ac:dyDescent="0.3">
      <c r="A647" t="s">
        <v>672</v>
      </c>
      <c r="B647" t="s">
        <v>20</v>
      </c>
      <c r="C647" s="1">
        <v>44806</v>
      </c>
      <c r="D647" s="1">
        <v>44813</v>
      </c>
      <c r="E647" t="s">
        <v>13</v>
      </c>
      <c r="F647" t="s">
        <v>18</v>
      </c>
      <c r="G647">
        <v>390</v>
      </c>
      <c r="H647">
        <v>103.81</v>
      </c>
      <c r="I647">
        <v>100.12</v>
      </c>
      <c r="J647">
        <v>20</v>
      </c>
      <c r="K647" t="s">
        <v>15</v>
      </c>
    </row>
    <row r="648" spans="1:11" x14ac:dyDescent="0.3">
      <c r="A648" t="s">
        <v>673</v>
      </c>
      <c r="B648" t="s">
        <v>29</v>
      </c>
      <c r="C648" s="1">
        <v>44843</v>
      </c>
      <c r="D648" s="1">
        <v>44859</v>
      </c>
      <c r="E648" t="s">
        <v>24</v>
      </c>
      <c r="F648" t="s">
        <v>18</v>
      </c>
      <c r="G648">
        <v>600</v>
      </c>
      <c r="H648">
        <v>43.43</v>
      </c>
      <c r="I648">
        <v>38.76</v>
      </c>
      <c r="J648">
        <v>22</v>
      </c>
      <c r="K648" t="s">
        <v>15</v>
      </c>
    </row>
    <row r="649" spans="1:11" x14ac:dyDescent="0.3">
      <c r="A649" t="s">
        <v>674</v>
      </c>
      <c r="B649" t="s">
        <v>17</v>
      </c>
      <c r="C649" s="1">
        <v>45012</v>
      </c>
      <c r="E649" t="s">
        <v>13</v>
      </c>
      <c r="F649" t="s">
        <v>18</v>
      </c>
      <c r="G649">
        <v>1685</v>
      </c>
      <c r="H649">
        <v>84.58</v>
      </c>
      <c r="I649">
        <v>75.209999999999994</v>
      </c>
      <c r="J649">
        <v>253</v>
      </c>
      <c r="K649" t="s">
        <v>27</v>
      </c>
    </row>
    <row r="650" spans="1:11" x14ac:dyDescent="0.3">
      <c r="A650" t="s">
        <v>675</v>
      </c>
      <c r="B650" t="s">
        <v>29</v>
      </c>
      <c r="C650" s="1">
        <v>44641</v>
      </c>
      <c r="D650" s="1">
        <v>44651</v>
      </c>
      <c r="E650" t="s">
        <v>24</v>
      </c>
      <c r="F650" t="s">
        <v>14</v>
      </c>
      <c r="G650">
        <v>1362</v>
      </c>
      <c r="H650">
        <v>46.64</v>
      </c>
      <c r="I650">
        <v>42.85</v>
      </c>
      <c r="J650">
        <v>33</v>
      </c>
      <c r="K650" t="s">
        <v>15</v>
      </c>
    </row>
    <row r="651" spans="1:11" x14ac:dyDescent="0.3">
      <c r="A651" t="s">
        <v>676</v>
      </c>
      <c r="B651" t="s">
        <v>17</v>
      </c>
      <c r="C651" s="1">
        <v>45292</v>
      </c>
      <c r="D651" s="1">
        <v>45295</v>
      </c>
      <c r="E651" t="s">
        <v>39</v>
      </c>
      <c r="F651" t="s">
        <v>35</v>
      </c>
      <c r="G651">
        <v>1327</v>
      </c>
      <c r="H651">
        <v>59.57</v>
      </c>
      <c r="I651">
        <v>56.44</v>
      </c>
      <c r="J651">
        <v>169</v>
      </c>
      <c r="K651" t="s">
        <v>15</v>
      </c>
    </row>
    <row r="652" spans="1:11" x14ac:dyDescent="0.3">
      <c r="A652" t="s">
        <v>677</v>
      </c>
      <c r="B652" t="s">
        <v>29</v>
      </c>
      <c r="C652" s="1">
        <v>44854</v>
      </c>
      <c r="E652" t="s">
        <v>21</v>
      </c>
      <c r="F652" t="s">
        <v>18</v>
      </c>
      <c r="G652">
        <v>1807</v>
      </c>
      <c r="H652">
        <v>69.47</v>
      </c>
      <c r="I652">
        <v>60</v>
      </c>
      <c r="J652">
        <v>50</v>
      </c>
      <c r="K652" t="s">
        <v>15</v>
      </c>
    </row>
    <row r="653" spans="1:11" x14ac:dyDescent="0.3">
      <c r="A653" t="s">
        <v>678</v>
      </c>
      <c r="B653" t="s">
        <v>12</v>
      </c>
      <c r="C653" s="1">
        <v>44802</v>
      </c>
      <c r="D653" s="1">
        <v>44810</v>
      </c>
      <c r="E653" t="s">
        <v>13</v>
      </c>
      <c r="F653" t="s">
        <v>35</v>
      </c>
      <c r="G653">
        <v>406</v>
      </c>
      <c r="H653">
        <v>91.73</v>
      </c>
      <c r="I653">
        <v>89.13</v>
      </c>
      <c r="K653" t="s">
        <v>15</v>
      </c>
    </row>
    <row r="654" spans="1:11" x14ac:dyDescent="0.3">
      <c r="A654" t="s">
        <v>679</v>
      </c>
      <c r="B654" t="s">
        <v>20</v>
      </c>
      <c r="C654" s="1">
        <v>44840</v>
      </c>
      <c r="D654" s="1">
        <v>44852</v>
      </c>
      <c r="E654" t="s">
        <v>26</v>
      </c>
      <c r="F654" t="s">
        <v>33</v>
      </c>
      <c r="G654">
        <v>72</v>
      </c>
      <c r="H654">
        <v>103</v>
      </c>
      <c r="I654">
        <v>89.49</v>
      </c>
      <c r="J654">
        <v>1</v>
      </c>
      <c r="K654" t="s">
        <v>27</v>
      </c>
    </row>
    <row r="655" spans="1:11" x14ac:dyDescent="0.3">
      <c r="A655" t="s">
        <v>680</v>
      </c>
      <c r="B655" t="s">
        <v>20</v>
      </c>
      <c r="C655" s="1">
        <v>44905</v>
      </c>
      <c r="D655" s="1">
        <v>44915</v>
      </c>
      <c r="E655" t="s">
        <v>13</v>
      </c>
      <c r="F655" t="s">
        <v>18</v>
      </c>
      <c r="G655">
        <v>1835</v>
      </c>
      <c r="H655">
        <v>83.5</v>
      </c>
      <c r="I655">
        <v>82.36</v>
      </c>
      <c r="J655">
        <v>85</v>
      </c>
      <c r="K655" t="s">
        <v>27</v>
      </c>
    </row>
    <row r="656" spans="1:11" x14ac:dyDescent="0.3">
      <c r="A656" t="s">
        <v>681</v>
      </c>
      <c r="B656" t="s">
        <v>17</v>
      </c>
      <c r="C656" s="1">
        <v>44889</v>
      </c>
      <c r="D656" s="1">
        <v>44905</v>
      </c>
      <c r="E656" t="s">
        <v>39</v>
      </c>
      <c r="F656" t="s">
        <v>35</v>
      </c>
      <c r="G656">
        <v>571</v>
      </c>
      <c r="H656">
        <v>49.98</v>
      </c>
      <c r="I656">
        <v>45.58</v>
      </c>
      <c r="K656" t="s">
        <v>27</v>
      </c>
    </row>
    <row r="657" spans="1:11" x14ac:dyDescent="0.3">
      <c r="A657" t="s">
        <v>682</v>
      </c>
      <c r="B657" t="s">
        <v>29</v>
      </c>
      <c r="C657" s="1">
        <v>45115</v>
      </c>
      <c r="D657" s="1">
        <v>45116</v>
      </c>
      <c r="E657" t="s">
        <v>24</v>
      </c>
      <c r="F657" t="s">
        <v>18</v>
      </c>
      <c r="G657">
        <v>1831</v>
      </c>
      <c r="H657">
        <v>52.24</v>
      </c>
      <c r="I657">
        <v>50.44</v>
      </c>
      <c r="J657">
        <v>60</v>
      </c>
      <c r="K657" t="s">
        <v>15</v>
      </c>
    </row>
    <row r="658" spans="1:11" x14ac:dyDescent="0.3">
      <c r="A658" t="s">
        <v>683</v>
      </c>
      <c r="B658" t="s">
        <v>23</v>
      </c>
      <c r="C658" s="1">
        <v>44644</v>
      </c>
      <c r="D658" s="1">
        <v>44658</v>
      </c>
      <c r="E658" t="s">
        <v>13</v>
      </c>
      <c r="F658" t="s">
        <v>35</v>
      </c>
      <c r="G658">
        <v>1910</v>
      </c>
      <c r="H658">
        <v>77.150000000000006</v>
      </c>
      <c r="I658">
        <v>68.489999999999995</v>
      </c>
      <c r="J658">
        <v>170</v>
      </c>
      <c r="K658" t="s">
        <v>15</v>
      </c>
    </row>
    <row r="659" spans="1:11" x14ac:dyDescent="0.3">
      <c r="A659" t="s">
        <v>684</v>
      </c>
      <c r="B659" t="s">
        <v>20</v>
      </c>
      <c r="C659" s="1">
        <v>44703</v>
      </c>
      <c r="D659" s="1">
        <v>44712</v>
      </c>
      <c r="E659" t="s">
        <v>39</v>
      </c>
      <c r="F659" t="s">
        <v>33</v>
      </c>
      <c r="G659">
        <v>1173</v>
      </c>
      <c r="H659">
        <v>32.119999999999997</v>
      </c>
      <c r="I659">
        <v>29.18</v>
      </c>
      <c r="K659" t="s">
        <v>15</v>
      </c>
    </row>
    <row r="660" spans="1:11" x14ac:dyDescent="0.3">
      <c r="A660" t="s">
        <v>685</v>
      </c>
      <c r="B660" t="s">
        <v>29</v>
      </c>
      <c r="C660" s="1">
        <v>44716</v>
      </c>
      <c r="D660" s="1">
        <v>44729</v>
      </c>
      <c r="E660" t="s">
        <v>24</v>
      </c>
      <c r="F660" t="s">
        <v>33</v>
      </c>
      <c r="G660">
        <v>851</v>
      </c>
      <c r="H660">
        <v>20.440000000000001</v>
      </c>
      <c r="I660">
        <v>19.22</v>
      </c>
      <c r="J660">
        <v>22</v>
      </c>
      <c r="K660" t="s">
        <v>15</v>
      </c>
    </row>
    <row r="661" spans="1:11" x14ac:dyDescent="0.3">
      <c r="A661" t="s">
        <v>686</v>
      </c>
      <c r="B661" t="s">
        <v>29</v>
      </c>
      <c r="C661" s="1">
        <v>44798</v>
      </c>
      <c r="D661" s="1">
        <v>44811</v>
      </c>
      <c r="E661" t="s">
        <v>21</v>
      </c>
      <c r="F661" t="s">
        <v>14</v>
      </c>
      <c r="G661">
        <v>1253</v>
      </c>
      <c r="H661">
        <v>43.38</v>
      </c>
      <c r="I661">
        <v>38.01</v>
      </c>
      <c r="J661">
        <v>34</v>
      </c>
      <c r="K661" t="s">
        <v>15</v>
      </c>
    </row>
    <row r="662" spans="1:11" x14ac:dyDescent="0.3">
      <c r="A662" t="s">
        <v>687</v>
      </c>
      <c r="B662" t="s">
        <v>12</v>
      </c>
      <c r="C662" s="1">
        <v>44954</v>
      </c>
      <c r="D662" s="1">
        <v>44972</v>
      </c>
      <c r="E662" t="s">
        <v>39</v>
      </c>
      <c r="F662" t="s">
        <v>18</v>
      </c>
      <c r="G662">
        <v>1296</v>
      </c>
      <c r="H662">
        <v>38</v>
      </c>
      <c r="I662">
        <v>33.42</v>
      </c>
      <c r="J662">
        <v>33</v>
      </c>
      <c r="K662" t="s">
        <v>15</v>
      </c>
    </row>
    <row r="663" spans="1:11" x14ac:dyDescent="0.3">
      <c r="A663" t="s">
        <v>688</v>
      </c>
      <c r="B663" t="s">
        <v>23</v>
      </c>
      <c r="C663" s="1">
        <v>45272</v>
      </c>
      <c r="D663" s="1">
        <v>45290</v>
      </c>
      <c r="E663" t="s">
        <v>26</v>
      </c>
      <c r="F663" t="s">
        <v>18</v>
      </c>
      <c r="G663">
        <v>1979</v>
      </c>
      <c r="H663">
        <v>40.880000000000003</v>
      </c>
      <c r="I663">
        <v>39.46</v>
      </c>
      <c r="J663">
        <v>221</v>
      </c>
      <c r="K663" t="s">
        <v>15</v>
      </c>
    </row>
    <row r="664" spans="1:11" x14ac:dyDescent="0.3">
      <c r="A664" t="s">
        <v>689</v>
      </c>
      <c r="B664" t="s">
        <v>20</v>
      </c>
      <c r="C664" s="1">
        <v>44718</v>
      </c>
      <c r="D664" s="1">
        <v>44731</v>
      </c>
      <c r="E664" t="s">
        <v>13</v>
      </c>
      <c r="F664" t="s">
        <v>18</v>
      </c>
      <c r="G664">
        <v>811</v>
      </c>
      <c r="H664">
        <v>31.8</v>
      </c>
      <c r="I664">
        <v>30.33</v>
      </c>
      <c r="J664">
        <v>58</v>
      </c>
      <c r="K664" t="s">
        <v>15</v>
      </c>
    </row>
    <row r="665" spans="1:11" x14ac:dyDescent="0.3">
      <c r="A665" t="s">
        <v>690</v>
      </c>
      <c r="B665" t="s">
        <v>12</v>
      </c>
      <c r="C665" s="1">
        <v>45285</v>
      </c>
      <c r="D665" s="1">
        <v>45303</v>
      </c>
      <c r="E665" t="s">
        <v>39</v>
      </c>
      <c r="F665" t="s">
        <v>18</v>
      </c>
      <c r="G665">
        <v>1732</v>
      </c>
      <c r="H665">
        <v>15.37</v>
      </c>
      <c r="I665">
        <v>14.7</v>
      </c>
      <c r="J665">
        <v>38</v>
      </c>
      <c r="K665" t="s">
        <v>15</v>
      </c>
    </row>
    <row r="666" spans="1:11" x14ac:dyDescent="0.3">
      <c r="A666" t="s">
        <v>691</v>
      </c>
      <c r="B666" t="s">
        <v>23</v>
      </c>
      <c r="C666" s="1">
        <v>44781</v>
      </c>
      <c r="D666" s="1">
        <v>44801</v>
      </c>
      <c r="E666" t="s">
        <v>24</v>
      </c>
      <c r="F666" t="s">
        <v>18</v>
      </c>
      <c r="G666">
        <v>491</v>
      </c>
      <c r="H666">
        <v>12.01</v>
      </c>
      <c r="I666">
        <v>11.67</v>
      </c>
      <c r="J666">
        <v>47</v>
      </c>
      <c r="K666" t="s">
        <v>15</v>
      </c>
    </row>
    <row r="667" spans="1:11" x14ac:dyDescent="0.3">
      <c r="A667" t="s">
        <v>692</v>
      </c>
      <c r="B667" t="s">
        <v>20</v>
      </c>
      <c r="C667" s="1">
        <v>44627</v>
      </c>
      <c r="D667" s="1">
        <v>44631</v>
      </c>
      <c r="E667" t="s">
        <v>24</v>
      </c>
      <c r="F667" t="s">
        <v>14</v>
      </c>
      <c r="G667">
        <v>1681</v>
      </c>
      <c r="H667">
        <v>99.88</v>
      </c>
      <c r="I667">
        <v>96.38</v>
      </c>
      <c r="J667">
        <v>90</v>
      </c>
      <c r="K667" t="s">
        <v>15</v>
      </c>
    </row>
    <row r="668" spans="1:11" x14ac:dyDescent="0.3">
      <c r="A668" t="s">
        <v>693</v>
      </c>
      <c r="B668" t="s">
        <v>12</v>
      </c>
      <c r="C668" s="1">
        <v>44986</v>
      </c>
      <c r="D668" s="1">
        <v>44990</v>
      </c>
      <c r="E668" t="s">
        <v>26</v>
      </c>
      <c r="F668" t="s">
        <v>33</v>
      </c>
      <c r="G668">
        <v>818</v>
      </c>
      <c r="H668">
        <v>51.89</v>
      </c>
      <c r="I668">
        <v>47.85</v>
      </c>
      <c r="J668">
        <v>12</v>
      </c>
      <c r="K668" t="s">
        <v>15</v>
      </c>
    </row>
    <row r="669" spans="1:11" x14ac:dyDescent="0.3">
      <c r="A669" t="s">
        <v>694</v>
      </c>
      <c r="B669" t="s">
        <v>23</v>
      </c>
      <c r="C669" s="1">
        <v>44979</v>
      </c>
      <c r="D669" s="1">
        <v>44990</v>
      </c>
      <c r="E669" t="s">
        <v>13</v>
      </c>
      <c r="F669" t="s">
        <v>18</v>
      </c>
      <c r="G669">
        <v>1065</v>
      </c>
      <c r="H669">
        <v>47.49</v>
      </c>
      <c r="I669">
        <v>41.42</v>
      </c>
      <c r="J669">
        <v>113</v>
      </c>
      <c r="K669" t="s">
        <v>15</v>
      </c>
    </row>
    <row r="670" spans="1:11" x14ac:dyDescent="0.3">
      <c r="A670" t="s">
        <v>695</v>
      </c>
      <c r="B670" t="s">
        <v>20</v>
      </c>
      <c r="C670" s="1">
        <v>44900</v>
      </c>
      <c r="D670" s="1">
        <v>44912</v>
      </c>
      <c r="E670" t="s">
        <v>24</v>
      </c>
      <c r="F670" t="s">
        <v>18</v>
      </c>
      <c r="G670">
        <v>1398</v>
      </c>
      <c r="H670">
        <v>75.08</v>
      </c>
      <c r="I670">
        <v>67.09</v>
      </c>
      <c r="J670">
        <v>57</v>
      </c>
      <c r="K670" t="s">
        <v>15</v>
      </c>
    </row>
    <row r="671" spans="1:11" x14ac:dyDescent="0.3">
      <c r="A671" t="s">
        <v>696</v>
      </c>
      <c r="B671" t="s">
        <v>23</v>
      </c>
      <c r="C671" s="1">
        <v>45117</v>
      </c>
      <c r="D671" s="1">
        <v>45124</v>
      </c>
      <c r="E671" t="s">
        <v>24</v>
      </c>
      <c r="F671" t="s">
        <v>18</v>
      </c>
      <c r="G671">
        <v>565</v>
      </c>
      <c r="H671">
        <v>32.31</v>
      </c>
      <c r="I671">
        <v>29.76</v>
      </c>
      <c r="J671">
        <v>60</v>
      </c>
      <c r="K671" t="s">
        <v>15</v>
      </c>
    </row>
    <row r="672" spans="1:11" x14ac:dyDescent="0.3">
      <c r="A672" t="s">
        <v>697</v>
      </c>
      <c r="B672" t="s">
        <v>29</v>
      </c>
      <c r="C672" s="1">
        <v>45039</v>
      </c>
      <c r="D672" s="1">
        <v>45052</v>
      </c>
      <c r="E672" t="s">
        <v>24</v>
      </c>
      <c r="F672" t="s">
        <v>35</v>
      </c>
      <c r="G672">
        <v>1089</v>
      </c>
      <c r="H672">
        <v>102.66</v>
      </c>
      <c r="I672">
        <v>89.21</v>
      </c>
      <c r="J672">
        <v>33</v>
      </c>
      <c r="K672" t="s">
        <v>15</v>
      </c>
    </row>
    <row r="673" spans="1:11" x14ac:dyDescent="0.3">
      <c r="A673" t="s">
        <v>698</v>
      </c>
      <c r="B673" t="s">
        <v>17</v>
      </c>
      <c r="C673" s="1">
        <v>44987</v>
      </c>
      <c r="D673" s="1">
        <v>44989</v>
      </c>
      <c r="E673" t="s">
        <v>39</v>
      </c>
      <c r="F673" t="s">
        <v>18</v>
      </c>
      <c r="G673">
        <v>841</v>
      </c>
      <c r="H673">
        <v>86.43</v>
      </c>
      <c r="I673">
        <v>83.77</v>
      </c>
      <c r="J673">
        <v>125</v>
      </c>
      <c r="K673" t="s">
        <v>27</v>
      </c>
    </row>
    <row r="674" spans="1:11" x14ac:dyDescent="0.3">
      <c r="A674" t="s">
        <v>699</v>
      </c>
      <c r="B674" t="s">
        <v>17</v>
      </c>
      <c r="C674" s="1">
        <v>44625</v>
      </c>
      <c r="D674" s="1">
        <v>44636</v>
      </c>
      <c r="E674" t="s">
        <v>39</v>
      </c>
      <c r="F674" t="s">
        <v>18</v>
      </c>
      <c r="G674">
        <v>385</v>
      </c>
      <c r="H674">
        <v>18.23</v>
      </c>
      <c r="I674">
        <v>17.739999999999998</v>
      </c>
      <c r="K674" t="s">
        <v>15</v>
      </c>
    </row>
    <row r="675" spans="1:11" x14ac:dyDescent="0.3">
      <c r="A675" t="s">
        <v>700</v>
      </c>
      <c r="B675" t="s">
        <v>29</v>
      </c>
      <c r="C675" s="1">
        <v>44773</v>
      </c>
      <c r="D675" s="1">
        <v>44790</v>
      </c>
      <c r="E675" t="s">
        <v>13</v>
      </c>
      <c r="F675" t="s">
        <v>18</v>
      </c>
      <c r="G675">
        <v>1832</v>
      </c>
      <c r="H675">
        <v>49.01</v>
      </c>
      <c r="I675">
        <v>41.86</v>
      </c>
      <c r="J675">
        <v>52</v>
      </c>
      <c r="K675" t="s">
        <v>15</v>
      </c>
    </row>
    <row r="676" spans="1:11" x14ac:dyDescent="0.3">
      <c r="A676" t="s">
        <v>701</v>
      </c>
      <c r="B676" t="s">
        <v>23</v>
      </c>
      <c r="C676" s="1">
        <v>44992</v>
      </c>
      <c r="D676" s="1">
        <v>45012</v>
      </c>
      <c r="E676" t="s">
        <v>26</v>
      </c>
      <c r="F676" t="s">
        <v>18</v>
      </c>
      <c r="G676">
        <v>307</v>
      </c>
      <c r="H676">
        <v>95.36</v>
      </c>
      <c r="I676">
        <v>83.63</v>
      </c>
      <c r="J676">
        <v>29</v>
      </c>
      <c r="K676" t="s">
        <v>15</v>
      </c>
    </row>
    <row r="677" spans="1:11" x14ac:dyDescent="0.3">
      <c r="A677" t="s">
        <v>702</v>
      </c>
      <c r="B677" t="s">
        <v>29</v>
      </c>
      <c r="C677" s="1">
        <v>44960</v>
      </c>
      <c r="D677" s="1">
        <v>44965</v>
      </c>
      <c r="E677" t="s">
        <v>13</v>
      </c>
      <c r="F677" t="s">
        <v>18</v>
      </c>
      <c r="G677">
        <v>546</v>
      </c>
      <c r="H677">
        <v>101.2</v>
      </c>
      <c r="I677">
        <v>97.82</v>
      </c>
      <c r="J677">
        <v>21</v>
      </c>
      <c r="K677" t="s">
        <v>15</v>
      </c>
    </row>
    <row r="678" spans="1:11" x14ac:dyDescent="0.3">
      <c r="A678" t="s">
        <v>703</v>
      </c>
      <c r="B678" t="s">
        <v>17</v>
      </c>
      <c r="C678" s="1">
        <v>45160</v>
      </c>
      <c r="D678" s="1">
        <v>45180</v>
      </c>
      <c r="E678" t="s">
        <v>26</v>
      </c>
      <c r="F678" t="s">
        <v>18</v>
      </c>
      <c r="G678">
        <v>945</v>
      </c>
      <c r="H678">
        <v>57.01</v>
      </c>
      <c r="I678">
        <v>55.14</v>
      </c>
      <c r="J678">
        <v>147</v>
      </c>
      <c r="K678" t="s">
        <v>27</v>
      </c>
    </row>
    <row r="679" spans="1:11" x14ac:dyDescent="0.3">
      <c r="A679" t="s">
        <v>704</v>
      </c>
      <c r="B679" t="s">
        <v>17</v>
      </c>
      <c r="C679" s="1">
        <v>45274</v>
      </c>
      <c r="D679" s="1">
        <v>45287</v>
      </c>
      <c r="E679" t="s">
        <v>21</v>
      </c>
      <c r="F679" t="s">
        <v>35</v>
      </c>
      <c r="G679">
        <v>209</v>
      </c>
      <c r="H679">
        <v>72.709999999999994</v>
      </c>
      <c r="I679">
        <v>64.34</v>
      </c>
      <c r="J679">
        <v>39</v>
      </c>
      <c r="K679" t="s">
        <v>15</v>
      </c>
    </row>
    <row r="680" spans="1:11" x14ac:dyDescent="0.3">
      <c r="A680" t="s">
        <v>705</v>
      </c>
      <c r="B680" t="s">
        <v>23</v>
      </c>
      <c r="C680" s="1">
        <v>44582</v>
      </c>
      <c r="E680" t="s">
        <v>24</v>
      </c>
      <c r="F680" t="s">
        <v>18</v>
      </c>
      <c r="G680">
        <v>1548</v>
      </c>
      <c r="H680">
        <v>25.03</v>
      </c>
      <c r="I680">
        <v>22.87</v>
      </c>
      <c r="K680" t="s">
        <v>15</v>
      </c>
    </row>
    <row r="681" spans="1:11" x14ac:dyDescent="0.3">
      <c r="A681" t="s">
        <v>706</v>
      </c>
      <c r="B681" t="s">
        <v>17</v>
      </c>
      <c r="C681" s="1">
        <v>45151</v>
      </c>
      <c r="D681" s="1">
        <v>45161</v>
      </c>
      <c r="E681" t="s">
        <v>26</v>
      </c>
      <c r="F681" t="s">
        <v>18</v>
      </c>
      <c r="G681">
        <v>901</v>
      </c>
      <c r="H681">
        <v>108.63</v>
      </c>
      <c r="I681">
        <v>106.3</v>
      </c>
      <c r="J681">
        <v>141</v>
      </c>
      <c r="K681" t="s">
        <v>15</v>
      </c>
    </row>
    <row r="682" spans="1:11" x14ac:dyDescent="0.3">
      <c r="A682" t="s">
        <v>707</v>
      </c>
      <c r="B682" t="s">
        <v>29</v>
      </c>
      <c r="C682" s="1">
        <v>44951</v>
      </c>
      <c r="D682" s="1">
        <v>44968</v>
      </c>
      <c r="E682" t="s">
        <v>24</v>
      </c>
      <c r="F682" t="s">
        <v>18</v>
      </c>
      <c r="G682">
        <v>1737</v>
      </c>
      <c r="H682">
        <v>32.700000000000003</v>
      </c>
      <c r="I682">
        <v>31.02</v>
      </c>
      <c r="J682">
        <v>48</v>
      </c>
      <c r="K682" t="s">
        <v>15</v>
      </c>
    </row>
    <row r="683" spans="1:11" x14ac:dyDescent="0.3">
      <c r="A683" t="s">
        <v>708</v>
      </c>
      <c r="B683" t="s">
        <v>23</v>
      </c>
      <c r="C683" s="1">
        <v>45050</v>
      </c>
      <c r="D683" s="1">
        <v>45068</v>
      </c>
      <c r="E683" t="s">
        <v>26</v>
      </c>
      <c r="F683" t="s">
        <v>18</v>
      </c>
      <c r="G683">
        <v>1981</v>
      </c>
      <c r="H683">
        <v>102.43</v>
      </c>
      <c r="I683">
        <v>90.99</v>
      </c>
      <c r="J683">
        <v>204</v>
      </c>
      <c r="K683" t="s">
        <v>15</v>
      </c>
    </row>
    <row r="684" spans="1:11" x14ac:dyDescent="0.3">
      <c r="A684" t="s">
        <v>709</v>
      </c>
      <c r="B684" t="s">
        <v>29</v>
      </c>
      <c r="C684" s="1">
        <v>44568</v>
      </c>
      <c r="D684" s="1">
        <v>44587</v>
      </c>
      <c r="E684" t="s">
        <v>21</v>
      </c>
      <c r="F684" t="s">
        <v>35</v>
      </c>
      <c r="G684">
        <v>739</v>
      </c>
      <c r="H684">
        <v>68.47</v>
      </c>
      <c r="I684">
        <v>66.09</v>
      </c>
      <c r="J684">
        <v>19</v>
      </c>
      <c r="K684" t="s">
        <v>15</v>
      </c>
    </row>
    <row r="685" spans="1:11" x14ac:dyDescent="0.3">
      <c r="A685" t="s">
        <v>710</v>
      </c>
      <c r="B685" t="s">
        <v>23</v>
      </c>
      <c r="C685" s="1">
        <v>44922</v>
      </c>
      <c r="D685" s="1">
        <v>44923</v>
      </c>
      <c r="E685" t="s">
        <v>26</v>
      </c>
      <c r="F685" t="s">
        <v>18</v>
      </c>
      <c r="G685">
        <v>1748</v>
      </c>
      <c r="H685">
        <v>68.25</v>
      </c>
      <c r="I685">
        <v>62.84</v>
      </c>
      <c r="J685">
        <v>171</v>
      </c>
      <c r="K685" t="s">
        <v>15</v>
      </c>
    </row>
    <row r="686" spans="1:11" x14ac:dyDescent="0.3">
      <c r="A686" t="s">
        <v>711</v>
      </c>
      <c r="B686" t="s">
        <v>17</v>
      </c>
      <c r="C686" s="1">
        <v>44867</v>
      </c>
      <c r="D686" s="1">
        <v>44871</v>
      </c>
      <c r="E686" t="s">
        <v>13</v>
      </c>
      <c r="F686" t="s">
        <v>14</v>
      </c>
      <c r="G686">
        <v>429</v>
      </c>
      <c r="H686">
        <v>58.95</v>
      </c>
      <c r="I686">
        <v>55.35</v>
      </c>
      <c r="J686">
        <v>59</v>
      </c>
      <c r="K686" t="s">
        <v>27</v>
      </c>
    </row>
    <row r="687" spans="1:11" x14ac:dyDescent="0.3">
      <c r="A687" t="s">
        <v>712</v>
      </c>
      <c r="B687" t="s">
        <v>20</v>
      </c>
      <c r="C687" s="1">
        <v>44961</v>
      </c>
      <c r="E687" t="s">
        <v>39</v>
      </c>
      <c r="F687" t="s">
        <v>18</v>
      </c>
      <c r="G687">
        <v>1618</v>
      </c>
      <c r="H687">
        <v>32.76</v>
      </c>
      <c r="I687">
        <v>28.41</v>
      </c>
      <c r="J687">
        <v>62</v>
      </c>
      <c r="K687" t="s">
        <v>15</v>
      </c>
    </row>
    <row r="688" spans="1:11" x14ac:dyDescent="0.3">
      <c r="A688" t="s">
        <v>713</v>
      </c>
      <c r="B688" t="s">
        <v>23</v>
      </c>
      <c r="C688" s="1">
        <v>44991</v>
      </c>
      <c r="D688" s="1">
        <v>44992</v>
      </c>
      <c r="E688" t="s">
        <v>24</v>
      </c>
      <c r="F688" t="s">
        <v>18</v>
      </c>
      <c r="G688">
        <v>1006</v>
      </c>
      <c r="H688">
        <v>27.7</v>
      </c>
      <c r="I688">
        <v>23.66</v>
      </c>
      <c r="J688">
        <v>101</v>
      </c>
      <c r="K688" t="s">
        <v>27</v>
      </c>
    </row>
    <row r="689" spans="1:11" x14ac:dyDescent="0.3">
      <c r="A689" t="s">
        <v>714</v>
      </c>
      <c r="B689" t="s">
        <v>23</v>
      </c>
      <c r="C689" s="1">
        <v>45113</v>
      </c>
      <c r="D689" s="1">
        <v>45122</v>
      </c>
      <c r="E689" t="s">
        <v>39</v>
      </c>
      <c r="F689" t="s">
        <v>33</v>
      </c>
      <c r="G689">
        <v>740</v>
      </c>
      <c r="H689">
        <v>32.53</v>
      </c>
      <c r="I689">
        <v>29.35</v>
      </c>
      <c r="J689">
        <v>84</v>
      </c>
      <c r="K689" t="s">
        <v>15</v>
      </c>
    </row>
    <row r="690" spans="1:11" x14ac:dyDescent="0.3">
      <c r="A690" t="s">
        <v>715</v>
      </c>
      <c r="B690" t="s">
        <v>20</v>
      </c>
      <c r="C690" s="1">
        <v>45121</v>
      </c>
      <c r="E690" t="s">
        <v>26</v>
      </c>
      <c r="F690" t="s">
        <v>18</v>
      </c>
      <c r="G690">
        <v>1500</v>
      </c>
      <c r="H690">
        <v>29.19</v>
      </c>
      <c r="I690">
        <v>27.24</v>
      </c>
      <c r="J690">
        <v>72</v>
      </c>
      <c r="K690" t="s">
        <v>15</v>
      </c>
    </row>
    <row r="691" spans="1:11" x14ac:dyDescent="0.3">
      <c r="A691" t="s">
        <v>716</v>
      </c>
      <c r="B691" t="s">
        <v>17</v>
      </c>
      <c r="C691" s="1">
        <v>45179</v>
      </c>
      <c r="D691" s="1">
        <v>45198</v>
      </c>
      <c r="E691" t="s">
        <v>13</v>
      </c>
      <c r="F691" t="s">
        <v>14</v>
      </c>
      <c r="G691">
        <v>1686</v>
      </c>
      <c r="H691">
        <v>88.18</v>
      </c>
      <c r="I691">
        <v>77.150000000000006</v>
      </c>
      <c r="K691" t="s">
        <v>15</v>
      </c>
    </row>
    <row r="692" spans="1:11" x14ac:dyDescent="0.3">
      <c r="A692" t="s">
        <v>717</v>
      </c>
      <c r="B692" t="s">
        <v>29</v>
      </c>
      <c r="C692" s="1">
        <v>44787</v>
      </c>
      <c r="D692" s="1">
        <v>44789</v>
      </c>
      <c r="E692" t="s">
        <v>26</v>
      </c>
      <c r="F692" t="s">
        <v>14</v>
      </c>
      <c r="G692">
        <v>1341</v>
      </c>
      <c r="H692">
        <v>42.96</v>
      </c>
      <c r="I692">
        <v>41.75</v>
      </c>
      <c r="J692">
        <v>39</v>
      </c>
      <c r="K692" t="s">
        <v>15</v>
      </c>
    </row>
    <row r="693" spans="1:11" x14ac:dyDescent="0.3">
      <c r="A693" t="s">
        <v>718</v>
      </c>
      <c r="B693" t="s">
        <v>12</v>
      </c>
      <c r="C693" s="1">
        <v>45061</v>
      </c>
      <c r="D693" s="1">
        <v>45067</v>
      </c>
      <c r="E693" t="s">
        <v>21</v>
      </c>
      <c r="F693" t="s">
        <v>14</v>
      </c>
      <c r="G693">
        <v>1908</v>
      </c>
      <c r="H693">
        <v>16.420000000000002</v>
      </c>
      <c r="I693">
        <v>15.31</v>
      </c>
      <c r="J693">
        <v>36</v>
      </c>
      <c r="K693" t="s">
        <v>15</v>
      </c>
    </row>
    <row r="694" spans="1:11" x14ac:dyDescent="0.3">
      <c r="A694" t="s">
        <v>719</v>
      </c>
      <c r="B694" t="s">
        <v>20</v>
      </c>
      <c r="C694" s="1">
        <v>44786</v>
      </c>
      <c r="D694" s="1">
        <v>44806</v>
      </c>
      <c r="E694" t="s">
        <v>21</v>
      </c>
      <c r="F694" t="s">
        <v>33</v>
      </c>
      <c r="G694">
        <v>1650</v>
      </c>
      <c r="H694">
        <v>100.62</v>
      </c>
      <c r="I694">
        <v>90.45</v>
      </c>
      <c r="J694">
        <v>85</v>
      </c>
      <c r="K694" t="s">
        <v>15</v>
      </c>
    </row>
    <row r="695" spans="1:11" x14ac:dyDescent="0.3">
      <c r="A695" t="s">
        <v>720</v>
      </c>
      <c r="B695" t="s">
        <v>12</v>
      </c>
      <c r="C695" s="1">
        <v>44841</v>
      </c>
      <c r="D695" s="1">
        <v>44854</v>
      </c>
      <c r="E695" t="s">
        <v>21</v>
      </c>
      <c r="F695" t="s">
        <v>18</v>
      </c>
      <c r="G695">
        <v>1490</v>
      </c>
      <c r="H695">
        <v>93.57</v>
      </c>
      <c r="I695">
        <v>81.680000000000007</v>
      </c>
      <c r="J695">
        <v>29</v>
      </c>
      <c r="K695" t="s">
        <v>15</v>
      </c>
    </row>
    <row r="696" spans="1:11" x14ac:dyDescent="0.3">
      <c r="A696" t="s">
        <v>721</v>
      </c>
      <c r="B696" t="s">
        <v>17</v>
      </c>
      <c r="C696" s="1">
        <v>45008</v>
      </c>
      <c r="D696" s="1">
        <v>45016</v>
      </c>
      <c r="E696" t="s">
        <v>26</v>
      </c>
      <c r="F696" t="s">
        <v>18</v>
      </c>
      <c r="G696">
        <v>1241</v>
      </c>
      <c r="H696">
        <v>100.04</v>
      </c>
      <c r="I696">
        <v>97.56</v>
      </c>
      <c r="J696">
        <v>187</v>
      </c>
      <c r="K696" t="s">
        <v>15</v>
      </c>
    </row>
    <row r="697" spans="1:11" x14ac:dyDescent="0.3">
      <c r="A697" t="s">
        <v>722</v>
      </c>
      <c r="B697" t="s">
        <v>23</v>
      </c>
      <c r="C697" s="1">
        <v>45059</v>
      </c>
      <c r="D697" s="1">
        <v>45063</v>
      </c>
      <c r="E697" t="s">
        <v>21</v>
      </c>
      <c r="F697" t="s">
        <v>18</v>
      </c>
      <c r="G697">
        <v>1915</v>
      </c>
      <c r="H697">
        <v>107.51</v>
      </c>
      <c r="I697">
        <v>102.66</v>
      </c>
      <c r="J697">
        <v>184</v>
      </c>
      <c r="K697" t="s">
        <v>15</v>
      </c>
    </row>
    <row r="698" spans="1:11" x14ac:dyDescent="0.3">
      <c r="A698" t="s">
        <v>723</v>
      </c>
      <c r="B698" t="s">
        <v>23</v>
      </c>
      <c r="C698" s="1">
        <v>44591</v>
      </c>
      <c r="D698" s="1">
        <v>44606</v>
      </c>
      <c r="E698" t="s">
        <v>26</v>
      </c>
      <c r="F698" t="s">
        <v>18</v>
      </c>
      <c r="G698">
        <v>1116</v>
      </c>
      <c r="H698">
        <v>25.65</v>
      </c>
      <c r="I698">
        <v>24.28</v>
      </c>
      <c r="J698">
        <v>121</v>
      </c>
      <c r="K698" t="s">
        <v>15</v>
      </c>
    </row>
    <row r="699" spans="1:11" x14ac:dyDescent="0.3">
      <c r="A699" t="s">
        <v>724</v>
      </c>
      <c r="B699" t="s">
        <v>17</v>
      </c>
      <c r="C699" s="1">
        <v>44960</v>
      </c>
      <c r="D699" s="1">
        <v>44965</v>
      </c>
      <c r="E699" t="s">
        <v>26</v>
      </c>
      <c r="F699" t="s">
        <v>18</v>
      </c>
      <c r="G699">
        <v>1629</v>
      </c>
      <c r="H699">
        <v>48.63</v>
      </c>
      <c r="I699">
        <v>43.28</v>
      </c>
      <c r="J699">
        <v>260</v>
      </c>
      <c r="K699" t="s">
        <v>15</v>
      </c>
    </row>
    <row r="700" spans="1:11" x14ac:dyDescent="0.3">
      <c r="A700" t="s">
        <v>725</v>
      </c>
      <c r="B700" t="s">
        <v>29</v>
      </c>
      <c r="C700" s="1">
        <v>44906</v>
      </c>
      <c r="D700" s="1">
        <v>44913</v>
      </c>
      <c r="E700" t="s">
        <v>13</v>
      </c>
      <c r="F700" t="s">
        <v>18</v>
      </c>
      <c r="G700">
        <v>334</v>
      </c>
      <c r="H700">
        <v>82.54</v>
      </c>
      <c r="I700">
        <v>74.63</v>
      </c>
      <c r="K700" t="s">
        <v>15</v>
      </c>
    </row>
    <row r="701" spans="1:11" x14ac:dyDescent="0.3">
      <c r="A701" t="s">
        <v>726</v>
      </c>
      <c r="B701" t="s">
        <v>29</v>
      </c>
      <c r="C701" s="1">
        <v>45246</v>
      </c>
      <c r="D701" s="1">
        <v>45266</v>
      </c>
      <c r="E701" t="s">
        <v>24</v>
      </c>
      <c r="F701" t="s">
        <v>18</v>
      </c>
      <c r="G701">
        <v>446</v>
      </c>
      <c r="H701">
        <v>80.63</v>
      </c>
      <c r="I701">
        <v>70.37</v>
      </c>
      <c r="K701" t="s">
        <v>15</v>
      </c>
    </row>
    <row r="702" spans="1:11" x14ac:dyDescent="0.3">
      <c r="A702" t="s">
        <v>727</v>
      </c>
      <c r="B702" t="s">
        <v>17</v>
      </c>
      <c r="C702" s="1">
        <v>45257</v>
      </c>
      <c r="E702" t="s">
        <v>39</v>
      </c>
      <c r="F702" t="s">
        <v>18</v>
      </c>
      <c r="G702">
        <v>61</v>
      </c>
      <c r="H702">
        <v>26.47</v>
      </c>
      <c r="I702">
        <v>24.62</v>
      </c>
      <c r="J702">
        <v>6</v>
      </c>
      <c r="K702" t="s">
        <v>15</v>
      </c>
    </row>
    <row r="703" spans="1:11" x14ac:dyDescent="0.3">
      <c r="A703" t="s">
        <v>728</v>
      </c>
      <c r="B703" t="s">
        <v>17</v>
      </c>
      <c r="C703" s="1">
        <v>44976</v>
      </c>
      <c r="D703" s="1">
        <v>44978</v>
      </c>
      <c r="E703" t="s">
        <v>24</v>
      </c>
      <c r="F703" t="s">
        <v>18</v>
      </c>
      <c r="G703">
        <v>1680</v>
      </c>
      <c r="H703">
        <v>88.85</v>
      </c>
      <c r="I703">
        <v>87.53</v>
      </c>
      <c r="K703" t="s">
        <v>15</v>
      </c>
    </row>
    <row r="704" spans="1:11" x14ac:dyDescent="0.3">
      <c r="A704" t="s">
        <v>729</v>
      </c>
      <c r="B704" t="s">
        <v>17</v>
      </c>
      <c r="C704" s="1">
        <v>44731</v>
      </c>
      <c r="D704" s="1">
        <v>44748</v>
      </c>
      <c r="E704" t="s">
        <v>39</v>
      </c>
      <c r="F704" t="s">
        <v>18</v>
      </c>
      <c r="G704">
        <v>1375</v>
      </c>
      <c r="H704">
        <v>30.95</v>
      </c>
      <c r="I704">
        <v>30.02</v>
      </c>
      <c r="J704">
        <v>223</v>
      </c>
      <c r="K704" t="s">
        <v>15</v>
      </c>
    </row>
    <row r="705" spans="1:11" x14ac:dyDescent="0.3">
      <c r="A705" t="s">
        <v>730</v>
      </c>
      <c r="B705" t="s">
        <v>17</v>
      </c>
      <c r="C705" s="1">
        <v>45040</v>
      </c>
      <c r="D705" s="1">
        <v>45051</v>
      </c>
      <c r="E705" t="s">
        <v>39</v>
      </c>
      <c r="F705" t="s">
        <v>33</v>
      </c>
      <c r="G705">
        <v>1971</v>
      </c>
      <c r="H705">
        <v>32.4</v>
      </c>
      <c r="I705">
        <v>30.48</v>
      </c>
      <c r="J705">
        <v>321</v>
      </c>
      <c r="K705" t="s">
        <v>15</v>
      </c>
    </row>
    <row r="706" spans="1:11" x14ac:dyDescent="0.3">
      <c r="A706" t="s">
        <v>731</v>
      </c>
      <c r="B706" t="s">
        <v>17</v>
      </c>
      <c r="C706" s="1">
        <v>44692</v>
      </c>
      <c r="E706" t="s">
        <v>26</v>
      </c>
      <c r="F706" t="s">
        <v>35</v>
      </c>
      <c r="G706">
        <v>1326</v>
      </c>
      <c r="H706">
        <v>59.49</v>
      </c>
      <c r="I706">
        <v>56.21</v>
      </c>
      <c r="K706" t="s">
        <v>15</v>
      </c>
    </row>
    <row r="707" spans="1:11" x14ac:dyDescent="0.3">
      <c r="A707" t="s">
        <v>732</v>
      </c>
      <c r="B707" t="s">
        <v>17</v>
      </c>
      <c r="C707" s="1">
        <v>45199</v>
      </c>
      <c r="D707" s="1">
        <v>45212</v>
      </c>
      <c r="E707" t="s">
        <v>21</v>
      </c>
      <c r="F707" t="s">
        <v>14</v>
      </c>
      <c r="G707">
        <v>548</v>
      </c>
      <c r="H707">
        <v>69.7</v>
      </c>
      <c r="I707">
        <v>61.87</v>
      </c>
      <c r="J707">
        <v>90</v>
      </c>
      <c r="K707" t="s">
        <v>15</v>
      </c>
    </row>
    <row r="708" spans="1:11" x14ac:dyDescent="0.3">
      <c r="A708" t="s">
        <v>733</v>
      </c>
      <c r="B708" t="s">
        <v>23</v>
      </c>
      <c r="C708" s="1">
        <v>45108</v>
      </c>
      <c r="D708" s="1">
        <v>45114</v>
      </c>
      <c r="E708" t="s">
        <v>21</v>
      </c>
      <c r="F708" t="s">
        <v>18</v>
      </c>
      <c r="G708">
        <v>803</v>
      </c>
      <c r="H708">
        <v>67.81</v>
      </c>
      <c r="I708">
        <v>61.53</v>
      </c>
      <c r="J708">
        <v>78</v>
      </c>
      <c r="K708" t="s">
        <v>15</v>
      </c>
    </row>
    <row r="709" spans="1:11" x14ac:dyDescent="0.3">
      <c r="A709" t="s">
        <v>734</v>
      </c>
      <c r="B709" t="s">
        <v>12</v>
      </c>
      <c r="C709" s="1">
        <v>44589</v>
      </c>
      <c r="D709" s="1">
        <v>44607</v>
      </c>
      <c r="E709" t="s">
        <v>21</v>
      </c>
      <c r="F709" t="s">
        <v>18</v>
      </c>
      <c r="G709">
        <v>84</v>
      </c>
      <c r="H709">
        <v>18.23</v>
      </c>
      <c r="I709">
        <v>15.55</v>
      </c>
      <c r="J709">
        <v>0</v>
      </c>
      <c r="K709" t="s">
        <v>15</v>
      </c>
    </row>
    <row r="710" spans="1:11" x14ac:dyDescent="0.3">
      <c r="A710" t="s">
        <v>735</v>
      </c>
      <c r="B710" t="s">
        <v>29</v>
      </c>
      <c r="C710" s="1">
        <v>44965</v>
      </c>
      <c r="D710" s="1">
        <v>44977</v>
      </c>
      <c r="E710" t="s">
        <v>24</v>
      </c>
      <c r="F710" t="s">
        <v>18</v>
      </c>
      <c r="G710">
        <v>776</v>
      </c>
      <c r="H710">
        <v>94.75</v>
      </c>
      <c r="I710">
        <v>90.89</v>
      </c>
      <c r="J710">
        <v>19</v>
      </c>
      <c r="K710" t="s">
        <v>15</v>
      </c>
    </row>
    <row r="711" spans="1:11" x14ac:dyDescent="0.3">
      <c r="A711" t="s">
        <v>736</v>
      </c>
      <c r="B711" t="s">
        <v>12</v>
      </c>
      <c r="C711" s="1">
        <v>45168</v>
      </c>
      <c r="D711" s="1">
        <v>45177</v>
      </c>
      <c r="E711" t="s">
        <v>21</v>
      </c>
      <c r="F711" t="s">
        <v>18</v>
      </c>
      <c r="G711">
        <v>898</v>
      </c>
      <c r="H711">
        <v>37.119999999999997</v>
      </c>
      <c r="I711">
        <v>35.54</v>
      </c>
      <c r="J711">
        <v>18</v>
      </c>
      <c r="K711" t="s">
        <v>27</v>
      </c>
    </row>
    <row r="712" spans="1:11" x14ac:dyDescent="0.3">
      <c r="A712" t="s">
        <v>737</v>
      </c>
      <c r="B712" t="s">
        <v>23</v>
      </c>
      <c r="C712" s="1">
        <v>45139</v>
      </c>
      <c r="D712" s="1">
        <v>45146</v>
      </c>
      <c r="E712" t="s">
        <v>13</v>
      </c>
      <c r="F712" t="s">
        <v>14</v>
      </c>
      <c r="G712">
        <v>139</v>
      </c>
      <c r="H712">
        <v>23.71</v>
      </c>
      <c r="I712">
        <v>20.18</v>
      </c>
      <c r="J712">
        <v>14</v>
      </c>
      <c r="K712" t="s">
        <v>15</v>
      </c>
    </row>
    <row r="713" spans="1:11" x14ac:dyDescent="0.3">
      <c r="A713" t="s">
        <v>738</v>
      </c>
      <c r="B713" t="s">
        <v>20</v>
      </c>
      <c r="C713" s="1">
        <v>45240</v>
      </c>
      <c r="E713" t="s">
        <v>26</v>
      </c>
      <c r="F713" t="s">
        <v>18</v>
      </c>
      <c r="G713">
        <v>825</v>
      </c>
      <c r="H713">
        <v>99.89</v>
      </c>
      <c r="I713">
        <v>97.65</v>
      </c>
      <c r="J713">
        <v>30</v>
      </c>
      <c r="K713" t="s">
        <v>15</v>
      </c>
    </row>
    <row r="714" spans="1:11" x14ac:dyDescent="0.3">
      <c r="A714" t="s">
        <v>739</v>
      </c>
      <c r="B714" t="s">
        <v>12</v>
      </c>
      <c r="C714" s="1">
        <v>44589</v>
      </c>
      <c r="D714" s="1">
        <v>44599</v>
      </c>
      <c r="E714" t="s">
        <v>21</v>
      </c>
      <c r="F714" t="s">
        <v>18</v>
      </c>
      <c r="G714">
        <v>654</v>
      </c>
      <c r="H714">
        <v>96.01</v>
      </c>
      <c r="I714">
        <v>90.31</v>
      </c>
      <c r="J714">
        <v>10</v>
      </c>
      <c r="K714" t="s">
        <v>15</v>
      </c>
    </row>
    <row r="715" spans="1:11" x14ac:dyDescent="0.3">
      <c r="A715" t="s">
        <v>740</v>
      </c>
      <c r="B715" t="s">
        <v>20</v>
      </c>
      <c r="C715" s="1">
        <v>44647</v>
      </c>
      <c r="D715" s="1">
        <v>44657</v>
      </c>
      <c r="E715" t="s">
        <v>21</v>
      </c>
      <c r="F715" t="s">
        <v>18</v>
      </c>
      <c r="G715">
        <v>1995</v>
      </c>
      <c r="H715">
        <v>88.47</v>
      </c>
      <c r="I715">
        <v>82.65</v>
      </c>
      <c r="J715">
        <v>87</v>
      </c>
      <c r="K715" t="s">
        <v>27</v>
      </c>
    </row>
    <row r="716" spans="1:11" x14ac:dyDescent="0.3">
      <c r="A716" t="s">
        <v>741</v>
      </c>
      <c r="B716" t="s">
        <v>23</v>
      </c>
      <c r="C716" s="1">
        <v>45220</v>
      </c>
      <c r="D716" s="1">
        <v>45227</v>
      </c>
      <c r="E716" t="s">
        <v>21</v>
      </c>
      <c r="F716" t="s">
        <v>18</v>
      </c>
      <c r="G716">
        <v>1019</v>
      </c>
      <c r="H716">
        <v>91.56</v>
      </c>
      <c r="I716">
        <v>77.930000000000007</v>
      </c>
      <c r="J716">
        <v>111</v>
      </c>
      <c r="K716" t="s">
        <v>27</v>
      </c>
    </row>
    <row r="717" spans="1:11" x14ac:dyDescent="0.3">
      <c r="A717" t="s">
        <v>742</v>
      </c>
      <c r="B717" t="s">
        <v>29</v>
      </c>
      <c r="C717" s="1">
        <v>45000</v>
      </c>
      <c r="D717" s="1">
        <v>45016</v>
      </c>
      <c r="E717" t="s">
        <v>24</v>
      </c>
      <c r="F717" t="s">
        <v>35</v>
      </c>
      <c r="G717">
        <v>1675</v>
      </c>
      <c r="H717">
        <v>73.8</v>
      </c>
      <c r="I717">
        <v>65.34</v>
      </c>
      <c r="J717">
        <v>42</v>
      </c>
      <c r="K717" t="s">
        <v>15</v>
      </c>
    </row>
    <row r="718" spans="1:11" x14ac:dyDescent="0.3">
      <c r="A718" t="s">
        <v>743</v>
      </c>
      <c r="B718" t="s">
        <v>20</v>
      </c>
      <c r="C718" s="1">
        <v>44700</v>
      </c>
      <c r="D718" s="1">
        <v>44712</v>
      </c>
      <c r="E718" t="s">
        <v>26</v>
      </c>
      <c r="F718" t="s">
        <v>35</v>
      </c>
      <c r="G718">
        <v>1071</v>
      </c>
      <c r="H718">
        <v>60.77</v>
      </c>
      <c r="I718">
        <v>58.5</v>
      </c>
      <c r="K718" t="s">
        <v>15</v>
      </c>
    </row>
    <row r="719" spans="1:11" x14ac:dyDescent="0.3">
      <c r="A719" t="s">
        <v>744</v>
      </c>
      <c r="B719" t="s">
        <v>23</v>
      </c>
      <c r="C719" s="1">
        <v>45034</v>
      </c>
      <c r="D719" s="1">
        <v>45043</v>
      </c>
      <c r="E719" t="s">
        <v>13</v>
      </c>
      <c r="F719" t="s">
        <v>18</v>
      </c>
      <c r="G719">
        <v>467</v>
      </c>
      <c r="H719">
        <v>19.170000000000002</v>
      </c>
      <c r="I719">
        <v>17.11</v>
      </c>
      <c r="J719">
        <v>49</v>
      </c>
      <c r="K719" t="s">
        <v>15</v>
      </c>
    </row>
    <row r="720" spans="1:11" x14ac:dyDescent="0.3">
      <c r="A720" t="s">
        <v>745</v>
      </c>
      <c r="B720" t="s">
        <v>17</v>
      </c>
      <c r="C720" s="1">
        <v>44748</v>
      </c>
      <c r="D720" s="1">
        <v>44767</v>
      </c>
      <c r="E720" t="s">
        <v>21</v>
      </c>
      <c r="F720" t="s">
        <v>35</v>
      </c>
      <c r="G720">
        <v>164</v>
      </c>
      <c r="H720">
        <v>48.16</v>
      </c>
      <c r="I720">
        <v>47.46</v>
      </c>
      <c r="J720">
        <v>27</v>
      </c>
      <c r="K720" t="s">
        <v>15</v>
      </c>
    </row>
    <row r="721" spans="1:11" x14ac:dyDescent="0.3">
      <c r="A721" t="s">
        <v>746</v>
      </c>
      <c r="B721" t="s">
        <v>29</v>
      </c>
      <c r="C721" s="1">
        <v>44613</v>
      </c>
      <c r="D721" s="1">
        <v>44626</v>
      </c>
      <c r="E721" t="s">
        <v>39</v>
      </c>
      <c r="F721" t="s">
        <v>14</v>
      </c>
      <c r="G721">
        <v>666</v>
      </c>
      <c r="H721">
        <v>43.76</v>
      </c>
      <c r="I721">
        <v>41.13</v>
      </c>
      <c r="J721">
        <v>18</v>
      </c>
      <c r="K721" t="s">
        <v>15</v>
      </c>
    </row>
    <row r="722" spans="1:11" x14ac:dyDescent="0.3">
      <c r="A722" t="s">
        <v>747</v>
      </c>
      <c r="B722" t="s">
        <v>17</v>
      </c>
      <c r="C722" s="1">
        <v>44828</v>
      </c>
      <c r="D722" s="1">
        <v>44841</v>
      </c>
      <c r="E722" t="s">
        <v>24</v>
      </c>
      <c r="F722" t="s">
        <v>33</v>
      </c>
      <c r="G722">
        <v>1976</v>
      </c>
      <c r="H722">
        <v>34.71</v>
      </c>
      <c r="I722">
        <v>31.56</v>
      </c>
      <c r="J722">
        <v>286</v>
      </c>
      <c r="K722" t="s">
        <v>27</v>
      </c>
    </row>
    <row r="723" spans="1:11" x14ac:dyDescent="0.3">
      <c r="A723" t="s">
        <v>748</v>
      </c>
      <c r="B723" t="s">
        <v>29</v>
      </c>
      <c r="C723" s="1">
        <v>44950</v>
      </c>
      <c r="D723" s="1">
        <v>44955</v>
      </c>
      <c r="E723" t="s">
        <v>21</v>
      </c>
      <c r="F723" t="s">
        <v>18</v>
      </c>
      <c r="G723">
        <v>1269</v>
      </c>
      <c r="H723">
        <v>79.61</v>
      </c>
      <c r="I723">
        <v>71.86</v>
      </c>
      <c r="J723">
        <v>47</v>
      </c>
      <c r="K723" t="s">
        <v>15</v>
      </c>
    </row>
    <row r="724" spans="1:11" x14ac:dyDescent="0.3">
      <c r="A724" t="s">
        <v>749</v>
      </c>
      <c r="B724" t="s">
        <v>29</v>
      </c>
      <c r="C724" s="1">
        <v>44897</v>
      </c>
      <c r="D724" s="1">
        <v>44907</v>
      </c>
      <c r="E724" t="s">
        <v>21</v>
      </c>
      <c r="F724" t="s">
        <v>18</v>
      </c>
      <c r="G724">
        <v>875</v>
      </c>
      <c r="H724">
        <v>57.63</v>
      </c>
      <c r="I724">
        <v>51.8</v>
      </c>
      <c r="J724">
        <v>16</v>
      </c>
      <c r="K724" t="s">
        <v>15</v>
      </c>
    </row>
    <row r="725" spans="1:11" x14ac:dyDescent="0.3">
      <c r="A725" t="s">
        <v>750</v>
      </c>
      <c r="B725" t="s">
        <v>12</v>
      </c>
      <c r="C725" s="1">
        <v>44778</v>
      </c>
      <c r="E725" t="s">
        <v>24</v>
      </c>
      <c r="F725" t="s">
        <v>33</v>
      </c>
      <c r="G725">
        <v>1574</v>
      </c>
      <c r="H725">
        <v>17.899999999999999</v>
      </c>
      <c r="I725">
        <v>15.85</v>
      </c>
      <c r="J725">
        <v>31</v>
      </c>
      <c r="K725" t="s">
        <v>15</v>
      </c>
    </row>
    <row r="726" spans="1:11" x14ac:dyDescent="0.3">
      <c r="A726" t="s">
        <v>751</v>
      </c>
      <c r="B726" t="s">
        <v>29</v>
      </c>
      <c r="C726" s="1">
        <v>45027</v>
      </c>
      <c r="D726" s="1">
        <v>45042</v>
      </c>
      <c r="E726" t="s">
        <v>13</v>
      </c>
      <c r="F726" t="s">
        <v>33</v>
      </c>
      <c r="G726">
        <v>1699</v>
      </c>
      <c r="H726">
        <v>32.049999999999997</v>
      </c>
      <c r="I726">
        <v>29.34</v>
      </c>
      <c r="J726">
        <v>69</v>
      </c>
      <c r="K726" t="s">
        <v>15</v>
      </c>
    </row>
    <row r="727" spans="1:11" x14ac:dyDescent="0.3">
      <c r="A727" t="s">
        <v>752</v>
      </c>
      <c r="B727" t="s">
        <v>12</v>
      </c>
      <c r="C727" s="1">
        <v>44896</v>
      </c>
      <c r="D727" s="1">
        <v>44912</v>
      </c>
      <c r="E727" t="s">
        <v>39</v>
      </c>
      <c r="F727" t="s">
        <v>18</v>
      </c>
      <c r="G727">
        <v>1566</v>
      </c>
      <c r="H727">
        <v>75.430000000000007</v>
      </c>
      <c r="I727">
        <v>71.27</v>
      </c>
      <c r="J727">
        <v>27</v>
      </c>
      <c r="K727" t="s">
        <v>15</v>
      </c>
    </row>
    <row r="728" spans="1:11" x14ac:dyDescent="0.3">
      <c r="A728" t="s">
        <v>753</v>
      </c>
      <c r="B728" t="s">
        <v>20</v>
      </c>
      <c r="C728" s="1">
        <v>44907</v>
      </c>
      <c r="D728" s="1">
        <v>44925</v>
      </c>
      <c r="E728" t="s">
        <v>39</v>
      </c>
      <c r="F728" t="s">
        <v>18</v>
      </c>
      <c r="G728">
        <v>1148</v>
      </c>
      <c r="H728">
        <v>17.78</v>
      </c>
      <c r="I728">
        <v>17.16</v>
      </c>
      <c r="J728">
        <v>61</v>
      </c>
      <c r="K728" t="s">
        <v>15</v>
      </c>
    </row>
    <row r="729" spans="1:11" x14ac:dyDescent="0.3">
      <c r="A729" t="s">
        <v>754</v>
      </c>
      <c r="B729" t="s">
        <v>29</v>
      </c>
      <c r="C729" s="1">
        <v>44950</v>
      </c>
      <c r="D729" s="1">
        <v>44968</v>
      </c>
      <c r="E729" t="s">
        <v>13</v>
      </c>
      <c r="F729" t="s">
        <v>18</v>
      </c>
      <c r="G729">
        <v>462</v>
      </c>
      <c r="H729">
        <v>91.81</v>
      </c>
      <c r="I729">
        <v>83.14</v>
      </c>
      <c r="J729">
        <v>11</v>
      </c>
      <c r="K729" t="s">
        <v>15</v>
      </c>
    </row>
    <row r="730" spans="1:11" x14ac:dyDescent="0.3">
      <c r="A730" t="s">
        <v>755</v>
      </c>
      <c r="B730" t="s">
        <v>20</v>
      </c>
      <c r="C730" s="1">
        <v>44846</v>
      </c>
      <c r="D730" s="1">
        <v>44851</v>
      </c>
      <c r="E730" t="s">
        <v>24</v>
      </c>
      <c r="F730" t="s">
        <v>18</v>
      </c>
      <c r="G730">
        <v>1449</v>
      </c>
      <c r="H730">
        <v>57.02</v>
      </c>
      <c r="I730">
        <v>49.28</v>
      </c>
      <c r="J730">
        <v>71</v>
      </c>
      <c r="K730" t="s">
        <v>15</v>
      </c>
    </row>
    <row r="731" spans="1:11" x14ac:dyDescent="0.3">
      <c r="A731" t="s">
        <v>756</v>
      </c>
      <c r="B731" t="s">
        <v>29</v>
      </c>
      <c r="C731" s="1">
        <v>44993</v>
      </c>
      <c r="D731" s="1">
        <v>45012</v>
      </c>
      <c r="E731" t="s">
        <v>21</v>
      </c>
      <c r="F731" t="s">
        <v>18</v>
      </c>
      <c r="G731">
        <v>1493</v>
      </c>
      <c r="H731">
        <v>56.98</v>
      </c>
      <c r="I731">
        <v>52.51</v>
      </c>
      <c r="J731">
        <v>43</v>
      </c>
      <c r="K731" t="s">
        <v>15</v>
      </c>
    </row>
    <row r="732" spans="1:11" x14ac:dyDescent="0.3">
      <c r="A732" t="s">
        <v>757</v>
      </c>
      <c r="B732" t="s">
        <v>12</v>
      </c>
      <c r="C732" s="1">
        <v>44820</v>
      </c>
      <c r="D732" s="1">
        <v>44822</v>
      </c>
      <c r="E732" t="s">
        <v>13</v>
      </c>
      <c r="F732" t="s">
        <v>18</v>
      </c>
      <c r="G732">
        <v>778</v>
      </c>
      <c r="H732">
        <v>65.849999999999994</v>
      </c>
      <c r="I732">
        <v>62.08</v>
      </c>
      <c r="K732" t="s">
        <v>27</v>
      </c>
    </row>
    <row r="733" spans="1:11" x14ac:dyDescent="0.3">
      <c r="A733" t="s">
        <v>758</v>
      </c>
      <c r="B733" t="s">
        <v>17</v>
      </c>
      <c r="C733" s="1">
        <v>44645</v>
      </c>
      <c r="D733" s="1">
        <v>44662</v>
      </c>
      <c r="E733" t="s">
        <v>24</v>
      </c>
      <c r="F733" t="s">
        <v>33</v>
      </c>
      <c r="G733">
        <v>1350</v>
      </c>
      <c r="H733">
        <v>85.06</v>
      </c>
      <c r="I733">
        <v>82.34</v>
      </c>
      <c r="K733" t="s">
        <v>27</v>
      </c>
    </row>
    <row r="734" spans="1:11" x14ac:dyDescent="0.3">
      <c r="A734" t="s">
        <v>759</v>
      </c>
      <c r="B734" t="s">
        <v>29</v>
      </c>
      <c r="C734" s="1">
        <v>45043</v>
      </c>
      <c r="D734" s="1">
        <v>45051</v>
      </c>
      <c r="E734" t="s">
        <v>24</v>
      </c>
      <c r="F734" t="s">
        <v>18</v>
      </c>
      <c r="G734">
        <v>1070</v>
      </c>
      <c r="H734">
        <v>44.4</v>
      </c>
      <c r="I734">
        <v>40.07</v>
      </c>
      <c r="J734">
        <v>26</v>
      </c>
      <c r="K734" t="s">
        <v>15</v>
      </c>
    </row>
    <row r="735" spans="1:11" x14ac:dyDescent="0.3">
      <c r="A735" t="s">
        <v>760</v>
      </c>
      <c r="B735" t="s">
        <v>23</v>
      </c>
      <c r="C735" s="1">
        <v>44581</v>
      </c>
      <c r="D735" s="1">
        <v>44595</v>
      </c>
      <c r="E735" t="s">
        <v>24</v>
      </c>
      <c r="F735" t="s">
        <v>35</v>
      </c>
      <c r="G735">
        <v>810</v>
      </c>
      <c r="H735">
        <v>71.02</v>
      </c>
      <c r="I735">
        <v>66.8</v>
      </c>
      <c r="J735">
        <v>73</v>
      </c>
      <c r="K735" t="s">
        <v>15</v>
      </c>
    </row>
    <row r="736" spans="1:11" x14ac:dyDescent="0.3">
      <c r="A736" t="s">
        <v>761</v>
      </c>
      <c r="B736" t="s">
        <v>17</v>
      </c>
      <c r="C736" s="1">
        <v>45114</v>
      </c>
      <c r="D736" s="1">
        <v>45130</v>
      </c>
      <c r="E736" t="s">
        <v>24</v>
      </c>
      <c r="F736" t="s">
        <v>14</v>
      </c>
      <c r="G736">
        <v>725</v>
      </c>
      <c r="H736">
        <v>66.400000000000006</v>
      </c>
      <c r="I736">
        <v>62.1</v>
      </c>
      <c r="J736">
        <v>118</v>
      </c>
      <c r="K736" t="s">
        <v>15</v>
      </c>
    </row>
    <row r="737" spans="1:11" x14ac:dyDescent="0.3">
      <c r="A737" t="s">
        <v>762</v>
      </c>
      <c r="B737" t="s">
        <v>12</v>
      </c>
      <c r="C737" s="1">
        <v>44615</v>
      </c>
      <c r="D737" s="1">
        <v>44620</v>
      </c>
      <c r="E737" t="s">
        <v>39</v>
      </c>
      <c r="F737" t="s">
        <v>18</v>
      </c>
      <c r="G737">
        <v>1467</v>
      </c>
      <c r="H737">
        <v>34.200000000000003</v>
      </c>
      <c r="I737">
        <v>30.5</v>
      </c>
      <c r="J737">
        <v>25</v>
      </c>
      <c r="K737" t="s">
        <v>15</v>
      </c>
    </row>
    <row r="738" spans="1:11" x14ac:dyDescent="0.3">
      <c r="A738" t="s">
        <v>763</v>
      </c>
      <c r="B738" t="s">
        <v>23</v>
      </c>
      <c r="C738" s="1">
        <v>44920</v>
      </c>
      <c r="D738" s="1">
        <v>44938</v>
      </c>
      <c r="E738" t="s">
        <v>24</v>
      </c>
      <c r="F738" t="s">
        <v>18</v>
      </c>
      <c r="G738">
        <v>1942</v>
      </c>
      <c r="H738">
        <v>93.98</v>
      </c>
      <c r="I738">
        <v>81.31</v>
      </c>
      <c r="J738">
        <v>198</v>
      </c>
      <c r="K738" t="s">
        <v>15</v>
      </c>
    </row>
    <row r="739" spans="1:11" x14ac:dyDescent="0.3">
      <c r="A739" t="s">
        <v>764</v>
      </c>
      <c r="B739" t="s">
        <v>20</v>
      </c>
      <c r="C739" s="1">
        <v>44791</v>
      </c>
      <c r="E739" t="s">
        <v>13</v>
      </c>
      <c r="F739" t="s">
        <v>18</v>
      </c>
      <c r="G739">
        <v>506</v>
      </c>
      <c r="H739">
        <v>84.63</v>
      </c>
      <c r="I739">
        <v>72.69</v>
      </c>
      <c r="J739">
        <v>20</v>
      </c>
      <c r="K739" t="s">
        <v>15</v>
      </c>
    </row>
    <row r="740" spans="1:11" x14ac:dyDescent="0.3">
      <c r="A740" t="s">
        <v>765</v>
      </c>
      <c r="B740" t="s">
        <v>12</v>
      </c>
      <c r="C740" s="1">
        <v>45227</v>
      </c>
      <c r="D740" s="1">
        <v>45243</v>
      </c>
      <c r="E740" t="s">
        <v>21</v>
      </c>
      <c r="F740" t="s">
        <v>18</v>
      </c>
      <c r="G740">
        <v>969</v>
      </c>
      <c r="H740">
        <v>76.53</v>
      </c>
      <c r="I740">
        <v>75.64</v>
      </c>
      <c r="J740">
        <v>30</v>
      </c>
      <c r="K740" t="s">
        <v>15</v>
      </c>
    </row>
    <row r="741" spans="1:11" x14ac:dyDescent="0.3">
      <c r="A741" t="s">
        <v>766</v>
      </c>
      <c r="B741" t="s">
        <v>17</v>
      </c>
      <c r="C741" s="1">
        <v>44632</v>
      </c>
      <c r="D741" s="1">
        <v>44639</v>
      </c>
      <c r="E741" t="s">
        <v>21</v>
      </c>
      <c r="F741" t="s">
        <v>18</v>
      </c>
      <c r="G741">
        <v>241</v>
      </c>
      <c r="H741">
        <v>87.42</v>
      </c>
      <c r="I741">
        <v>82.15</v>
      </c>
      <c r="K741" t="s">
        <v>15</v>
      </c>
    </row>
    <row r="742" spans="1:11" x14ac:dyDescent="0.3">
      <c r="A742" t="s">
        <v>767</v>
      </c>
      <c r="B742" t="s">
        <v>20</v>
      </c>
      <c r="C742" s="1">
        <v>45229</v>
      </c>
      <c r="D742" s="1">
        <v>45239</v>
      </c>
      <c r="E742" t="s">
        <v>26</v>
      </c>
      <c r="F742" t="s">
        <v>18</v>
      </c>
      <c r="G742">
        <v>788</v>
      </c>
      <c r="H742">
        <v>97.3</v>
      </c>
      <c r="I742">
        <v>94.44</v>
      </c>
      <c r="J742">
        <v>32</v>
      </c>
      <c r="K742" t="s">
        <v>15</v>
      </c>
    </row>
    <row r="743" spans="1:11" x14ac:dyDescent="0.3">
      <c r="A743" t="s">
        <v>768</v>
      </c>
      <c r="B743" t="s">
        <v>20</v>
      </c>
      <c r="C743" s="1">
        <v>44603</v>
      </c>
      <c r="D743" s="1">
        <v>44605</v>
      </c>
      <c r="E743" t="s">
        <v>13</v>
      </c>
      <c r="F743" t="s">
        <v>18</v>
      </c>
      <c r="G743">
        <v>1762</v>
      </c>
      <c r="H743">
        <v>74.12</v>
      </c>
      <c r="I743">
        <v>65.709999999999994</v>
      </c>
      <c r="J743">
        <v>94</v>
      </c>
      <c r="K743" t="s">
        <v>15</v>
      </c>
    </row>
    <row r="744" spans="1:11" x14ac:dyDescent="0.3">
      <c r="A744" t="s">
        <v>769</v>
      </c>
      <c r="B744" t="s">
        <v>12</v>
      </c>
      <c r="C744" s="1">
        <v>44593</v>
      </c>
      <c r="E744" t="s">
        <v>26</v>
      </c>
      <c r="F744" t="s">
        <v>35</v>
      </c>
      <c r="G744">
        <v>1172</v>
      </c>
      <c r="H744">
        <v>85.76</v>
      </c>
      <c r="I744">
        <v>81.430000000000007</v>
      </c>
      <c r="J744">
        <v>25</v>
      </c>
      <c r="K744" t="s">
        <v>15</v>
      </c>
    </row>
    <row r="745" spans="1:11" x14ac:dyDescent="0.3">
      <c r="A745" t="s">
        <v>770</v>
      </c>
      <c r="B745" t="s">
        <v>17</v>
      </c>
      <c r="C745" s="1">
        <v>44815</v>
      </c>
      <c r="D745" s="1">
        <v>44834</v>
      </c>
      <c r="E745" t="s">
        <v>13</v>
      </c>
      <c r="F745" t="s">
        <v>18</v>
      </c>
      <c r="G745">
        <v>1621</v>
      </c>
      <c r="H745">
        <v>75.680000000000007</v>
      </c>
      <c r="I745">
        <v>73.78</v>
      </c>
      <c r="J745">
        <v>226</v>
      </c>
      <c r="K745" t="s">
        <v>27</v>
      </c>
    </row>
    <row r="746" spans="1:11" x14ac:dyDescent="0.3">
      <c r="A746" t="s">
        <v>771</v>
      </c>
      <c r="B746" t="s">
        <v>12</v>
      </c>
      <c r="C746" s="1">
        <v>44766</v>
      </c>
      <c r="D746" s="1">
        <v>44768</v>
      </c>
      <c r="E746" t="s">
        <v>24</v>
      </c>
      <c r="F746" t="s">
        <v>18</v>
      </c>
      <c r="G746">
        <v>1027</v>
      </c>
      <c r="H746">
        <v>73.349999999999994</v>
      </c>
      <c r="I746">
        <v>65.42</v>
      </c>
      <c r="J746">
        <v>24</v>
      </c>
      <c r="K746" t="s">
        <v>27</v>
      </c>
    </row>
    <row r="747" spans="1:11" x14ac:dyDescent="0.3">
      <c r="A747" t="s">
        <v>772</v>
      </c>
      <c r="B747" t="s">
        <v>23</v>
      </c>
      <c r="C747" s="1">
        <v>44582</v>
      </c>
      <c r="E747" t="s">
        <v>26</v>
      </c>
      <c r="F747" t="s">
        <v>18</v>
      </c>
      <c r="G747">
        <v>1058</v>
      </c>
      <c r="H747">
        <v>65.680000000000007</v>
      </c>
      <c r="I747">
        <v>57.21</v>
      </c>
      <c r="J747">
        <v>101</v>
      </c>
      <c r="K747" t="s">
        <v>15</v>
      </c>
    </row>
    <row r="748" spans="1:11" x14ac:dyDescent="0.3">
      <c r="A748" t="s">
        <v>773</v>
      </c>
      <c r="B748" t="s">
        <v>23</v>
      </c>
      <c r="C748" s="1">
        <v>45198</v>
      </c>
      <c r="D748" s="1">
        <v>45204</v>
      </c>
      <c r="E748" t="s">
        <v>24</v>
      </c>
      <c r="F748" t="s">
        <v>18</v>
      </c>
      <c r="G748">
        <v>145</v>
      </c>
      <c r="H748">
        <v>85.52</v>
      </c>
      <c r="I748">
        <v>81.86</v>
      </c>
      <c r="J748">
        <v>11</v>
      </c>
      <c r="K748" t="s">
        <v>27</v>
      </c>
    </row>
    <row r="749" spans="1:11" x14ac:dyDescent="0.3">
      <c r="A749" t="s">
        <v>774</v>
      </c>
      <c r="B749" t="s">
        <v>29</v>
      </c>
      <c r="C749" s="1">
        <v>44718</v>
      </c>
      <c r="E749" t="s">
        <v>13</v>
      </c>
      <c r="F749" t="s">
        <v>18</v>
      </c>
      <c r="G749">
        <v>1737</v>
      </c>
      <c r="H749">
        <v>24.88</v>
      </c>
      <c r="I749">
        <v>24.28</v>
      </c>
      <c r="J749">
        <v>46</v>
      </c>
      <c r="K749" t="s">
        <v>15</v>
      </c>
    </row>
    <row r="750" spans="1:11" x14ac:dyDescent="0.3">
      <c r="A750" t="s">
        <v>775</v>
      </c>
      <c r="B750" t="s">
        <v>20</v>
      </c>
      <c r="C750" s="1">
        <v>44806</v>
      </c>
      <c r="D750" s="1">
        <v>44819</v>
      </c>
      <c r="E750" t="s">
        <v>39</v>
      </c>
      <c r="F750" t="s">
        <v>18</v>
      </c>
      <c r="G750">
        <v>712</v>
      </c>
      <c r="H750">
        <v>92.85</v>
      </c>
      <c r="I750">
        <v>89.39</v>
      </c>
      <c r="J750">
        <v>43</v>
      </c>
      <c r="K750" t="s">
        <v>15</v>
      </c>
    </row>
    <row r="751" spans="1:11" x14ac:dyDescent="0.3">
      <c r="A751" t="s">
        <v>776</v>
      </c>
      <c r="B751" t="s">
        <v>29</v>
      </c>
      <c r="C751" s="1">
        <v>44691</v>
      </c>
      <c r="D751" s="1">
        <v>44697</v>
      </c>
      <c r="E751" t="s">
        <v>39</v>
      </c>
      <c r="F751" t="s">
        <v>18</v>
      </c>
      <c r="G751">
        <v>1263</v>
      </c>
      <c r="H751">
        <v>90.24</v>
      </c>
      <c r="I751">
        <v>86.84</v>
      </c>
      <c r="J751">
        <v>28</v>
      </c>
      <c r="K751" t="s">
        <v>15</v>
      </c>
    </row>
    <row r="752" spans="1:11" x14ac:dyDescent="0.3">
      <c r="A752" t="s">
        <v>777</v>
      </c>
      <c r="B752" t="s">
        <v>17</v>
      </c>
      <c r="C752" s="1">
        <v>45046</v>
      </c>
      <c r="E752" t="s">
        <v>39</v>
      </c>
      <c r="F752" t="s">
        <v>18</v>
      </c>
      <c r="G752">
        <v>1809</v>
      </c>
      <c r="H752">
        <v>13.58</v>
      </c>
      <c r="I752">
        <v>12.68</v>
      </c>
      <c r="K752" t="s">
        <v>27</v>
      </c>
    </row>
    <row r="753" spans="1:11" x14ac:dyDescent="0.3">
      <c r="A753" t="s">
        <v>778</v>
      </c>
      <c r="B753" t="s">
        <v>23</v>
      </c>
      <c r="C753" s="1">
        <v>45247</v>
      </c>
      <c r="E753" t="s">
        <v>39</v>
      </c>
      <c r="F753" t="s">
        <v>14</v>
      </c>
      <c r="G753">
        <v>86</v>
      </c>
      <c r="H753">
        <v>93.6</v>
      </c>
      <c r="I753">
        <v>88.22</v>
      </c>
      <c r="J753">
        <v>5</v>
      </c>
      <c r="K753" t="s">
        <v>15</v>
      </c>
    </row>
    <row r="754" spans="1:11" x14ac:dyDescent="0.3">
      <c r="A754" t="s">
        <v>779</v>
      </c>
      <c r="B754" t="s">
        <v>29</v>
      </c>
      <c r="C754" s="1">
        <v>44679</v>
      </c>
      <c r="E754" t="s">
        <v>21</v>
      </c>
      <c r="F754" t="s">
        <v>18</v>
      </c>
      <c r="G754">
        <v>1853</v>
      </c>
      <c r="H754">
        <v>21.92</v>
      </c>
      <c r="I754">
        <v>20.72</v>
      </c>
      <c r="K754" t="s">
        <v>15</v>
      </c>
    </row>
    <row r="755" spans="1:11" x14ac:dyDescent="0.3">
      <c r="A755" t="s">
        <v>780</v>
      </c>
      <c r="B755" t="s">
        <v>23</v>
      </c>
      <c r="C755" s="1">
        <v>45139</v>
      </c>
      <c r="D755" s="1">
        <v>45140</v>
      </c>
      <c r="E755" t="s">
        <v>39</v>
      </c>
      <c r="F755" t="s">
        <v>18</v>
      </c>
      <c r="G755">
        <v>1442</v>
      </c>
      <c r="H755">
        <v>43.98</v>
      </c>
      <c r="I755">
        <v>41.82</v>
      </c>
      <c r="J755">
        <v>140</v>
      </c>
      <c r="K755" t="s">
        <v>27</v>
      </c>
    </row>
    <row r="756" spans="1:11" x14ac:dyDescent="0.3">
      <c r="A756" t="s">
        <v>781</v>
      </c>
      <c r="B756" t="s">
        <v>23</v>
      </c>
      <c r="C756" s="1">
        <v>44785</v>
      </c>
      <c r="D756" s="1">
        <v>44805</v>
      </c>
      <c r="E756" t="s">
        <v>13</v>
      </c>
      <c r="F756" t="s">
        <v>35</v>
      </c>
      <c r="G756">
        <v>1768</v>
      </c>
      <c r="H756">
        <v>79.61</v>
      </c>
      <c r="I756">
        <v>74.97</v>
      </c>
      <c r="J756">
        <v>207</v>
      </c>
      <c r="K756" t="s">
        <v>27</v>
      </c>
    </row>
    <row r="757" spans="1:11" x14ac:dyDescent="0.3">
      <c r="A757" t="s">
        <v>782</v>
      </c>
      <c r="B757" t="s">
        <v>23</v>
      </c>
      <c r="C757" s="1">
        <v>45038</v>
      </c>
      <c r="D757" s="1">
        <v>45049</v>
      </c>
      <c r="E757" t="s">
        <v>39</v>
      </c>
      <c r="F757" t="s">
        <v>33</v>
      </c>
      <c r="G757">
        <v>1598</v>
      </c>
      <c r="H757">
        <v>26.3</v>
      </c>
      <c r="I757">
        <v>26.03</v>
      </c>
      <c r="J757">
        <v>154</v>
      </c>
      <c r="K757" t="s">
        <v>27</v>
      </c>
    </row>
    <row r="758" spans="1:11" x14ac:dyDescent="0.3">
      <c r="A758" t="s">
        <v>783</v>
      </c>
      <c r="B758" t="s">
        <v>12</v>
      </c>
      <c r="C758" s="1">
        <v>45278</v>
      </c>
      <c r="D758" s="1">
        <v>45296</v>
      </c>
      <c r="E758" t="s">
        <v>21</v>
      </c>
      <c r="F758" t="s">
        <v>14</v>
      </c>
      <c r="G758">
        <v>328</v>
      </c>
      <c r="H758">
        <v>93.23</v>
      </c>
      <c r="I758">
        <v>82.63</v>
      </c>
      <c r="J758">
        <v>6</v>
      </c>
      <c r="K758" t="s">
        <v>15</v>
      </c>
    </row>
    <row r="759" spans="1:11" x14ac:dyDescent="0.3">
      <c r="A759" t="s">
        <v>784</v>
      </c>
      <c r="B759" t="s">
        <v>29</v>
      </c>
      <c r="C759" s="1">
        <v>44824</v>
      </c>
      <c r="D759" s="1">
        <v>44829</v>
      </c>
      <c r="E759" t="s">
        <v>24</v>
      </c>
      <c r="F759" t="s">
        <v>18</v>
      </c>
      <c r="G759">
        <v>266</v>
      </c>
      <c r="H759">
        <v>88.29</v>
      </c>
      <c r="I759">
        <v>80.22</v>
      </c>
      <c r="J759">
        <v>4</v>
      </c>
      <c r="K759" t="s">
        <v>15</v>
      </c>
    </row>
    <row r="760" spans="1:11" x14ac:dyDescent="0.3">
      <c r="A760" t="s">
        <v>785</v>
      </c>
      <c r="B760" t="s">
        <v>20</v>
      </c>
      <c r="C760" s="1">
        <v>44939</v>
      </c>
      <c r="D760" s="1">
        <v>44954</v>
      </c>
      <c r="E760" t="s">
        <v>26</v>
      </c>
      <c r="F760" t="s">
        <v>18</v>
      </c>
      <c r="G760">
        <v>916</v>
      </c>
      <c r="H760">
        <v>59.01</v>
      </c>
      <c r="I760">
        <v>53.37</v>
      </c>
      <c r="J760">
        <v>47</v>
      </c>
      <c r="K760" t="s">
        <v>15</v>
      </c>
    </row>
    <row r="761" spans="1:11" x14ac:dyDescent="0.3">
      <c r="A761" t="s">
        <v>786</v>
      </c>
      <c r="B761" t="s">
        <v>29</v>
      </c>
      <c r="C761" s="1">
        <v>44733</v>
      </c>
      <c r="D761" s="1">
        <v>44737</v>
      </c>
      <c r="E761" t="s">
        <v>24</v>
      </c>
      <c r="F761" t="s">
        <v>14</v>
      </c>
      <c r="G761">
        <v>922</v>
      </c>
      <c r="H761">
        <v>10.84</v>
      </c>
      <c r="I761">
        <v>9.27</v>
      </c>
      <c r="J761">
        <v>29</v>
      </c>
      <c r="K761" t="s">
        <v>15</v>
      </c>
    </row>
    <row r="762" spans="1:11" x14ac:dyDescent="0.3">
      <c r="A762" t="s">
        <v>787</v>
      </c>
      <c r="B762" t="s">
        <v>20</v>
      </c>
      <c r="C762" s="1">
        <v>45182</v>
      </c>
      <c r="D762" s="1">
        <v>45197</v>
      </c>
      <c r="E762" t="s">
        <v>24</v>
      </c>
      <c r="F762" t="s">
        <v>18</v>
      </c>
      <c r="G762">
        <v>1871</v>
      </c>
      <c r="H762">
        <v>39.42</v>
      </c>
      <c r="I762">
        <v>37.409999999999997</v>
      </c>
      <c r="J762">
        <v>101</v>
      </c>
      <c r="K762" t="s">
        <v>27</v>
      </c>
    </row>
    <row r="763" spans="1:11" x14ac:dyDescent="0.3">
      <c r="A763" t="s">
        <v>788</v>
      </c>
      <c r="B763" t="s">
        <v>29</v>
      </c>
      <c r="C763" s="1">
        <v>45183</v>
      </c>
      <c r="D763" s="1">
        <v>45189</v>
      </c>
      <c r="E763" t="s">
        <v>26</v>
      </c>
      <c r="F763" t="s">
        <v>18</v>
      </c>
      <c r="G763">
        <v>1346</v>
      </c>
      <c r="H763">
        <v>72.08</v>
      </c>
      <c r="I763">
        <v>67.040000000000006</v>
      </c>
      <c r="J763">
        <v>38</v>
      </c>
      <c r="K763" t="s">
        <v>15</v>
      </c>
    </row>
    <row r="764" spans="1:11" x14ac:dyDescent="0.3">
      <c r="A764" t="s">
        <v>789</v>
      </c>
      <c r="B764" t="s">
        <v>29</v>
      </c>
      <c r="C764" s="1">
        <v>44679</v>
      </c>
      <c r="D764" s="1">
        <v>44690</v>
      </c>
      <c r="E764" t="s">
        <v>39</v>
      </c>
      <c r="F764" t="s">
        <v>18</v>
      </c>
      <c r="G764">
        <v>1954</v>
      </c>
      <c r="H764">
        <v>99.78</v>
      </c>
      <c r="I764">
        <v>87.47</v>
      </c>
      <c r="J764">
        <v>57</v>
      </c>
      <c r="K764" t="s">
        <v>15</v>
      </c>
    </row>
    <row r="765" spans="1:11" x14ac:dyDescent="0.3">
      <c r="A765" t="s">
        <v>790</v>
      </c>
      <c r="B765" t="s">
        <v>23</v>
      </c>
      <c r="C765" s="1">
        <v>44729</v>
      </c>
      <c r="D765" s="1">
        <v>44748</v>
      </c>
      <c r="E765" t="s">
        <v>39</v>
      </c>
      <c r="F765" t="s">
        <v>18</v>
      </c>
      <c r="G765">
        <v>111</v>
      </c>
      <c r="H765">
        <v>68.53</v>
      </c>
      <c r="I765">
        <v>65.22</v>
      </c>
      <c r="J765">
        <v>11</v>
      </c>
      <c r="K765" t="s">
        <v>15</v>
      </c>
    </row>
    <row r="766" spans="1:11" x14ac:dyDescent="0.3">
      <c r="A766" t="s">
        <v>791</v>
      </c>
      <c r="B766" t="s">
        <v>20</v>
      </c>
      <c r="C766" s="1">
        <v>44880</v>
      </c>
      <c r="D766" s="1">
        <v>44887</v>
      </c>
      <c r="E766" t="s">
        <v>13</v>
      </c>
      <c r="F766" t="s">
        <v>35</v>
      </c>
      <c r="G766">
        <v>645</v>
      </c>
      <c r="H766">
        <v>35.049999999999997</v>
      </c>
      <c r="I766">
        <v>30.88</v>
      </c>
      <c r="J766">
        <v>27</v>
      </c>
      <c r="K766" t="s">
        <v>15</v>
      </c>
    </row>
    <row r="767" spans="1:11" x14ac:dyDescent="0.3">
      <c r="A767" t="s">
        <v>792</v>
      </c>
      <c r="B767" t="s">
        <v>20</v>
      </c>
      <c r="C767" s="1">
        <v>44672</v>
      </c>
      <c r="D767" s="1">
        <v>44685</v>
      </c>
      <c r="E767" t="s">
        <v>39</v>
      </c>
      <c r="F767" t="s">
        <v>14</v>
      </c>
      <c r="G767">
        <v>1953</v>
      </c>
      <c r="H767">
        <v>68.069999999999993</v>
      </c>
      <c r="I767">
        <v>62.95</v>
      </c>
      <c r="J767">
        <v>87</v>
      </c>
      <c r="K767" t="s">
        <v>15</v>
      </c>
    </row>
    <row r="768" spans="1:11" x14ac:dyDescent="0.3">
      <c r="A768" t="s">
        <v>793</v>
      </c>
      <c r="B768" t="s">
        <v>20</v>
      </c>
      <c r="C768" s="1">
        <v>45154</v>
      </c>
      <c r="D768" s="1">
        <v>45171</v>
      </c>
      <c r="E768" t="s">
        <v>39</v>
      </c>
      <c r="F768" t="s">
        <v>18</v>
      </c>
      <c r="G768">
        <v>778</v>
      </c>
      <c r="H768">
        <v>64.17</v>
      </c>
      <c r="I768">
        <v>61.6</v>
      </c>
      <c r="J768">
        <v>47</v>
      </c>
      <c r="K768" t="s">
        <v>15</v>
      </c>
    </row>
    <row r="769" spans="1:11" x14ac:dyDescent="0.3">
      <c r="A769" t="s">
        <v>794</v>
      </c>
      <c r="B769" t="s">
        <v>29</v>
      </c>
      <c r="C769" s="1">
        <v>44588</v>
      </c>
      <c r="D769" s="1">
        <v>44601</v>
      </c>
      <c r="E769" t="s">
        <v>13</v>
      </c>
      <c r="F769" t="s">
        <v>18</v>
      </c>
      <c r="G769">
        <v>1415</v>
      </c>
      <c r="H769">
        <v>80.19</v>
      </c>
      <c r="I769">
        <v>78.34</v>
      </c>
      <c r="K769" t="s">
        <v>15</v>
      </c>
    </row>
    <row r="770" spans="1:11" x14ac:dyDescent="0.3">
      <c r="A770" t="s">
        <v>795</v>
      </c>
      <c r="B770" t="s">
        <v>20</v>
      </c>
      <c r="C770" s="1">
        <v>44881</v>
      </c>
      <c r="D770" s="1">
        <v>44887</v>
      </c>
      <c r="E770" t="s">
        <v>26</v>
      </c>
      <c r="F770" t="s">
        <v>18</v>
      </c>
      <c r="G770">
        <v>446</v>
      </c>
      <c r="H770">
        <v>20.61</v>
      </c>
      <c r="I770">
        <v>19.46</v>
      </c>
      <c r="J770">
        <v>14</v>
      </c>
      <c r="K770" t="s">
        <v>15</v>
      </c>
    </row>
    <row r="771" spans="1:11" x14ac:dyDescent="0.3">
      <c r="A771" t="s">
        <v>796</v>
      </c>
      <c r="B771" t="s">
        <v>29</v>
      </c>
      <c r="C771" s="1">
        <v>45151</v>
      </c>
      <c r="E771" t="s">
        <v>13</v>
      </c>
      <c r="F771" t="s">
        <v>18</v>
      </c>
      <c r="G771">
        <v>748</v>
      </c>
      <c r="H771">
        <v>85.95</v>
      </c>
      <c r="I771">
        <v>79.16</v>
      </c>
      <c r="J771">
        <v>32</v>
      </c>
      <c r="K771" t="s">
        <v>15</v>
      </c>
    </row>
    <row r="772" spans="1:11" x14ac:dyDescent="0.3">
      <c r="A772" t="s">
        <v>797</v>
      </c>
      <c r="B772" t="s">
        <v>12</v>
      </c>
      <c r="C772" s="1">
        <v>45255</v>
      </c>
      <c r="D772" s="1">
        <v>45263</v>
      </c>
      <c r="E772" t="s">
        <v>39</v>
      </c>
      <c r="F772" t="s">
        <v>35</v>
      </c>
      <c r="G772">
        <v>1092</v>
      </c>
      <c r="H772">
        <v>65.17</v>
      </c>
      <c r="I772">
        <v>63.11</v>
      </c>
      <c r="J772">
        <v>21</v>
      </c>
      <c r="K772" t="s">
        <v>15</v>
      </c>
    </row>
    <row r="773" spans="1:11" x14ac:dyDescent="0.3">
      <c r="A773" t="s">
        <v>798</v>
      </c>
      <c r="B773" t="s">
        <v>23</v>
      </c>
      <c r="C773" s="1">
        <v>44946</v>
      </c>
      <c r="D773" s="1">
        <v>44959</v>
      </c>
      <c r="E773" t="s">
        <v>39</v>
      </c>
      <c r="F773" t="s">
        <v>18</v>
      </c>
      <c r="G773">
        <v>226</v>
      </c>
      <c r="H773">
        <v>102.47</v>
      </c>
      <c r="I773">
        <v>99.16</v>
      </c>
      <c r="J773">
        <v>28</v>
      </c>
      <c r="K773" t="s">
        <v>15</v>
      </c>
    </row>
    <row r="774" spans="1:11" x14ac:dyDescent="0.3">
      <c r="A774" t="s">
        <v>799</v>
      </c>
      <c r="B774" t="s">
        <v>17</v>
      </c>
      <c r="C774" s="1">
        <v>44968</v>
      </c>
      <c r="D774" s="1">
        <v>44977</v>
      </c>
      <c r="E774" t="s">
        <v>39</v>
      </c>
      <c r="F774" t="s">
        <v>18</v>
      </c>
      <c r="G774">
        <v>1685</v>
      </c>
      <c r="H774">
        <v>43.42</v>
      </c>
      <c r="I774">
        <v>42.24</v>
      </c>
      <c r="J774">
        <v>262</v>
      </c>
      <c r="K774" t="s">
        <v>15</v>
      </c>
    </row>
    <row r="775" spans="1:11" x14ac:dyDescent="0.3">
      <c r="A775" t="s">
        <v>800</v>
      </c>
      <c r="B775" t="s">
        <v>12</v>
      </c>
      <c r="C775" s="1">
        <v>44765</v>
      </c>
      <c r="E775" t="s">
        <v>13</v>
      </c>
      <c r="F775" t="s">
        <v>18</v>
      </c>
      <c r="G775">
        <v>445</v>
      </c>
      <c r="H775">
        <v>68.94</v>
      </c>
      <c r="I775">
        <v>60.35</v>
      </c>
      <c r="J775">
        <v>7</v>
      </c>
      <c r="K775" t="s">
        <v>15</v>
      </c>
    </row>
    <row r="776" spans="1:11" x14ac:dyDescent="0.3">
      <c r="A776" t="s">
        <v>801</v>
      </c>
      <c r="B776" t="s">
        <v>20</v>
      </c>
      <c r="C776" s="1">
        <v>44639</v>
      </c>
      <c r="D776" s="1">
        <v>44658</v>
      </c>
      <c r="E776" t="s">
        <v>26</v>
      </c>
      <c r="F776" t="s">
        <v>18</v>
      </c>
      <c r="G776">
        <v>494</v>
      </c>
      <c r="H776">
        <v>94.82</v>
      </c>
      <c r="I776">
        <v>81.89</v>
      </c>
      <c r="J776">
        <v>29</v>
      </c>
      <c r="K776" t="s">
        <v>15</v>
      </c>
    </row>
    <row r="777" spans="1:11" x14ac:dyDescent="0.3">
      <c r="A777" t="s">
        <v>802</v>
      </c>
      <c r="B777" t="s">
        <v>23</v>
      </c>
      <c r="C777" s="1">
        <v>45168</v>
      </c>
      <c r="D777" s="1">
        <v>45180</v>
      </c>
      <c r="E777" t="s">
        <v>21</v>
      </c>
      <c r="F777" t="s">
        <v>18</v>
      </c>
      <c r="G777">
        <v>1306</v>
      </c>
      <c r="H777">
        <v>21.05</v>
      </c>
      <c r="I777">
        <v>18.27</v>
      </c>
      <c r="J777">
        <v>128</v>
      </c>
      <c r="K777" t="s">
        <v>15</v>
      </c>
    </row>
    <row r="778" spans="1:11" x14ac:dyDescent="0.3">
      <c r="A778" t="s">
        <v>803</v>
      </c>
      <c r="B778" t="s">
        <v>23</v>
      </c>
      <c r="C778" s="1">
        <v>45269</v>
      </c>
      <c r="D778" s="1">
        <v>45271</v>
      </c>
      <c r="E778" t="s">
        <v>13</v>
      </c>
      <c r="F778" t="s">
        <v>18</v>
      </c>
      <c r="G778">
        <v>1988</v>
      </c>
      <c r="H778">
        <v>105.2</v>
      </c>
      <c r="I778">
        <v>93.23</v>
      </c>
      <c r="J778">
        <v>187</v>
      </c>
      <c r="K778"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62952-C1F2-4412-8E6C-3CF148828ED8}">
  <dimension ref="A1:T778"/>
  <sheetViews>
    <sheetView topLeftCell="G1" workbookViewId="0">
      <selection activeCell="O2" sqref="O2"/>
    </sheetView>
  </sheetViews>
  <sheetFormatPr defaultRowHeight="14.4" x14ac:dyDescent="0.3"/>
  <cols>
    <col min="1" max="1" width="9" bestFit="1" customWidth="1"/>
    <col min="2" max="2" width="13.33203125" bestFit="1" customWidth="1"/>
    <col min="3" max="3" width="12.88671875" bestFit="1" customWidth="1"/>
    <col min="4" max="4" width="14.88671875" bestFit="1" customWidth="1"/>
    <col min="5" max="6" width="15.77734375" bestFit="1" customWidth="1"/>
    <col min="7" max="7" width="10.5546875" bestFit="1" customWidth="1"/>
    <col min="8" max="8" width="11.88671875" bestFit="1" customWidth="1"/>
    <col min="9" max="9" width="17.77734375" bestFit="1" customWidth="1"/>
    <col min="10" max="10" width="16.5546875" bestFit="1" customWidth="1"/>
    <col min="11" max="11" width="13.109375" bestFit="1" customWidth="1"/>
    <col min="12" max="12" width="13.21875" bestFit="1" customWidth="1"/>
    <col min="13" max="13" width="11.77734375" bestFit="1" customWidth="1"/>
    <col min="14" max="14" width="12.88671875" bestFit="1" customWidth="1"/>
    <col min="15" max="15" width="14.21875" bestFit="1" customWidth="1"/>
    <col min="16" max="16" width="12" bestFit="1" customWidth="1"/>
    <col min="17" max="17" width="19.77734375" bestFit="1" customWidth="1"/>
    <col min="18" max="18" width="13.77734375" bestFit="1" customWidth="1"/>
    <col min="19" max="19" width="17" bestFit="1" customWidth="1"/>
    <col min="20" max="20" width="21.33203125" bestFit="1" customWidth="1"/>
  </cols>
  <sheetData>
    <row r="1" spans="1:20" x14ac:dyDescent="0.3">
      <c r="A1" t="s">
        <v>0</v>
      </c>
      <c r="B1" t="s">
        <v>1</v>
      </c>
      <c r="C1" t="s">
        <v>2</v>
      </c>
      <c r="D1" t="s">
        <v>3</v>
      </c>
      <c r="E1" t="s">
        <v>4</v>
      </c>
      <c r="F1" t="s">
        <v>5</v>
      </c>
      <c r="G1" t="s">
        <v>6</v>
      </c>
      <c r="H1" t="s">
        <v>7</v>
      </c>
      <c r="I1" t="s">
        <v>8</v>
      </c>
      <c r="J1" t="s">
        <v>9</v>
      </c>
      <c r="K1" t="s">
        <v>10</v>
      </c>
      <c r="L1" t="s">
        <v>804</v>
      </c>
      <c r="M1" t="s">
        <v>805</v>
      </c>
      <c r="N1" t="s">
        <v>806</v>
      </c>
      <c r="O1" t="s">
        <v>807</v>
      </c>
      <c r="P1" t="s">
        <v>808</v>
      </c>
      <c r="Q1" t="s">
        <v>809</v>
      </c>
      <c r="R1" t="s">
        <v>815</v>
      </c>
      <c r="S1" t="s">
        <v>846</v>
      </c>
      <c r="T1" t="s">
        <v>847</v>
      </c>
    </row>
    <row r="2" spans="1:20" x14ac:dyDescent="0.3">
      <c r="A2" t="s">
        <v>11</v>
      </c>
      <c r="B2" t="s">
        <v>12</v>
      </c>
      <c r="C2" s="1">
        <v>45216</v>
      </c>
      <c r="D2" s="1">
        <v>45224</v>
      </c>
      <c r="E2" t="s">
        <v>13</v>
      </c>
      <c r="F2" t="s">
        <v>14</v>
      </c>
      <c r="G2">
        <v>1176</v>
      </c>
      <c r="H2">
        <v>20.13</v>
      </c>
      <c r="I2">
        <v>17.809999999999999</v>
      </c>
      <c r="J2">
        <v>0</v>
      </c>
      <c r="K2" t="s">
        <v>15</v>
      </c>
      <c r="L2">
        <f>Procurement_kpi_Analysis[[#This Row],[Quantity]]*Procurement_kpi_Analysis[[#This Row],[Negotiated_Price]]</f>
        <v>20944.559999999998</v>
      </c>
      <c r="M2">
        <f>IF(Procurement_kpi_Analysis[[#This Row],[Delivery_Date]]="","",Procurement_kpi_Analysis[[#This Row],[Delivery_Date]]-Procurement_kpi_Analysis[[#This Row],[Order_Date]])</f>
        <v>8</v>
      </c>
      <c r="N2" s="2">
        <f>Procurement_kpi_Analysis[[#This Row],[Defective_Units]]/Procurement_kpi_Analysis[[#This Row],[Quantity]]</f>
        <v>0</v>
      </c>
      <c r="O2" s="2">
        <f>(Procurement_kpi_Analysis[[#This Row],[Unit_Price]]-Procurement_kpi_Analysis[[#This Row],[Negotiated_Price]])*Procurement_kpi_Analysis[[#This Row],[Quantity]]</f>
        <v>2728.32</v>
      </c>
      <c r="P2" s="2">
        <f>Procurement_kpi_Analysis[[#This Row],[Total Savings]]/Procurement_kpi_Analysis[[#This Row],[Total Spend]]</f>
        <v>0.13026389668725438</v>
      </c>
      <c r="Q2" s="2" t="str">
        <f>IF(Procurement_kpi_Analysis[[#This Row],[Lead Time]]&lt;=14,"On Time","Late")</f>
        <v>On Time</v>
      </c>
      <c r="R2" s="2">
        <f>Procurement_kpi_Analysis[[#This Row],[Unit_Price]]*Procurement_kpi_Analysis[[#This Row],[Quantity]]</f>
        <v>23672.879999999997</v>
      </c>
      <c r="S2" s="2">
        <f>IF(Procurement_kpi_Analysis[[#This Row],[Compliance]]="Yes",1,0)</f>
        <v>1</v>
      </c>
      <c r="T2" s="2">
        <f>IF(Procurement_kpi_Analysis[[#This Row],[Compliance]]="No",1,0)</f>
        <v>0</v>
      </c>
    </row>
    <row r="3" spans="1:20" x14ac:dyDescent="0.3">
      <c r="A3" t="s">
        <v>16</v>
      </c>
      <c r="B3" t="s">
        <v>17</v>
      </c>
      <c r="C3" s="1">
        <v>44676</v>
      </c>
      <c r="D3" s="1">
        <v>44686</v>
      </c>
      <c r="E3" t="s">
        <v>13</v>
      </c>
      <c r="F3" t="s">
        <v>18</v>
      </c>
      <c r="G3">
        <v>1509</v>
      </c>
      <c r="H3">
        <v>39.32</v>
      </c>
      <c r="I3">
        <v>37.340000000000003</v>
      </c>
      <c r="J3">
        <v>235</v>
      </c>
      <c r="K3" t="s">
        <v>15</v>
      </c>
      <c r="L3">
        <f>Procurement_kpi_Analysis[[#This Row],[Quantity]]*Procurement_kpi_Analysis[[#This Row],[Negotiated_Price]]</f>
        <v>56346.060000000005</v>
      </c>
      <c r="M3">
        <f>IF(Procurement_kpi_Analysis[[#This Row],[Delivery_Date]]="","",Procurement_kpi_Analysis[[#This Row],[Delivery_Date]]-Procurement_kpi_Analysis[[#This Row],[Order_Date]])</f>
        <v>10</v>
      </c>
      <c r="N3" s="2">
        <f>Procurement_kpi_Analysis[[#This Row],[Defective_Units]]/Procurement_kpi_Analysis[[#This Row],[Quantity]]</f>
        <v>0.15573227302849568</v>
      </c>
      <c r="O3" s="2">
        <f>(Procurement_kpi_Analysis[[#This Row],[Unit_Price]]-Procurement_kpi_Analysis[[#This Row],[Negotiated_Price]])*Procurement_kpi_Analysis[[#This Row],[Quantity]]</f>
        <v>2987.8199999999952</v>
      </c>
      <c r="P3" s="2">
        <f>Procurement_kpi_Analysis[[#This Row],[Total Savings]]/Procurement_kpi_Analysis[[#This Row],[Total Spend]]</f>
        <v>5.3026245313336814E-2</v>
      </c>
      <c r="Q3" s="2" t="str">
        <f>IF(Procurement_kpi_Analysis[[#This Row],[Lead Time]]&lt;=14,"On Time","Late")</f>
        <v>On Time</v>
      </c>
      <c r="R3" s="2">
        <f>Procurement_kpi_Analysis[[#This Row],[Unit_Price]]*Procurement_kpi_Analysis[[#This Row],[Quantity]]</f>
        <v>59333.88</v>
      </c>
      <c r="S3" s="2">
        <f>IF(Procurement_kpi_Analysis[[#This Row],[Compliance]]="Yes",1,0)</f>
        <v>1</v>
      </c>
      <c r="T3" s="2">
        <f>IF(Procurement_kpi_Analysis[[#This Row],[Compliance]]="No",1,0)</f>
        <v>0</v>
      </c>
    </row>
    <row r="4" spans="1:20" x14ac:dyDescent="0.3">
      <c r="A4" t="s">
        <v>19</v>
      </c>
      <c r="B4" t="s">
        <v>20</v>
      </c>
      <c r="C4" s="1">
        <v>44587</v>
      </c>
      <c r="D4" s="1">
        <v>44607</v>
      </c>
      <c r="E4" t="s">
        <v>21</v>
      </c>
      <c r="F4" t="s">
        <v>18</v>
      </c>
      <c r="G4">
        <v>910</v>
      </c>
      <c r="H4">
        <v>95.51</v>
      </c>
      <c r="I4">
        <v>92.26</v>
      </c>
      <c r="J4">
        <v>41</v>
      </c>
      <c r="K4" t="s">
        <v>15</v>
      </c>
      <c r="L4">
        <f>Procurement_kpi_Analysis[[#This Row],[Quantity]]*Procurement_kpi_Analysis[[#This Row],[Negotiated_Price]]</f>
        <v>83956.6</v>
      </c>
      <c r="M4">
        <f>IF(Procurement_kpi_Analysis[[#This Row],[Delivery_Date]]="","",Procurement_kpi_Analysis[[#This Row],[Delivery_Date]]-Procurement_kpi_Analysis[[#This Row],[Order_Date]])</f>
        <v>20</v>
      </c>
      <c r="N4" s="2">
        <f>Procurement_kpi_Analysis[[#This Row],[Defective_Units]]/Procurement_kpi_Analysis[[#This Row],[Quantity]]</f>
        <v>4.5054945054945054E-2</v>
      </c>
      <c r="O4" s="2">
        <f>(Procurement_kpi_Analysis[[#This Row],[Unit_Price]]-Procurement_kpi_Analysis[[#This Row],[Negotiated_Price]])*Procurement_kpi_Analysis[[#This Row],[Quantity]]</f>
        <v>2957.5</v>
      </c>
      <c r="P4" s="2">
        <f>Procurement_kpi_Analysis[[#This Row],[Total Savings]]/Procurement_kpi_Analysis[[#This Row],[Total Spend]]</f>
        <v>3.5226533709083026E-2</v>
      </c>
      <c r="Q4" s="2" t="str">
        <f>IF(Procurement_kpi_Analysis[[#This Row],[Lead Time]]&lt;=14,"On Time","Late")</f>
        <v>Late</v>
      </c>
      <c r="R4" s="2">
        <f>Procurement_kpi_Analysis[[#This Row],[Unit_Price]]*Procurement_kpi_Analysis[[#This Row],[Quantity]]</f>
        <v>86914.1</v>
      </c>
      <c r="S4" s="2">
        <f>IF(Procurement_kpi_Analysis[[#This Row],[Compliance]]="Yes",1,0)</f>
        <v>1</v>
      </c>
      <c r="T4" s="2">
        <f>IF(Procurement_kpi_Analysis[[#This Row],[Compliance]]="No",1,0)</f>
        <v>0</v>
      </c>
    </row>
    <row r="5" spans="1:20" x14ac:dyDescent="0.3">
      <c r="A5" t="s">
        <v>22</v>
      </c>
      <c r="B5" t="s">
        <v>23</v>
      </c>
      <c r="C5" s="1">
        <v>44843</v>
      </c>
      <c r="D5" s="1">
        <v>44862</v>
      </c>
      <c r="E5" t="s">
        <v>24</v>
      </c>
      <c r="F5" t="s">
        <v>18</v>
      </c>
      <c r="G5">
        <v>1344</v>
      </c>
      <c r="H5">
        <v>99.85</v>
      </c>
      <c r="I5">
        <v>95.52</v>
      </c>
      <c r="J5">
        <v>112</v>
      </c>
      <c r="K5" t="s">
        <v>15</v>
      </c>
      <c r="L5">
        <f>Procurement_kpi_Analysis[[#This Row],[Quantity]]*Procurement_kpi_Analysis[[#This Row],[Negotiated_Price]]</f>
        <v>128378.87999999999</v>
      </c>
      <c r="M5">
        <f>IF(Procurement_kpi_Analysis[[#This Row],[Delivery_Date]]="","",Procurement_kpi_Analysis[[#This Row],[Delivery_Date]]-Procurement_kpi_Analysis[[#This Row],[Order_Date]])</f>
        <v>19</v>
      </c>
      <c r="N5" s="2">
        <f>Procurement_kpi_Analysis[[#This Row],[Defective_Units]]/Procurement_kpi_Analysis[[#This Row],[Quantity]]</f>
        <v>8.3333333333333329E-2</v>
      </c>
      <c r="O5" s="2">
        <f>(Procurement_kpi_Analysis[[#This Row],[Unit_Price]]-Procurement_kpi_Analysis[[#This Row],[Negotiated_Price]])*Procurement_kpi_Analysis[[#This Row],[Quantity]]</f>
        <v>5819.5199999999977</v>
      </c>
      <c r="P5" s="2">
        <f>Procurement_kpi_Analysis[[#This Row],[Total Savings]]/Procurement_kpi_Analysis[[#This Row],[Total Spend]]</f>
        <v>4.5330820770519246E-2</v>
      </c>
      <c r="Q5" s="2" t="str">
        <f>IF(Procurement_kpi_Analysis[[#This Row],[Lead Time]]&lt;=14,"On Time","Late")</f>
        <v>Late</v>
      </c>
      <c r="R5" s="2">
        <f>Procurement_kpi_Analysis[[#This Row],[Unit_Price]]*Procurement_kpi_Analysis[[#This Row],[Quantity]]</f>
        <v>134198.39999999999</v>
      </c>
      <c r="S5" s="2">
        <f>IF(Procurement_kpi_Analysis[[#This Row],[Compliance]]="Yes",1,0)</f>
        <v>1</v>
      </c>
      <c r="T5" s="2">
        <f>IF(Procurement_kpi_Analysis[[#This Row],[Compliance]]="No",1,0)</f>
        <v>0</v>
      </c>
    </row>
    <row r="6" spans="1:20" x14ac:dyDescent="0.3">
      <c r="A6" t="s">
        <v>25</v>
      </c>
      <c r="B6" t="s">
        <v>17</v>
      </c>
      <c r="C6" s="1">
        <v>44812</v>
      </c>
      <c r="D6" s="1">
        <v>44824</v>
      </c>
      <c r="E6" t="s">
        <v>26</v>
      </c>
      <c r="F6" t="s">
        <v>18</v>
      </c>
      <c r="G6">
        <v>1180</v>
      </c>
      <c r="H6">
        <v>64.069999999999993</v>
      </c>
      <c r="I6">
        <v>60.53</v>
      </c>
      <c r="J6">
        <v>171</v>
      </c>
      <c r="K6" t="s">
        <v>27</v>
      </c>
      <c r="L6">
        <f>Procurement_kpi_Analysis[[#This Row],[Quantity]]*Procurement_kpi_Analysis[[#This Row],[Negotiated_Price]]</f>
        <v>71425.399999999994</v>
      </c>
      <c r="M6">
        <f>IF(Procurement_kpi_Analysis[[#This Row],[Delivery_Date]]="","",Procurement_kpi_Analysis[[#This Row],[Delivery_Date]]-Procurement_kpi_Analysis[[#This Row],[Order_Date]])</f>
        <v>12</v>
      </c>
      <c r="N6" s="2">
        <f>Procurement_kpi_Analysis[[#This Row],[Defective_Units]]/Procurement_kpi_Analysis[[#This Row],[Quantity]]</f>
        <v>0.14491525423728813</v>
      </c>
      <c r="O6" s="2">
        <f>(Procurement_kpi_Analysis[[#This Row],[Unit_Price]]-Procurement_kpi_Analysis[[#This Row],[Negotiated_Price]])*Procurement_kpi_Analysis[[#This Row],[Quantity]]</f>
        <v>4177.1999999999907</v>
      </c>
      <c r="P6" s="2">
        <f>Procurement_kpi_Analysis[[#This Row],[Total Savings]]/Procurement_kpi_Analysis[[#This Row],[Total Spend]]</f>
        <v>5.8483396662811701E-2</v>
      </c>
      <c r="Q6" s="2" t="str">
        <f>IF(Procurement_kpi_Analysis[[#This Row],[Lead Time]]&lt;=14,"On Time","Late")</f>
        <v>On Time</v>
      </c>
      <c r="R6" s="2">
        <f>Procurement_kpi_Analysis[[#This Row],[Unit_Price]]*Procurement_kpi_Analysis[[#This Row],[Quantity]]</f>
        <v>75602.599999999991</v>
      </c>
      <c r="S6" s="2">
        <f>IF(Procurement_kpi_Analysis[[#This Row],[Compliance]]="Yes",1,0)</f>
        <v>0</v>
      </c>
      <c r="T6" s="2">
        <f>IF(Procurement_kpi_Analysis[[#This Row],[Compliance]]="No",1,0)</f>
        <v>1</v>
      </c>
    </row>
    <row r="7" spans="1:20" x14ac:dyDescent="0.3">
      <c r="A7" t="s">
        <v>28</v>
      </c>
      <c r="B7" t="s">
        <v>29</v>
      </c>
      <c r="C7" s="1">
        <v>44790</v>
      </c>
      <c r="D7" s="1">
        <v>44802</v>
      </c>
      <c r="E7" t="s">
        <v>21</v>
      </c>
      <c r="F7" t="s">
        <v>18</v>
      </c>
      <c r="G7">
        <v>1145</v>
      </c>
      <c r="H7">
        <v>69.209999999999994</v>
      </c>
      <c r="I7">
        <v>63.57</v>
      </c>
      <c r="J7">
        <v>39</v>
      </c>
      <c r="K7" t="s">
        <v>15</v>
      </c>
      <c r="L7">
        <f>Procurement_kpi_Analysis[[#This Row],[Quantity]]*Procurement_kpi_Analysis[[#This Row],[Negotiated_Price]]</f>
        <v>72787.649999999994</v>
      </c>
      <c r="M7">
        <f>IF(Procurement_kpi_Analysis[[#This Row],[Delivery_Date]]="","",Procurement_kpi_Analysis[[#This Row],[Delivery_Date]]-Procurement_kpi_Analysis[[#This Row],[Order_Date]])</f>
        <v>12</v>
      </c>
      <c r="N7" s="2">
        <f>Procurement_kpi_Analysis[[#This Row],[Defective_Units]]/Procurement_kpi_Analysis[[#This Row],[Quantity]]</f>
        <v>3.4061135371179038E-2</v>
      </c>
      <c r="O7" s="2">
        <f>(Procurement_kpi_Analysis[[#This Row],[Unit_Price]]-Procurement_kpi_Analysis[[#This Row],[Negotiated_Price]])*Procurement_kpi_Analysis[[#This Row],[Quantity]]</f>
        <v>6457.7999999999929</v>
      </c>
      <c r="P7" s="2">
        <f>Procurement_kpi_Analysis[[#This Row],[Total Savings]]/Procurement_kpi_Analysis[[#This Row],[Total Spend]]</f>
        <v>8.8721094856064095E-2</v>
      </c>
      <c r="Q7" s="2" t="str">
        <f>IF(Procurement_kpi_Analysis[[#This Row],[Lead Time]]&lt;=14,"On Time","Late")</f>
        <v>On Time</v>
      </c>
      <c r="R7" s="2">
        <f>Procurement_kpi_Analysis[[#This Row],[Unit_Price]]*Procurement_kpi_Analysis[[#This Row],[Quantity]]</f>
        <v>79245.45</v>
      </c>
      <c r="S7" s="2">
        <f>IF(Procurement_kpi_Analysis[[#This Row],[Compliance]]="Yes",1,0)</f>
        <v>1</v>
      </c>
      <c r="T7" s="2">
        <f>IF(Procurement_kpi_Analysis[[#This Row],[Compliance]]="No",1,0)</f>
        <v>0</v>
      </c>
    </row>
    <row r="8" spans="1:20" x14ac:dyDescent="0.3">
      <c r="A8" t="s">
        <v>30</v>
      </c>
      <c r="B8" t="s">
        <v>20</v>
      </c>
      <c r="C8" s="1">
        <v>44704</v>
      </c>
      <c r="D8" s="1">
        <v>44715</v>
      </c>
      <c r="E8" t="s">
        <v>21</v>
      </c>
      <c r="F8" t="s">
        <v>18</v>
      </c>
      <c r="G8">
        <v>1774</v>
      </c>
      <c r="H8">
        <v>51.37</v>
      </c>
      <c r="I8">
        <v>47.82</v>
      </c>
      <c r="J8">
        <v>96</v>
      </c>
      <c r="K8" t="s">
        <v>27</v>
      </c>
      <c r="L8">
        <f>Procurement_kpi_Analysis[[#This Row],[Quantity]]*Procurement_kpi_Analysis[[#This Row],[Negotiated_Price]]</f>
        <v>84832.680000000008</v>
      </c>
      <c r="M8">
        <f>IF(Procurement_kpi_Analysis[[#This Row],[Delivery_Date]]="","",Procurement_kpi_Analysis[[#This Row],[Delivery_Date]]-Procurement_kpi_Analysis[[#This Row],[Order_Date]])</f>
        <v>11</v>
      </c>
      <c r="N8" s="2">
        <f>Procurement_kpi_Analysis[[#This Row],[Defective_Units]]/Procurement_kpi_Analysis[[#This Row],[Quantity]]</f>
        <v>5.4114994363021418E-2</v>
      </c>
      <c r="O8" s="2">
        <f>(Procurement_kpi_Analysis[[#This Row],[Unit_Price]]-Procurement_kpi_Analysis[[#This Row],[Negotiated_Price]])*Procurement_kpi_Analysis[[#This Row],[Quantity]]</f>
        <v>6297.6999999999953</v>
      </c>
      <c r="P8" s="2">
        <f>Procurement_kpi_Analysis[[#This Row],[Total Savings]]/Procurement_kpi_Analysis[[#This Row],[Total Spend]]</f>
        <v>7.4236721037222855E-2</v>
      </c>
      <c r="Q8" s="2" t="str">
        <f>IF(Procurement_kpi_Analysis[[#This Row],[Lead Time]]&lt;=14,"On Time","Late")</f>
        <v>On Time</v>
      </c>
      <c r="R8" s="2">
        <f>Procurement_kpi_Analysis[[#This Row],[Unit_Price]]*Procurement_kpi_Analysis[[#This Row],[Quantity]]</f>
        <v>91130.37999999999</v>
      </c>
      <c r="S8" s="2">
        <f>IF(Procurement_kpi_Analysis[[#This Row],[Compliance]]="Yes",1,0)</f>
        <v>0</v>
      </c>
      <c r="T8" s="2">
        <f>IF(Procurement_kpi_Analysis[[#This Row],[Compliance]]="No",1,0)</f>
        <v>1</v>
      </c>
    </row>
    <row r="9" spans="1:20" x14ac:dyDescent="0.3">
      <c r="A9" t="s">
        <v>31</v>
      </c>
      <c r="B9" t="s">
        <v>12</v>
      </c>
      <c r="C9" s="1">
        <v>44666</v>
      </c>
      <c r="D9" s="1">
        <v>44680</v>
      </c>
      <c r="E9" t="s">
        <v>21</v>
      </c>
      <c r="F9" t="s">
        <v>18</v>
      </c>
      <c r="G9">
        <v>1094</v>
      </c>
      <c r="H9">
        <v>36.93</v>
      </c>
      <c r="I9">
        <v>32.78</v>
      </c>
      <c r="J9">
        <v>22</v>
      </c>
      <c r="K9" t="s">
        <v>15</v>
      </c>
      <c r="L9">
        <f>Procurement_kpi_Analysis[[#This Row],[Quantity]]*Procurement_kpi_Analysis[[#This Row],[Negotiated_Price]]</f>
        <v>35861.32</v>
      </c>
      <c r="M9">
        <f>IF(Procurement_kpi_Analysis[[#This Row],[Delivery_Date]]="","",Procurement_kpi_Analysis[[#This Row],[Delivery_Date]]-Procurement_kpi_Analysis[[#This Row],[Order_Date]])</f>
        <v>14</v>
      </c>
      <c r="N9" s="2">
        <f>Procurement_kpi_Analysis[[#This Row],[Defective_Units]]/Procurement_kpi_Analysis[[#This Row],[Quantity]]</f>
        <v>2.0109689213893969E-2</v>
      </c>
      <c r="O9" s="2">
        <f>(Procurement_kpi_Analysis[[#This Row],[Unit_Price]]-Procurement_kpi_Analysis[[#This Row],[Negotiated_Price]])*Procurement_kpi_Analysis[[#This Row],[Quantity]]</f>
        <v>4540.0999999999985</v>
      </c>
      <c r="P9" s="2">
        <f>Procurement_kpi_Analysis[[#This Row],[Total Savings]]/Procurement_kpi_Analysis[[#This Row],[Total Spend]]</f>
        <v>0.12660158633312993</v>
      </c>
      <c r="Q9" s="2" t="str">
        <f>IF(Procurement_kpi_Analysis[[#This Row],[Lead Time]]&lt;=14,"On Time","Late")</f>
        <v>On Time</v>
      </c>
      <c r="R9" s="2">
        <f>Procurement_kpi_Analysis[[#This Row],[Unit_Price]]*Procurement_kpi_Analysis[[#This Row],[Quantity]]</f>
        <v>40401.42</v>
      </c>
      <c r="S9" s="2">
        <f>IF(Procurement_kpi_Analysis[[#This Row],[Compliance]]="Yes",1,0)</f>
        <v>1</v>
      </c>
      <c r="T9" s="2">
        <f>IF(Procurement_kpi_Analysis[[#This Row],[Compliance]]="No",1,0)</f>
        <v>0</v>
      </c>
    </row>
    <row r="10" spans="1:20" x14ac:dyDescent="0.3">
      <c r="A10" t="s">
        <v>32</v>
      </c>
      <c r="B10" t="s">
        <v>20</v>
      </c>
      <c r="C10" s="1">
        <v>45254</v>
      </c>
      <c r="D10" s="1">
        <v>45258</v>
      </c>
      <c r="E10" t="s">
        <v>26</v>
      </c>
      <c r="F10" t="s">
        <v>33</v>
      </c>
      <c r="G10">
        <v>1688</v>
      </c>
      <c r="H10">
        <v>43.93</v>
      </c>
      <c r="I10">
        <v>39.89</v>
      </c>
      <c r="J10">
        <v>89</v>
      </c>
      <c r="K10" t="s">
        <v>15</v>
      </c>
      <c r="L10">
        <f>Procurement_kpi_Analysis[[#This Row],[Quantity]]*Procurement_kpi_Analysis[[#This Row],[Negotiated_Price]]</f>
        <v>67334.320000000007</v>
      </c>
      <c r="M10">
        <f>IF(Procurement_kpi_Analysis[[#This Row],[Delivery_Date]]="","",Procurement_kpi_Analysis[[#This Row],[Delivery_Date]]-Procurement_kpi_Analysis[[#This Row],[Order_Date]])</f>
        <v>4</v>
      </c>
      <c r="N10" s="2">
        <f>Procurement_kpi_Analysis[[#This Row],[Defective_Units]]/Procurement_kpi_Analysis[[#This Row],[Quantity]]</f>
        <v>5.2725118483412325E-2</v>
      </c>
      <c r="O10" s="2">
        <f>(Procurement_kpi_Analysis[[#This Row],[Unit_Price]]-Procurement_kpi_Analysis[[#This Row],[Negotiated_Price]])*Procurement_kpi_Analysis[[#This Row],[Quantity]]</f>
        <v>6819.5199999999986</v>
      </c>
      <c r="P10" s="2">
        <f>Procurement_kpi_Analysis[[#This Row],[Total Savings]]/Procurement_kpi_Analysis[[#This Row],[Total Spend]]</f>
        <v>0.10127851591877661</v>
      </c>
      <c r="Q10" s="2" t="str">
        <f>IF(Procurement_kpi_Analysis[[#This Row],[Lead Time]]&lt;=14,"On Time","Late")</f>
        <v>On Time</v>
      </c>
      <c r="R10" s="2">
        <f>Procurement_kpi_Analysis[[#This Row],[Unit_Price]]*Procurement_kpi_Analysis[[#This Row],[Quantity]]</f>
        <v>74153.84</v>
      </c>
      <c r="S10" s="2">
        <f>IF(Procurement_kpi_Analysis[[#This Row],[Compliance]]="Yes",1,0)</f>
        <v>1</v>
      </c>
      <c r="T10" s="2">
        <f>IF(Procurement_kpi_Analysis[[#This Row],[Compliance]]="No",1,0)</f>
        <v>0</v>
      </c>
    </row>
    <row r="11" spans="1:20" x14ac:dyDescent="0.3">
      <c r="A11" t="s">
        <v>34</v>
      </c>
      <c r="B11" t="s">
        <v>20</v>
      </c>
      <c r="C11" s="1">
        <v>45120</v>
      </c>
      <c r="D11" s="1">
        <v>45132</v>
      </c>
      <c r="E11" t="s">
        <v>26</v>
      </c>
      <c r="F11" t="s">
        <v>35</v>
      </c>
      <c r="G11">
        <v>171</v>
      </c>
      <c r="H11">
        <v>76.87</v>
      </c>
      <c r="I11">
        <v>70.2</v>
      </c>
      <c r="J11">
        <v>8</v>
      </c>
      <c r="K11" t="s">
        <v>15</v>
      </c>
      <c r="L11">
        <f>Procurement_kpi_Analysis[[#This Row],[Quantity]]*Procurement_kpi_Analysis[[#This Row],[Negotiated_Price]]</f>
        <v>12004.2</v>
      </c>
      <c r="M11">
        <f>IF(Procurement_kpi_Analysis[[#This Row],[Delivery_Date]]="","",Procurement_kpi_Analysis[[#This Row],[Delivery_Date]]-Procurement_kpi_Analysis[[#This Row],[Order_Date]])</f>
        <v>12</v>
      </c>
      <c r="N11" s="2">
        <f>Procurement_kpi_Analysis[[#This Row],[Defective_Units]]/Procurement_kpi_Analysis[[#This Row],[Quantity]]</f>
        <v>4.6783625730994149E-2</v>
      </c>
      <c r="O11" s="2">
        <f>(Procurement_kpi_Analysis[[#This Row],[Unit_Price]]-Procurement_kpi_Analysis[[#This Row],[Negotiated_Price]])*Procurement_kpi_Analysis[[#This Row],[Quantity]]</f>
        <v>1140.5700000000004</v>
      </c>
      <c r="P11" s="2">
        <f>Procurement_kpi_Analysis[[#This Row],[Total Savings]]/Procurement_kpi_Analysis[[#This Row],[Total Spend]]</f>
        <v>9.5014245014245047E-2</v>
      </c>
      <c r="Q11" s="2" t="str">
        <f>IF(Procurement_kpi_Analysis[[#This Row],[Lead Time]]&lt;=14,"On Time","Late")</f>
        <v>On Time</v>
      </c>
      <c r="R11" s="2">
        <f>Procurement_kpi_Analysis[[#This Row],[Unit_Price]]*Procurement_kpi_Analysis[[#This Row],[Quantity]]</f>
        <v>13144.77</v>
      </c>
      <c r="S11" s="2">
        <f>IF(Procurement_kpi_Analysis[[#This Row],[Compliance]]="Yes",1,0)</f>
        <v>1</v>
      </c>
      <c r="T11" s="2">
        <f>IF(Procurement_kpi_Analysis[[#This Row],[Compliance]]="No",1,0)</f>
        <v>0</v>
      </c>
    </row>
    <row r="12" spans="1:20" x14ac:dyDescent="0.3">
      <c r="A12" t="s">
        <v>36</v>
      </c>
      <c r="B12" t="s">
        <v>29</v>
      </c>
      <c r="C12" s="1">
        <v>44651</v>
      </c>
      <c r="D12" s="1">
        <v>44666</v>
      </c>
      <c r="E12" t="s">
        <v>26</v>
      </c>
      <c r="F12" t="s">
        <v>18</v>
      </c>
      <c r="G12">
        <v>5000</v>
      </c>
      <c r="H12">
        <v>78.489999999999995</v>
      </c>
      <c r="I12">
        <v>73.680000000000007</v>
      </c>
      <c r="J12">
        <v>18</v>
      </c>
      <c r="K12" t="s">
        <v>15</v>
      </c>
      <c r="L12">
        <f>Procurement_kpi_Analysis[[#This Row],[Quantity]]*Procurement_kpi_Analysis[[#This Row],[Negotiated_Price]]</f>
        <v>368400.00000000006</v>
      </c>
      <c r="M12">
        <f>IF(Procurement_kpi_Analysis[[#This Row],[Delivery_Date]]="","",Procurement_kpi_Analysis[[#This Row],[Delivery_Date]]-Procurement_kpi_Analysis[[#This Row],[Order_Date]])</f>
        <v>15</v>
      </c>
      <c r="N12" s="2">
        <f>Procurement_kpi_Analysis[[#This Row],[Defective_Units]]/Procurement_kpi_Analysis[[#This Row],[Quantity]]</f>
        <v>3.5999999999999999E-3</v>
      </c>
      <c r="O12" s="2">
        <f>(Procurement_kpi_Analysis[[#This Row],[Unit_Price]]-Procurement_kpi_Analysis[[#This Row],[Negotiated_Price]])*Procurement_kpi_Analysis[[#This Row],[Quantity]]</f>
        <v>24049.999999999942</v>
      </c>
      <c r="P12" s="2">
        <f>Procurement_kpi_Analysis[[#This Row],[Total Savings]]/Procurement_kpi_Analysis[[#This Row],[Total Spend]]</f>
        <v>6.5282301845819596E-2</v>
      </c>
      <c r="Q12" s="2" t="str">
        <f>IF(Procurement_kpi_Analysis[[#This Row],[Lead Time]]&lt;=14,"On Time","Late")</f>
        <v>Late</v>
      </c>
      <c r="R12" s="2">
        <f>Procurement_kpi_Analysis[[#This Row],[Unit_Price]]*Procurement_kpi_Analysis[[#This Row],[Quantity]]</f>
        <v>392450</v>
      </c>
      <c r="S12" s="2">
        <f>IF(Procurement_kpi_Analysis[[#This Row],[Compliance]]="Yes",1,0)</f>
        <v>1</v>
      </c>
      <c r="T12" s="2">
        <f>IF(Procurement_kpi_Analysis[[#This Row],[Compliance]]="No",1,0)</f>
        <v>0</v>
      </c>
    </row>
    <row r="13" spans="1:20" x14ac:dyDescent="0.3">
      <c r="A13" t="s">
        <v>37</v>
      </c>
      <c r="B13" t="s">
        <v>23</v>
      </c>
      <c r="C13" s="1">
        <v>45166</v>
      </c>
      <c r="D13" s="1">
        <v>45180</v>
      </c>
      <c r="E13" t="s">
        <v>26</v>
      </c>
      <c r="F13" t="s">
        <v>18</v>
      </c>
      <c r="G13">
        <v>5000</v>
      </c>
      <c r="H13">
        <v>88.96</v>
      </c>
      <c r="I13">
        <v>86.58</v>
      </c>
      <c r="J13">
        <v>115</v>
      </c>
      <c r="K13" t="s">
        <v>15</v>
      </c>
      <c r="L13">
        <f>Procurement_kpi_Analysis[[#This Row],[Quantity]]*Procurement_kpi_Analysis[[#This Row],[Negotiated_Price]]</f>
        <v>432900</v>
      </c>
      <c r="M13">
        <f>IF(Procurement_kpi_Analysis[[#This Row],[Delivery_Date]]="","",Procurement_kpi_Analysis[[#This Row],[Delivery_Date]]-Procurement_kpi_Analysis[[#This Row],[Order_Date]])</f>
        <v>14</v>
      </c>
      <c r="N13" s="2">
        <f>Procurement_kpi_Analysis[[#This Row],[Defective_Units]]/Procurement_kpi_Analysis[[#This Row],[Quantity]]</f>
        <v>2.3E-2</v>
      </c>
      <c r="O13" s="2">
        <f>(Procurement_kpi_Analysis[[#This Row],[Unit_Price]]-Procurement_kpi_Analysis[[#This Row],[Negotiated_Price]])*Procurement_kpi_Analysis[[#This Row],[Quantity]]</f>
        <v>11899.999999999978</v>
      </c>
      <c r="P13" s="2">
        <f>Procurement_kpi_Analysis[[#This Row],[Total Savings]]/Procurement_kpi_Analysis[[#This Row],[Total Spend]]</f>
        <v>2.7489027489027439E-2</v>
      </c>
      <c r="Q13" s="2" t="str">
        <f>IF(Procurement_kpi_Analysis[[#This Row],[Lead Time]]&lt;=14,"On Time","Late")</f>
        <v>On Time</v>
      </c>
      <c r="R13" s="2">
        <f>Procurement_kpi_Analysis[[#This Row],[Unit_Price]]*Procurement_kpi_Analysis[[#This Row],[Quantity]]</f>
        <v>444799.99999999994</v>
      </c>
      <c r="S13" s="2">
        <f>IF(Procurement_kpi_Analysis[[#This Row],[Compliance]]="Yes",1,0)</f>
        <v>1</v>
      </c>
      <c r="T13" s="2">
        <f>IF(Procurement_kpi_Analysis[[#This Row],[Compliance]]="No",1,0)</f>
        <v>0</v>
      </c>
    </row>
    <row r="14" spans="1:20" x14ac:dyDescent="0.3">
      <c r="A14" t="s">
        <v>38</v>
      </c>
      <c r="B14" t="s">
        <v>23</v>
      </c>
      <c r="C14" s="1">
        <v>44994</v>
      </c>
      <c r="D14" s="1">
        <v>45011</v>
      </c>
      <c r="E14" t="s">
        <v>39</v>
      </c>
      <c r="F14" t="s">
        <v>35</v>
      </c>
      <c r="G14">
        <v>5000</v>
      </c>
      <c r="H14">
        <v>86.74</v>
      </c>
      <c r="I14">
        <v>74.86</v>
      </c>
      <c r="J14">
        <v>51</v>
      </c>
      <c r="K14" t="s">
        <v>15</v>
      </c>
      <c r="L14">
        <f>Procurement_kpi_Analysis[[#This Row],[Quantity]]*Procurement_kpi_Analysis[[#This Row],[Negotiated_Price]]</f>
        <v>374300</v>
      </c>
      <c r="M14">
        <f>IF(Procurement_kpi_Analysis[[#This Row],[Delivery_Date]]="","",Procurement_kpi_Analysis[[#This Row],[Delivery_Date]]-Procurement_kpi_Analysis[[#This Row],[Order_Date]])</f>
        <v>17</v>
      </c>
      <c r="N14" s="2">
        <f>Procurement_kpi_Analysis[[#This Row],[Defective_Units]]/Procurement_kpi_Analysis[[#This Row],[Quantity]]</f>
        <v>1.0200000000000001E-2</v>
      </c>
      <c r="O14" s="2">
        <f>(Procurement_kpi_Analysis[[#This Row],[Unit_Price]]-Procurement_kpi_Analysis[[#This Row],[Negotiated_Price]])*Procurement_kpi_Analysis[[#This Row],[Quantity]]</f>
        <v>59399.999999999978</v>
      </c>
      <c r="P14" s="2">
        <f>Procurement_kpi_Analysis[[#This Row],[Total Savings]]/Procurement_kpi_Analysis[[#This Row],[Total Spend]]</f>
        <v>0.15869623296820726</v>
      </c>
      <c r="Q14" s="2" t="str">
        <f>IF(Procurement_kpi_Analysis[[#This Row],[Lead Time]]&lt;=14,"On Time","Late")</f>
        <v>Late</v>
      </c>
      <c r="R14" s="2">
        <f>Procurement_kpi_Analysis[[#This Row],[Unit_Price]]*Procurement_kpi_Analysis[[#This Row],[Quantity]]</f>
        <v>433700</v>
      </c>
      <c r="S14" s="2">
        <f>IF(Procurement_kpi_Analysis[[#This Row],[Compliance]]="Yes",1,0)</f>
        <v>1</v>
      </c>
      <c r="T14" s="2">
        <f>IF(Procurement_kpi_Analysis[[#This Row],[Compliance]]="No",1,0)</f>
        <v>0</v>
      </c>
    </row>
    <row r="15" spans="1:20" x14ac:dyDescent="0.3">
      <c r="A15" t="s">
        <v>40</v>
      </c>
      <c r="B15" t="s">
        <v>23</v>
      </c>
      <c r="C15" s="1">
        <v>44594</v>
      </c>
      <c r="D15" s="1"/>
      <c r="E15" t="s">
        <v>21</v>
      </c>
      <c r="F15" t="s">
        <v>18</v>
      </c>
      <c r="G15">
        <v>5000</v>
      </c>
      <c r="H15">
        <v>18.3</v>
      </c>
      <c r="I15">
        <v>16.88</v>
      </c>
      <c r="J15">
        <v>0</v>
      </c>
      <c r="K15" t="s">
        <v>15</v>
      </c>
      <c r="L15">
        <f>Procurement_kpi_Analysis[[#This Row],[Quantity]]*Procurement_kpi_Analysis[[#This Row],[Negotiated_Price]]</f>
        <v>84400</v>
      </c>
      <c r="M15" t="str">
        <f>IF(Procurement_kpi_Analysis[[#This Row],[Delivery_Date]]="","",Procurement_kpi_Analysis[[#This Row],[Delivery_Date]]-Procurement_kpi_Analysis[[#This Row],[Order_Date]])</f>
        <v/>
      </c>
      <c r="N15" s="2">
        <f>Procurement_kpi_Analysis[[#This Row],[Defective_Units]]/Procurement_kpi_Analysis[[#This Row],[Quantity]]</f>
        <v>0</v>
      </c>
      <c r="O15" s="2">
        <f>(Procurement_kpi_Analysis[[#This Row],[Unit_Price]]-Procurement_kpi_Analysis[[#This Row],[Negotiated_Price]])*Procurement_kpi_Analysis[[#This Row],[Quantity]]</f>
        <v>7100.0000000000082</v>
      </c>
      <c r="P15" s="2">
        <f>Procurement_kpi_Analysis[[#This Row],[Total Savings]]/Procurement_kpi_Analysis[[#This Row],[Total Spend]]</f>
        <v>8.4123222748815257E-2</v>
      </c>
      <c r="Q15" s="2" t="str">
        <f>IF(Procurement_kpi_Analysis[[#This Row],[Lead Time]]&lt;=14,"On Time","Late")</f>
        <v>Late</v>
      </c>
      <c r="R15" s="2">
        <f>Procurement_kpi_Analysis[[#This Row],[Unit_Price]]*Procurement_kpi_Analysis[[#This Row],[Quantity]]</f>
        <v>91500</v>
      </c>
      <c r="S15" s="2">
        <f>IF(Procurement_kpi_Analysis[[#This Row],[Compliance]]="Yes",1,0)</f>
        <v>1</v>
      </c>
      <c r="T15" s="2">
        <f>IF(Procurement_kpi_Analysis[[#This Row],[Compliance]]="No",1,0)</f>
        <v>0</v>
      </c>
    </row>
    <row r="16" spans="1:20" x14ac:dyDescent="0.3">
      <c r="A16" t="s">
        <v>41</v>
      </c>
      <c r="B16" t="s">
        <v>17</v>
      </c>
      <c r="C16" s="1">
        <v>44592</v>
      </c>
      <c r="D16" s="1">
        <v>44610</v>
      </c>
      <c r="E16" t="s">
        <v>39</v>
      </c>
      <c r="F16" t="s">
        <v>35</v>
      </c>
      <c r="G16">
        <v>5000</v>
      </c>
      <c r="H16">
        <v>54.5</v>
      </c>
      <c r="I16">
        <v>48.45</v>
      </c>
      <c r="J16">
        <v>22</v>
      </c>
      <c r="K16" t="s">
        <v>15</v>
      </c>
      <c r="L16">
        <f>Procurement_kpi_Analysis[[#This Row],[Quantity]]*Procurement_kpi_Analysis[[#This Row],[Negotiated_Price]]</f>
        <v>242250</v>
      </c>
      <c r="M16">
        <f>IF(Procurement_kpi_Analysis[[#This Row],[Delivery_Date]]="","",Procurement_kpi_Analysis[[#This Row],[Delivery_Date]]-Procurement_kpi_Analysis[[#This Row],[Order_Date]])</f>
        <v>18</v>
      </c>
      <c r="N16" s="2">
        <f>Procurement_kpi_Analysis[[#This Row],[Defective_Units]]/Procurement_kpi_Analysis[[#This Row],[Quantity]]</f>
        <v>4.4000000000000003E-3</v>
      </c>
      <c r="O16" s="2">
        <f>(Procurement_kpi_Analysis[[#This Row],[Unit_Price]]-Procurement_kpi_Analysis[[#This Row],[Negotiated_Price]])*Procurement_kpi_Analysis[[#This Row],[Quantity]]</f>
        <v>30249.999999999985</v>
      </c>
      <c r="P16" s="2">
        <f>Procurement_kpi_Analysis[[#This Row],[Total Savings]]/Procurement_kpi_Analysis[[#This Row],[Total Spend]]</f>
        <v>0.12487100103199168</v>
      </c>
      <c r="Q16" s="2" t="str">
        <f>IF(Procurement_kpi_Analysis[[#This Row],[Lead Time]]&lt;=14,"On Time","Late")</f>
        <v>Late</v>
      </c>
      <c r="R16" s="2">
        <f>Procurement_kpi_Analysis[[#This Row],[Unit_Price]]*Procurement_kpi_Analysis[[#This Row],[Quantity]]</f>
        <v>272500</v>
      </c>
      <c r="S16" s="2">
        <f>IF(Procurement_kpi_Analysis[[#This Row],[Compliance]]="Yes",1,0)</f>
        <v>1</v>
      </c>
      <c r="T16" s="2">
        <f>IF(Procurement_kpi_Analysis[[#This Row],[Compliance]]="No",1,0)</f>
        <v>0</v>
      </c>
    </row>
    <row r="17" spans="1:20" x14ac:dyDescent="0.3">
      <c r="A17" t="s">
        <v>42</v>
      </c>
      <c r="B17" t="s">
        <v>23</v>
      </c>
      <c r="C17" s="1">
        <v>44657</v>
      </c>
      <c r="D17" s="1">
        <v>44672</v>
      </c>
      <c r="E17" t="s">
        <v>24</v>
      </c>
      <c r="F17" t="s">
        <v>18</v>
      </c>
      <c r="G17">
        <v>5000</v>
      </c>
      <c r="H17">
        <v>15.41</v>
      </c>
      <c r="I17">
        <v>15.12</v>
      </c>
      <c r="J17">
        <v>0</v>
      </c>
      <c r="K17" t="s">
        <v>15</v>
      </c>
      <c r="L17">
        <f>Procurement_kpi_Analysis[[#This Row],[Quantity]]*Procurement_kpi_Analysis[[#This Row],[Negotiated_Price]]</f>
        <v>75600</v>
      </c>
      <c r="M17">
        <f>IF(Procurement_kpi_Analysis[[#This Row],[Delivery_Date]]="","",Procurement_kpi_Analysis[[#This Row],[Delivery_Date]]-Procurement_kpi_Analysis[[#This Row],[Order_Date]])</f>
        <v>15</v>
      </c>
      <c r="N17" s="2">
        <f>Procurement_kpi_Analysis[[#This Row],[Defective_Units]]/Procurement_kpi_Analysis[[#This Row],[Quantity]]</f>
        <v>0</v>
      </c>
      <c r="O17" s="2">
        <f>(Procurement_kpi_Analysis[[#This Row],[Unit_Price]]-Procurement_kpi_Analysis[[#This Row],[Negotiated_Price]])*Procurement_kpi_Analysis[[#This Row],[Quantity]]</f>
        <v>1450.0000000000045</v>
      </c>
      <c r="P17" s="2">
        <f>Procurement_kpi_Analysis[[#This Row],[Total Savings]]/Procurement_kpi_Analysis[[#This Row],[Total Spend]]</f>
        <v>1.9179894179894241E-2</v>
      </c>
      <c r="Q17" s="2" t="str">
        <f>IF(Procurement_kpi_Analysis[[#This Row],[Lead Time]]&lt;=14,"On Time","Late")</f>
        <v>Late</v>
      </c>
      <c r="R17" s="2">
        <f>Procurement_kpi_Analysis[[#This Row],[Unit_Price]]*Procurement_kpi_Analysis[[#This Row],[Quantity]]</f>
        <v>77050</v>
      </c>
      <c r="S17" s="2">
        <f>IF(Procurement_kpi_Analysis[[#This Row],[Compliance]]="Yes",1,0)</f>
        <v>1</v>
      </c>
      <c r="T17" s="2">
        <f>IF(Procurement_kpi_Analysis[[#This Row],[Compliance]]="No",1,0)</f>
        <v>0</v>
      </c>
    </row>
    <row r="18" spans="1:20" x14ac:dyDescent="0.3">
      <c r="A18" t="s">
        <v>43</v>
      </c>
      <c r="B18" t="s">
        <v>17</v>
      </c>
      <c r="C18" s="1">
        <v>44785</v>
      </c>
      <c r="D18" s="1">
        <v>44804</v>
      </c>
      <c r="E18" t="s">
        <v>21</v>
      </c>
      <c r="F18" t="s">
        <v>18</v>
      </c>
      <c r="G18">
        <v>1173</v>
      </c>
      <c r="H18">
        <v>61.54</v>
      </c>
      <c r="I18">
        <v>55.49</v>
      </c>
      <c r="J18">
        <v>172</v>
      </c>
      <c r="K18" t="s">
        <v>27</v>
      </c>
      <c r="L18">
        <f>Procurement_kpi_Analysis[[#This Row],[Quantity]]*Procurement_kpi_Analysis[[#This Row],[Negotiated_Price]]</f>
        <v>65089.770000000004</v>
      </c>
      <c r="M18">
        <f>IF(Procurement_kpi_Analysis[[#This Row],[Delivery_Date]]="","",Procurement_kpi_Analysis[[#This Row],[Delivery_Date]]-Procurement_kpi_Analysis[[#This Row],[Order_Date]])</f>
        <v>19</v>
      </c>
      <c r="N18" s="2">
        <f>Procurement_kpi_Analysis[[#This Row],[Defective_Units]]/Procurement_kpi_Analysis[[#This Row],[Quantity]]</f>
        <v>0.14663256606990621</v>
      </c>
      <c r="O18" s="2">
        <f>(Procurement_kpi_Analysis[[#This Row],[Unit_Price]]-Procurement_kpi_Analysis[[#This Row],[Negotiated_Price]])*Procurement_kpi_Analysis[[#This Row],[Quantity]]</f>
        <v>7096.6499999999969</v>
      </c>
      <c r="P18" s="2">
        <f>Procurement_kpi_Analysis[[#This Row],[Total Savings]]/Procurement_kpi_Analysis[[#This Row],[Total Spend]]</f>
        <v>0.10902865381149751</v>
      </c>
      <c r="Q18" s="2" t="str">
        <f>IF(Procurement_kpi_Analysis[[#This Row],[Lead Time]]&lt;=14,"On Time","Late")</f>
        <v>Late</v>
      </c>
      <c r="R18" s="2">
        <f>Procurement_kpi_Analysis[[#This Row],[Unit_Price]]*Procurement_kpi_Analysis[[#This Row],[Quantity]]</f>
        <v>72186.42</v>
      </c>
      <c r="S18" s="2">
        <f>IF(Procurement_kpi_Analysis[[#This Row],[Compliance]]="Yes",1,0)</f>
        <v>0</v>
      </c>
      <c r="T18" s="2">
        <f>IF(Procurement_kpi_Analysis[[#This Row],[Compliance]]="No",1,0)</f>
        <v>1</v>
      </c>
    </row>
    <row r="19" spans="1:20" x14ac:dyDescent="0.3">
      <c r="A19" t="s">
        <v>44</v>
      </c>
      <c r="B19" t="s">
        <v>29</v>
      </c>
      <c r="C19" s="1">
        <v>44800</v>
      </c>
      <c r="D19" s="1">
        <v>44808</v>
      </c>
      <c r="E19" t="s">
        <v>26</v>
      </c>
      <c r="F19" t="s">
        <v>18</v>
      </c>
      <c r="G19">
        <v>921</v>
      </c>
      <c r="H19">
        <v>51.48</v>
      </c>
      <c r="I19">
        <v>50.61</v>
      </c>
      <c r="J19">
        <v>0</v>
      </c>
      <c r="K19" t="s">
        <v>15</v>
      </c>
      <c r="L19">
        <f>Procurement_kpi_Analysis[[#This Row],[Quantity]]*Procurement_kpi_Analysis[[#This Row],[Negotiated_Price]]</f>
        <v>46611.81</v>
      </c>
      <c r="M19">
        <f>IF(Procurement_kpi_Analysis[[#This Row],[Delivery_Date]]="","",Procurement_kpi_Analysis[[#This Row],[Delivery_Date]]-Procurement_kpi_Analysis[[#This Row],[Order_Date]])</f>
        <v>8</v>
      </c>
      <c r="N19" s="2">
        <f>Procurement_kpi_Analysis[[#This Row],[Defective_Units]]/Procurement_kpi_Analysis[[#This Row],[Quantity]]</f>
        <v>0</v>
      </c>
      <c r="O19" s="2">
        <f>(Procurement_kpi_Analysis[[#This Row],[Unit_Price]]-Procurement_kpi_Analysis[[#This Row],[Negotiated_Price]])*Procurement_kpi_Analysis[[#This Row],[Quantity]]</f>
        <v>801.26999999999759</v>
      </c>
      <c r="P19" s="2">
        <f>Procurement_kpi_Analysis[[#This Row],[Total Savings]]/Procurement_kpi_Analysis[[#This Row],[Total Spend]]</f>
        <v>1.7190278601066932E-2</v>
      </c>
      <c r="Q19" s="2" t="str">
        <f>IF(Procurement_kpi_Analysis[[#This Row],[Lead Time]]&lt;=14,"On Time","Late")</f>
        <v>On Time</v>
      </c>
      <c r="R19" s="2">
        <f>Procurement_kpi_Analysis[[#This Row],[Unit_Price]]*Procurement_kpi_Analysis[[#This Row],[Quantity]]</f>
        <v>47413.079999999994</v>
      </c>
      <c r="S19" s="2">
        <f>IF(Procurement_kpi_Analysis[[#This Row],[Compliance]]="Yes",1,0)</f>
        <v>1</v>
      </c>
      <c r="T19" s="2">
        <f>IF(Procurement_kpi_Analysis[[#This Row],[Compliance]]="No",1,0)</f>
        <v>0</v>
      </c>
    </row>
    <row r="20" spans="1:20" x14ac:dyDescent="0.3">
      <c r="A20" t="s">
        <v>45</v>
      </c>
      <c r="B20" t="s">
        <v>20</v>
      </c>
      <c r="C20" s="1">
        <v>45079</v>
      </c>
      <c r="D20" s="1">
        <v>45082</v>
      </c>
      <c r="E20" t="s">
        <v>26</v>
      </c>
      <c r="F20" t="s">
        <v>33</v>
      </c>
      <c r="G20">
        <v>1737</v>
      </c>
      <c r="H20">
        <v>97.53</v>
      </c>
      <c r="I20">
        <v>87.37</v>
      </c>
      <c r="J20">
        <v>79</v>
      </c>
      <c r="K20" t="s">
        <v>15</v>
      </c>
      <c r="L20">
        <f>Procurement_kpi_Analysis[[#This Row],[Quantity]]*Procurement_kpi_Analysis[[#This Row],[Negotiated_Price]]</f>
        <v>151761.69</v>
      </c>
      <c r="M20">
        <f>IF(Procurement_kpi_Analysis[[#This Row],[Delivery_Date]]="","",Procurement_kpi_Analysis[[#This Row],[Delivery_Date]]-Procurement_kpi_Analysis[[#This Row],[Order_Date]])</f>
        <v>3</v>
      </c>
      <c r="N20" s="2">
        <f>Procurement_kpi_Analysis[[#This Row],[Defective_Units]]/Procurement_kpi_Analysis[[#This Row],[Quantity]]</f>
        <v>4.5480713874496259E-2</v>
      </c>
      <c r="O20" s="2">
        <f>(Procurement_kpi_Analysis[[#This Row],[Unit_Price]]-Procurement_kpi_Analysis[[#This Row],[Negotiated_Price]])*Procurement_kpi_Analysis[[#This Row],[Quantity]]</f>
        <v>17647.919999999995</v>
      </c>
      <c r="P20" s="2">
        <f>Procurement_kpi_Analysis[[#This Row],[Total Savings]]/Procurement_kpi_Analysis[[#This Row],[Total Spend]]</f>
        <v>0.1162870550532219</v>
      </c>
      <c r="Q20" s="2" t="str">
        <f>IF(Procurement_kpi_Analysis[[#This Row],[Lead Time]]&lt;=14,"On Time","Late")</f>
        <v>On Time</v>
      </c>
      <c r="R20" s="2">
        <f>Procurement_kpi_Analysis[[#This Row],[Unit_Price]]*Procurement_kpi_Analysis[[#This Row],[Quantity]]</f>
        <v>169409.61000000002</v>
      </c>
      <c r="S20" s="2">
        <f>IF(Procurement_kpi_Analysis[[#This Row],[Compliance]]="Yes",1,0)</f>
        <v>1</v>
      </c>
      <c r="T20" s="2">
        <f>IF(Procurement_kpi_Analysis[[#This Row],[Compliance]]="No",1,0)</f>
        <v>0</v>
      </c>
    </row>
    <row r="21" spans="1:20" x14ac:dyDescent="0.3">
      <c r="A21" t="s">
        <v>46</v>
      </c>
      <c r="B21" t="s">
        <v>17</v>
      </c>
      <c r="C21" s="1">
        <v>45178</v>
      </c>
      <c r="D21" s="1">
        <v>45193</v>
      </c>
      <c r="E21" t="s">
        <v>26</v>
      </c>
      <c r="F21" t="s">
        <v>18</v>
      </c>
      <c r="G21">
        <v>180</v>
      </c>
      <c r="H21">
        <v>45.74</v>
      </c>
      <c r="I21">
        <v>38.89</v>
      </c>
      <c r="J21">
        <v>0</v>
      </c>
      <c r="K21" t="s">
        <v>27</v>
      </c>
      <c r="L21">
        <f>Procurement_kpi_Analysis[[#This Row],[Quantity]]*Procurement_kpi_Analysis[[#This Row],[Negotiated_Price]]</f>
        <v>7000.2</v>
      </c>
      <c r="M21">
        <f>IF(Procurement_kpi_Analysis[[#This Row],[Delivery_Date]]="","",Procurement_kpi_Analysis[[#This Row],[Delivery_Date]]-Procurement_kpi_Analysis[[#This Row],[Order_Date]])</f>
        <v>15</v>
      </c>
      <c r="N21" s="2">
        <f>Procurement_kpi_Analysis[[#This Row],[Defective_Units]]/Procurement_kpi_Analysis[[#This Row],[Quantity]]</f>
        <v>0</v>
      </c>
      <c r="O21" s="2">
        <f>(Procurement_kpi_Analysis[[#This Row],[Unit_Price]]-Procurement_kpi_Analysis[[#This Row],[Negotiated_Price]])*Procurement_kpi_Analysis[[#This Row],[Quantity]]</f>
        <v>1233.0000000000002</v>
      </c>
      <c r="P21" s="2">
        <f>Procurement_kpi_Analysis[[#This Row],[Total Savings]]/Procurement_kpi_Analysis[[#This Row],[Total Spend]]</f>
        <v>0.17613782463358194</v>
      </c>
      <c r="Q21" s="2" t="str">
        <f>IF(Procurement_kpi_Analysis[[#This Row],[Lead Time]]&lt;=14,"On Time","Late")</f>
        <v>Late</v>
      </c>
      <c r="R21" s="2">
        <f>Procurement_kpi_Analysis[[#This Row],[Unit_Price]]*Procurement_kpi_Analysis[[#This Row],[Quantity]]</f>
        <v>8233.2000000000007</v>
      </c>
      <c r="S21" s="2">
        <f>IF(Procurement_kpi_Analysis[[#This Row],[Compliance]]="Yes",1,0)</f>
        <v>0</v>
      </c>
      <c r="T21" s="2">
        <f>IF(Procurement_kpi_Analysis[[#This Row],[Compliance]]="No",1,0)</f>
        <v>1</v>
      </c>
    </row>
    <row r="22" spans="1:20" x14ac:dyDescent="0.3">
      <c r="A22" t="s">
        <v>47</v>
      </c>
      <c r="B22" t="s">
        <v>29</v>
      </c>
      <c r="C22" s="1">
        <v>44589</v>
      </c>
      <c r="D22" s="1">
        <v>44604</v>
      </c>
      <c r="E22" t="s">
        <v>39</v>
      </c>
      <c r="F22" t="s">
        <v>14</v>
      </c>
      <c r="G22">
        <v>1735</v>
      </c>
      <c r="H22">
        <v>20.54</v>
      </c>
      <c r="I22">
        <v>19.690000000000001</v>
      </c>
      <c r="J22">
        <v>49</v>
      </c>
      <c r="K22" t="s">
        <v>15</v>
      </c>
      <c r="L22">
        <f>Procurement_kpi_Analysis[[#This Row],[Quantity]]*Procurement_kpi_Analysis[[#This Row],[Negotiated_Price]]</f>
        <v>34162.15</v>
      </c>
      <c r="M22">
        <f>IF(Procurement_kpi_Analysis[[#This Row],[Delivery_Date]]="","",Procurement_kpi_Analysis[[#This Row],[Delivery_Date]]-Procurement_kpi_Analysis[[#This Row],[Order_Date]])</f>
        <v>15</v>
      </c>
      <c r="N22" s="2">
        <f>Procurement_kpi_Analysis[[#This Row],[Defective_Units]]/Procurement_kpi_Analysis[[#This Row],[Quantity]]</f>
        <v>2.824207492795389E-2</v>
      </c>
      <c r="O22" s="2">
        <f>(Procurement_kpi_Analysis[[#This Row],[Unit_Price]]-Procurement_kpi_Analysis[[#This Row],[Negotiated_Price]])*Procurement_kpi_Analysis[[#This Row],[Quantity]]</f>
        <v>1474.7499999999964</v>
      </c>
      <c r="P22" s="2">
        <f>Procurement_kpi_Analysis[[#This Row],[Total Savings]]/Procurement_kpi_Analysis[[#This Row],[Total Spend]]</f>
        <v>4.3169121381411775E-2</v>
      </c>
      <c r="Q22" s="2" t="str">
        <f>IF(Procurement_kpi_Analysis[[#This Row],[Lead Time]]&lt;=14,"On Time","Late")</f>
        <v>Late</v>
      </c>
      <c r="R22" s="2">
        <f>Procurement_kpi_Analysis[[#This Row],[Unit_Price]]*Procurement_kpi_Analysis[[#This Row],[Quantity]]</f>
        <v>35636.9</v>
      </c>
      <c r="S22" s="2">
        <f>IF(Procurement_kpi_Analysis[[#This Row],[Compliance]]="Yes",1,0)</f>
        <v>1</v>
      </c>
      <c r="T22" s="2">
        <f>IF(Procurement_kpi_Analysis[[#This Row],[Compliance]]="No",1,0)</f>
        <v>0</v>
      </c>
    </row>
    <row r="23" spans="1:20" x14ac:dyDescent="0.3">
      <c r="A23" t="s">
        <v>48</v>
      </c>
      <c r="B23" t="s">
        <v>17</v>
      </c>
      <c r="C23" s="1">
        <v>45136</v>
      </c>
      <c r="D23" s="1">
        <v>45149</v>
      </c>
      <c r="E23" t="s">
        <v>26</v>
      </c>
      <c r="F23" t="s">
        <v>18</v>
      </c>
      <c r="G23">
        <v>1382</v>
      </c>
      <c r="H23">
        <v>24.93</v>
      </c>
      <c r="I23">
        <v>23.75</v>
      </c>
      <c r="J23">
        <v>0</v>
      </c>
      <c r="K23" t="s">
        <v>15</v>
      </c>
      <c r="L23">
        <f>Procurement_kpi_Analysis[[#This Row],[Quantity]]*Procurement_kpi_Analysis[[#This Row],[Negotiated_Price]]</f>
        <v>32822.5</v>
      </c>
      <c r="M23">
        <f>IF(Procurement_kpi_Analysis[[#This Row],[Delivery_Date]]="","",Procurement_kpi_Analysis[[#This Row],[Delivery_Date]]-Procurement_kpi_Analysis[[#This Row],[Order_Date]])</f>
        <v>13</v>
      </c>
      <c r="N23" s="2">
        <f>Procurement_kpi_Analysis[[#This Row],[Defective_Units]]/Procurement_kpi_Analysis[[#This Row],[Quantity]]</f>
        <v>0</v>
      </c>
      <c r="O23" s="2">
        <f>(Procurement_kpi_Analysis[[#This Row],[Unit_Price]]-Procurement_kpi_Analysis[[#This Row],[Negotiated_Price]])*Procurement_kpi_Analysis[[#This Row],[Quantity]]</f>
        <v>1630.7599999999995</v>
      </c>
      <c r="P23" s="2">
        <f>Procurement_kpi_Analysis[[#This Row],[Total Savings]]/Procurement_kpi_Analysis[[#This Row],[Total Spend]]</f>
        <v>4.9684210526315775E-2</v>
      </c>
      <c r="Q23" s="2" t="str">
        <f>IF(Procurement_kpi_Analysis[[#This Row],[Lead Time]]&lt;=14,"On Time","Late")</f>
        <v>On Time</v>
      </c>
      <c r="R23" s="2">
        <f>Procurement_kpi_Analysis[[#This Row],[Unit_Price]]*Procurement_kpi_Analysis[[#This Row],[Quantity]]</f>
        <v>34453.26</v>
      </c>
      <c r="S23" s="2">
        <f>IF(Procurement_kpi_Analysis[[#This Row],[Compliance]]="Yes",1,0)</f>
        <v>1</v>
      </c>
      <c r="T23" s="2">
        <f>IF(Procurement_kpi_Analysis[[#This Row],[Compliance]]="No",1,0)</f>
        <v>0</v>
      </c>
    </row>
    <row r="24" spans="1:20" x14ac:dyDescent="0.3">
      <c r="A24" t="s">
        <v>49</v>
      </c>
      <c r="B24" t="s">
        <v>29</v>
      </c>
      <c r="C24" s="1">
        <v>44765</v>
      </c>
      <c r="D24" s="1">
        <v>44781</v>
      </c>
      <c r="E24" t="s">
        <v>21</v>
      </c>
      <c r="F24" t="s">
        <v>18</v>
      </c>
      <c r="G24">
        <v>819</v>
      </c>
      <c r="H24">
        <v>80.89</v>
      </c>
      <c r="I24">
        <v>77.03</v>
      </c>
      <c r="J24">
        <v>29</v>
      </c>
      <c r="K24" t="s">
        <v>15</v>
      </c>
      <c r="L24">
        <f>Procurement_kpi_Analysis[[#This Row],[Quantity]]*Procurement_kpi_Analysis[[#This Row],[Negotiated_Price]]</f>
        <v>63087.57</v>
      </c>
      <c r="M24">
        <f>IF(Procurement_kpi_Analysis[[#This Row],[Delivery_Date]]="","",Procurement_kpi_Analysis[[#This Row],[Delivery_Date]]-Procurement_kpi_Analysis[[#This Row],[Order_Date]])</f>
        <v>16</v>
      </c>
      <c r="N24" s="2">
        <f>Procurement_kpi_Analysis[[#This Row],[Defective_Units]]/Procurement_kpi_Analysis[[#This Row],[Quantity]]</f>
        <v>3.5409035409035408E-2</v>
      </c>
      <c r="O24" s="2">
        <f>(Procurement_kpi_Analysis[[#This Row],[Unit_Price]]-Procurement_kpi_Analysis[[#This Row],[Negotiated_Price]])*Procurement_kpi_Analysis[[#This Row],[Quantity]]</f>
        <v>3161.3399999999997</v>
      </c>
      <c r="P24" s="2">
        <f>Procurement_kpi_Analysis[[#This Row],[Total Savings]]/Procurement_kpi_Analysis[[#This Row],[Total Spend]]</f>
        <v>5.0110346618200699E-2</v>
      </c>
      <c r="Q24" s="2" t="str">
        <f>IF(Procurement_kpi_Analysis[[#This Row],[Lead Time]]&lt;=14,"On Time","Late")</f>
        <v>Late</v>
      </c>
      <c r="R24" s="2">
        <f>Procurement_kpi_Analysis[[#This Row],[Unit_Price]]*Procurement_kpi_Analysis[[#This Row],[Quantity]]</f>
        <v>66248.91</v>
      </c>
      <c r="S24" s="2">
        <f>IF(Procurement_kpi_Analysis[[#This Row],[Compliance]]="Yes",1,0)</f>
        <v>1</v>
      </c>
      <c r="T24" s="2">
        <f>IF(Procurement_kpi_Analysis[[#This Row],[Compliance]]="No",1,0)</f>
        <v>0</v>
      </c>
    </row>
    <row r="25" spans="1:20" x14ac:dyDescent="0.3">
      <c r="A25" t="s">
        <v>50</v>
      </c>
      <c r="B25" t="s">
        <v>23</v>
      </c>
      <c r="C25" s="1">
        <v>45227</v>
      </c>
      <c r="D25" s="1">
        <v>45233</v>
      </c>
      <c r="E25" t="s">
        <v>13</v>
      </c>
      <c r="F25" t="s">
        <v>33</v>
      </c>
      <c r="G25">
        <v>393</v>
      </c>
      <c r="H25">
        <v>72.53</v>
      </c>
      <c r="I25">
        <v>66.31</v>
      </c>
      <c r="J25">
        <v>42</v>
      </c>
      <c r="K25" t="s">
        <v>27</v>
      </c>
      <c r="L25">
        <f>Procurement_kpi_Analysis[[#This Row],[Quantity]]*Procurement_kpi_Analysis[[#This Row],[Negotiated_Price]]</f>
        <v>26059.83</v>
      </c>
      <c r="M25">
        <f>IF(Procurement_kpi_Analysis[[#This Row],[Delivery_Date]]="","",Procurement_kpi_Analysis[[#This Row],[Delivery_Date]]-Procurement_kpi_Analysis[[#This Row],[Order_Date]])</f>
        <v>6</v>
      </c>
      <c r="N25" s="2">
        <f>Procurement_kpi_Analysis[[#This Row],[Defective_Units]]/Procurement_kpi_Analysis[[#This Row],[Quantity]]</f>
        <v>0.10687022900763359</v>
      </c>
      <c r="O25" s="2">
        <f>(Procurement_kpi_Analysis[[#This Row],[Unit_Price]]-Procurement_kpi_Analysis[[#This Row],[Negotiated_Price]])*Procurement_kpi_Analysis[[#This Row],[Quantity]]</f>
        <v>2444.4599999999996</v>
      </c>
      <c r="P25" s="2">
        <f>Procurement_kpi_Analysis[[#This Row],[Total Savings]]/Procurement_kpi_Analysis[[#This Row],[Total Spend]]</f>
        <v>9.3801839843160886E-2</v>
      </c>
      <c r="Q25" s="2" t="str">
        <f>IF(Procurement_kpi_Analysis[[#This Row],[Lead Time]]&lt;=14,"On Time","Late")</f>
        <v>On Time</v>
      </c>
      <c r="R25" s="2">
        <f>Procurement_kpi_Analysis[[#This Row],[Unit_Price]]*Procurement_kpi_Analysis[[#This Row],[Quantity]]</f>
        <v>28504.29</v>
      </c>
      <c r="S25" s="2">
        <f>IF(Procurement_kpi_Analysis[[#This Row],[Compliance]]="Yes",1,0)</f>
        <v>0</v>
      </c>
      <c r="T25" s="2">
        <f>IF(Procurement_kpi_Analysis[[#This Row],[Compliance]]="No",1,0)</f>
        <v>1</v>
      </c>
    </row>
    <row r="26" spans="1:20" x14ac:dyDescent="0.3">
      <c r="A26" t="s">
        <v>51</v>
      </c>
      <c r="B26" t="s">
        <v>23</v>
      </c>
      <c r="C26" s="1">
        <v>45280</v>
      </c>
      <c r="D26" s="1">
        <v>45292</v>
      </c>
      <c r="E26" t="s">
        <v>21</v>
      </c>
      <c r="F26" t="s">
        <v>18</v>
      </c>
      <c r="G26">
        <v>1565</v>
      </c>
      <c r="H26">
        <v>21.3</v>
      </c>
      <c r="I26">
        <v>20.09</v>
      </c>
      <c r="J26">
        <v>161</v>
      </c>
      <c r="K26" t="s">
        <v>15</v>
      </c>
      <c r="L26">
        <f>Procurement_kpi_Analysis[[#This Row],[Quantity]]*Procurement_kpi_Analysis[[#This Row],[Negotiated_Price]]</f>
        <v>31440.85</v>
      </c>
      <c r="M26">
        <f>IF(Procurement_kpi_Analysis[[#This Row],[Delivery_Date]]="","",Procurement_kpi_Analysis[[#This Row],[Delivery_Date]]-Procurement_kpi_Analysis[[#This Row],[Order_Date]])</f>
        <v>12</v>
      </c>
      <c r="N26" s="2">
        <f>Procurement_kpi_Analysis[[#This Row],[Defective_Units]]/Procurement_kpi_Analysis[[#This Row],[Quantity]]</f>
        <v>0.10287539936102237</v>
      </c>
      <c r="O26" s="2">
        <f>(Procurement_kpi_Analysis[[#This Row],[Unit_Price]]-Procurement_kpi_Analysis[[#This Row],[Negotiated_Price]])*Procurement_kpi_Analysis[[#This Row],[Quantity]]</f>
        <v>1893.6500000000012</v>
      </c>
      <c r="P26" s="2">
        <f>Procurement_kpi_Analysis[[#This Row],[Total Savings]]/Procurement_kpi_Analysis[[#This Row],[Total Spend]]</f>
        <v>6.0228969636635182E-2</v>
      </c>
      <c r="Q26" s="2" t="str">
        <f>IF(Procurement_kpi_Analysis[[#This Row],[Lead Time]]&lt;=14,"On Time","Late")</f>
        <v>On Time</v>
      </c>
      <c r="R26" s="2">
        <f>Procurement_kpi_Analysis[[#This Row],[Unit_Price]]*Procurement_kpi_Analysis[[#This Row],[Quantity]]</f>
        <v>33334.5</v>
      </c>
      <c r="S26" s="2">
        <f>IF(Procurement_kpi_Analysis[[#This Row],[Compliance]]="Yes",1,0)</f>
        <v>1</v>
      </c>
      <c r="T26" s="2">
        <f>IF(Procurement_kpi_Analysis[[#This Row],[Compliance]]="No",1,0)</f>
        <v>0</v>
      </c>
    </row>
    <row r="27" spans="1:20" x14ac:dyDescent="0.3">
      <c r="A27" t="s">
        <v>52</v>
      </c>
      <c r="B27" t="s">
        <v>29</v>
      </c>
      <c r="C27" s="1">
        <v>45120</v>
      </c>
      <c r="D27" s="1">
        <v>45131</v>
      </c>
      <c r="E27" t="s">
        <v>24</v>
      </c>
      <c r="F27" t="s">
        <v>18</v>
      </c>
      <c r="G27">
        <v>1487</v>
      </c>
      <c r="H27">
        <v>19.149999999999999</v>
      </c>
      <c r="I27">
        <v>17.239999999999998</v>
      </c>
      <c r="J27">
        <v>0</v>
      </c>
      <c r="K27" t="s">
        <v>15</v>
      </c>
      <c r="L27">
        <f>Procurement_kpi_Analysis[[#This Row],[Quantity]]*Procurement_kpi_Analysis[[#This Row],[Negotiated_Price]]</f>
        <v>25635.879999999997</v>
      </c>
      <c r="M27">
        <f>IF(Procurement_kpi_Analysis[[#This Row],[Delivery_Date]]="","",Procurement_kpi_Analysis[[#This Row],[Delivery_Date]]-Procurement_kpi_Analysis[[#This Row],[Order_Date]])</f>
        <v>11</v>
      </c>
      <c r="N27" s="2">
        <f>Procurement_kpi_Analysis[[#This Row],[Defective_Units]]/Procurement_kpi_Analysis[[#This Row],[Quantity]]</f>
        <v>0</v>
      </c>
      <c r="O27" s="2">
        <f>(Procurement_kpi_Analysis[[#This Row],[Unit_Price]]-Procurement_kpi_Analysis[[#This Row],[Negotiated_Price]])*Procurement_kpi_Analysis[[#This Row],[Quantity]]</f>
        <v>2840.17</v>
      </c>
      <c r="P27" s="2">
        <f>Procurement_kpi_Analysis[[#This Row],[Total Savings]]/Procurement_kpi_Analysis[[#This Row],[Total Spend]]</f>
        <v>0.11078886310904874</v>
      </c>
      <c r="Q27" s="2" t="str">
        <f>IF(Procurement_kpi_Analysis[[#This Row],[Lead Time]]&lt;=14,"On Time","Late")</f>
        <v>On Time</v>
      </c>
      <c r="R27" s="2">
        <f>Procurement_kpi_Analysis[[#This Row],[Unit_Price]]*Procurement_kpi_Analysis[[#This Row],[Quantity]]</f>
        <v>28476.05</v>
      </c>
      <c r="S27" s="2">
        <f>IF(Procurement_kpi_Analysis[[#This Row],[Compliance]]="Yes",1,0)</f>
        <v>1</v>
      </c>
      <c r="T27" s="2">
        <f>IF(Procurement_kpi_Analysis[[#This Row],[Compliance]]="No",1,0)</f>
        <v>0</v>
      </c>
    </row>
    <row r="28" spans="1:20" x14ac:dyDescent="0.3">
      <c r="A28" t="s">
        <v>53</v>
      </c>
      <c r="B28" t="s">
        <v>12</v>
      </c>
      <c r="C28" s="1">
        <v>44991</v>
      </c>
      <c r="D28" s="1">
        <v>45011</v>
      </c>
      <c r="E28" t="s">
        <v>21</v>
      </c>
      <c r="F28" t="s">
        <v>18</v>
      </c>
      <c r="G28">
        <v>855</v>
      </c>
      <c r="H28">
        <v>78.2</v>
      </c>
      <c r="I28">
        <v>67.16</v>
      </c>
      <c r="J28">
        <v>17</v>
      </c>
      <c r="K28" t="s">
        <v>15</v>
      </c>
      <c r="L28">
        <f>Procurement_kpi_Analysis[[#This Row],[Quantity]]*Procurement_kpi_Analysis[[#This Row],[Negotiated_Price]]</f>
        <v>57421.799999999996</v>
      </c>
      <c r="M28">
        <f>IF(Procurement_kpi_Analysis[[#This Row],[Delivery_Date]]="","",Procurement_kpi_Analysis[[#This Row],[Delivery_Date]]-Procurement_kpi_Analysis[[#This Row],[Order_Date]])</f>
        <v>20</v>
      </c>
      <c r="N28" s="2">
        <f>Procurement_kpi_Analysis[[#This Row],[Defective_Units]]/Procurement_kpi_Analysis[[#This Row],[Quantity]]</f>
        <v>1.9883040935672516E-2</v>
      </c>
      <c r="O28" s="2">
        <f>(Procurement_kpi_Analysis[[#This Row],[Unit_Price]]-Procurement_kpi_Analysis[[#This Row],[Negotiated_Price]])*Procurement_kpi_Analysis[[#This Row],[Quantity]]</f>
        <v>9439.2000000000062</v>
      </c>
      <c r="P28" s="2">
        <f>Procurement_kpi_Analysis[[#This Row],[Total Savings]]/Procurement_kpi_Analysis[[#This Row],[Total Spend]]</f>
        <v>0.16438356164383575</v>
      </c>
      <c r="Q28" s="2" t="str">
        <f>IF(Procurement_kpi_Analysis[[#This Row],[Lead Time]]&lt;=14,"On Time","Late")</f>
        <v>Late</v>
      </c>
      <c r="R28" s="2">
        <f>Procurement_kpi_Analysis[[#This Row],[Unit_Price]]*Procurement_kpi_Analysis[[#This Row],[Quantity]]</f>
        <v>66861</v>
      </c>
      <c r="S28" s="2">
        <f>IF(Procurement_kpi_Analysis[[#This Row],[Compliance]]="Yes",1,0)</f>
        <v>1</v>
      </c>
      <c r="T28" s="2">
        <f>IF(Procurement_kpi_Analysis[[#This Row],[Compliance]]="No",1,0)</f>
        <v>0</v>
      </c>
    </row>
    <row r="29" spans="1:20" x14ac:dyDescent="0.3">
      <c r="A29" t="s">
        <v>54</v>
      </c>
      <c r="B29" t="s">
        <v>29</v>
      </c>
      <c r="C29" s="1">
        <v>44787</v>
      </c>
      <c r="D29" s="1">
        <v>44796</v>
      </c>
      <c r="E29" t="s">
        <v>26</v>
      </c>
      <c r="F29" t="s">
        <v>18</v>
      </c>
      <c r="G29">
        <v>435</v>
      </c>
      <c r="H29">
        <v>17.13</v>
      </c>
      <c r="I29">
        <v>15.84</v>
      </c>
      <c r="J29">
        <v>8</v>
      </c>
      <c r="K29" t="s">
        <v>15</v>
      </c>
      <c r="L29">
        <f>Procurement_kpi_Analysis[[#This Row],[Quantity]]*Procurement_kpi_Analysis[[#This Row],[Negotiated_Price]]</f>
        <v>6890.4</v>
      </c>
      <c r="M29">
        <f>IF(Procurement_kpi_Analysis[[#This Row],[Delivery_Date]]="","",Procurement_kpi_Analysis[[#This Row],[Delivery_Date]]-Procurement_kpi_Analysis[[#This Row],[Order_Date]])</f>
        <v>9</v>
      </c>
      <c r="N29" s="2">
        <f>Procurement_kpi_Analysis[[#This Row],[Defective_Units]]/Procurement_kpi_Analysis[[#This Row],[Quantity]]</f>
        <v>1.8390804597701149E-2</v>
      </c>
      <c r="O29" s="2">
        <f>(Procurement_kpi_Analysis[[#This Row],[Unit_Price]]-Procurement_kpi_Analysis[[#This Row],[Negotiated_Price]])*Procurement_kpi_Analysis[[#This Row],[Quantity]]</f>
        <v>561.14999999999964</v>
      </c>
      <c r="P29" s="2">
        <f>Procurement_kpi_Analysis[[#This Row],[Total Savings]]/Procurement_kpi_Analysis[[#This Row],[Total Spend]]</f>
        <v>8.1439393939393895E-2</v>
      </c>
      <c r="Q29" s="2" t="str">
        <f>IF(Procurement_kpi_Analysis[[#This Row],[Lead Time]]&lt;=14,"On Time","Late")</f>
        <v>On Time</v>
      </c>
      <c r="R29" s="2">
        <f>Procurement_kpi_Analysis[[#This Row],[Unit_Price]]*Procurement_kpi_Analysis[[#This Row],[Quantity]]</f>
        <v>7451.5499999999993</v>
      </c>
      <c r="S29" s="2">
        <f>IF(Procurement_kpi_Analysis[[#This Row],[Compliance]]="Yes",1,0)</f>
        <v>1</v>
      </c>
      <c r="T29" s="2">
        <f>IF(Procurement_kpi_Analysis[[#This Row],[Compliance]]="No",1,0)</f>
        <v>0</v>
      </c>
    </row>
    <row r="30" spans="1:20" x14ac:dyDescent="0.3">
      <c r="A30" t="s">
        <v>55</v>
      </c>
      <c r="B30" t="s">
        <v>17</v>
      </c>
      <c r="C30" s="1">
        <v>45021</v>
      </c>
      <c r="D30" s="1">
        <v>45038</v>
      </c>
      <c r="E30" t="s">
        <v>21</v>
      </c>
      <c r="F30" t="s">
        <v>18</v>
      </c>
      <c r="G30">
        <v>1265</v>
      </c>
      <c r="H30">
        <v>90.26</v>
      </c>
      <c r="I30">
        <v>79.47</v>
      </c>
      <c r="J30">
        <v>187</v>
      </c>
      <c r="K30" t="s">
        <v>15</v>
      </c>
      <c r="L30">
        <f>Procurement_kpi_Analysis[[#This Row],[Quantity]]*Procurement_kpi_Analysis[[#This Row],[Negotiated_Price]]</f>
        <v>100529.55</v>
      </c>
      <c r="M30">
        <f>IF(Procurement_kpi_Analysis[[#This Row],[Delivery_Date]]="","",Procurement_kpi_Analysis[[#This Row],[Delivery_Date]]-Procurement_kpi_Analysis[[#This Row],[Order_Date]])</f>
        <v>17</v>
      </c>
      <c r="N30" s="2">
        <f>Procurement_kpi_Analysis[[#This Row],[Defective_Units]]/Procurement_kpi_Analysis[[#This Row],[Quantity]]</f>
        <v>0.14782608695652175</v>
      </c>
      <c r="O30" s="2">
        <f>(Procurement_kpi_Analysis[[#This Row],[Unit_Price]]-Procurement_kpi_Analysis[[#This Row],[Negotiated_Price]])*Procurement_kpi_Analysis[[#This Row],[Quantity]]</f>
        <v>13649.350000000008</v>
      </c>
      <c r="P30" s="2">
        <f>Procurement_kpi_Analysis[[#This Row],[Total Savings]]/Procurement_kpi_Analysis[[#This Row],[Total Spend]]</f>
        <v>0.13577450610293199</v>
      </c>
      <c r="Q30" s="2" t="str">
        <f>IF(Procurement_kpi_Analysis[[#This Row],[Lead Time]]&lt;=14,"On Time","Late")</f>
        <v>Late</v>
      </c>
      <c r="R30" s="2">
        <f>Procurement_kpi_Analysis[[#This Row],[Unit_Price]]*Procurement_kpi_Analysis[[#This Row],[Quantity]]</f>
        <v>114178.90000000001</v>
      </c>
      <c r="S30" s="2">
        <f>IF(Procurement_kpi_Analysis[[#This Row],[Compliance]]="Yes",1,0)</f>
        <v>1</v>
      </c>
      <c r="T30" s="2">
        <f>IF(Procurement_kpi_Analysis[[#This Row],[Compliance]]="No",1,0)</f>
        <v>0</v>
      </c>
    </row>
    <row r="31" spans="1:20" x14ac:dyDescent="0.3">
      <c r="A31" t="s">
        <v>56</v>
      </c>
      <c r="B31" t="s">
        <v>29</v>
      </c>
      <c r="C31" s="1">
        <v>45165</v>
      </c>
      <c r="D31" s="1"/>
      <c r="E31" t="s">
        <v>21</v>
      </c>
      <c r="F31" t="s">
        <v>18</v>
      </c>
      <c r="G31">
        <v>1005</v>
      </c>
      <c r="H31">
        <v>80.55</v>
      </c>
      <c r="I31">
        <v>73.31</v>
      </c>
      <c r="J31">
        <v>30</v>
      </c>
      <c r="K31" t="s">
        <v>15</v>
      </c>
      <c r="L31">
        <f>Procurement_kpi_Analysis[[#This Row],[Quantity]]*Procurement_kpi_Analysis[[#This Row],[Negotiated_Price]]</f>
        <v>73676.55</v>
      </c>
      <c r="M31" t="str">
        <f>IF(Procurement_kpi_Analysis[[#This Row],[Delivery_Date]]="","",Procurement_kpi_Analysis[[#This Row],[Delivery_Date]]-Procurement_kpi_Analysis[[#This Row],[Order_Date]])</f>
        <v/>
      </c>
      <c r="N31" s="2">
        <f>Procurement_kpi_Analysis[[#This Row],[Defective_Units]]/Procurement_kpi_Analysis[[#This Row],[Quantity]]</f>
        <v>2.9850746268656716E-2</v>
      </c>
      <c r="O31" s="2">
        <f>(Procurement_kpi_Analysis[[#This Row],[Unit_Price]]-Procurement_kpi_Analysis[[#This Row],[Negotiated_Price]])*Procurement_kpi_Analysis[[#This Row],[Quantity]]</f>
        <v>7276.1999999999953</v>
      </c>
      <c r="P31" s="2">
        <f>Procurement_kpi_Analysis[[#This Row],[Total Savings]]/Procurement_kpi_Analysis[[#This Row],[Total Spend]]</f>
        <v>9.8758695948710881E-2</v>
      </c>
      <c r="Q31" s="2" t="str">
        <f>IF(Procurement_kpi_Analysis[[#This Row],[Lead Time]]&lt;=14,"On Time","Late")</f>
        <v>Late</v>
      </c>
      <c r="R31" s="2">
        <f>Procurement_kpi_Analysis[[#This Row],[Unit_Price]]*Procurement_kpi_Analysis[[#This Row],[Quantity]]</f>
        <v>80952.75</v>
      </c>
      <c r="S31" s="2">
        <f>IF(Procurement_kpi_Analysis[[#This Row],[Compliance]]="Yes",1,0)</f>
        <v>1</v>
      </c>
      <c r="T31" s="2">
        <f>IF(Procurement_kpi_Analysis[[#This Row],[Compliance]]="No",1,0)</f>
        <v>0</v>
      </c>
    </row>
    <row r="32" spans="1:20" x14ac:dyDescent="0.3">
      <c r="A32" t="s">
        <v>57</v>
      </c>
      <c r="B32" t="s">
        <v>20</v>
      </c>
      <c r="C32" s="1">
        <v>44846</v>
      </c>
      <c r="D32" s="1">
        <v>44860</v>
      </c>
      <c r="E32" t="s">
        <v>39</v>
      </c>
      <c r="F32" t="s">
        <v>18</v>
      </c>
      <c r="G32">
        <v>326</v>
      </c>
      <c r="H32">
        <v>18.100000000000001</v>
      </c>
      <c r="I32">
        <v>15.92</v>
      </c>
      <c r="J32">
        <v>0</v>
      </c>
      <c r="K32" t="s">
        <v>27</v>
      </c>
      <c r="L32">
        <f>Procurement_kpi_Analysis[[#This Row],[Quantity]]*Procurement_kpi_Analysis[[#This Row],[Negotiated_Price]]</f>
        <v>5189.92</v>
      </c>
      <c r="M32">
        <f>IF(Procurement_kpi_Analysis[[#This Row],[Delivery_Date]]="","",Procurement_kpi_Analysis[[#This Row],[Delivery_Date]]-Procurement_kpi_Analysis[[#This Row],[Order_Date]])</f>
        <v>14</v>
      </c>
      <c r="N32" s="2">
        <f>Procurement_kpi_Analysis[[#This Row],[Defective_Units]]/Procurement_kpi_Analysis[[#This Row],[Quantity]]</f>
        <v>0</v>
      </c>
      <c r="O32" s="2">
        <f>(Procurement_kpi_Analysis[[#This Row],[Unit_Price]]-Procurement_kpi_Analysis[[#This Row],[Negotiated_Price]])*Procurement_kpi_Analysis[[#This Row],[Quantity]]</f>
        <v>710.68000000000052</v>
      </c>
      <c r="P32" s="2">
        <f>Procurement_kpi_Analysis[[#This Row],[Total Savings]]/Procurement_kpi_Analysis[[#This Row],[Total Spend]]</f>
        <v>0.13693467336683426</v>
      </c>
      <c r="Q32" s="2" t="str">
        <f>IF(Procurement_kpi_Analysis[[#This Row],[Lead Time]]&lt;=14,"On Time","Late")</f>
        <v>On Time</v>
      </c>
      <c r="R32" s="2">
        <f>Procurement_kpi_Analysis[[#This Row],[Unit_Price]]*Procurement_kpi_Analysis[[#This Row],[Quantity]]</f>
        <v>5900.6</v>
      </c>
      <c r="S32" s="2">
        <f>IF(Procurement_kpi_Analysis[[#This Row],[Compliance]]="Yes",1,0)</f>
        <v>0</v>
      </c>
      <c r="T32" s="2">
        <f>IF(Procurement_kpi_Analysis[[#This Row],[Compliance]]="No",1,0)</f>
        <v>1</v>
      </c>
    </row>
    <row r="33" spans="1:20" x14ac:dyDescent="0.3">
      <c r="A33" t="s">
        <v>58</v>
      </c>
      <c r="B33" t="s">
        <v>12</v>
      </c>
      <c r="C33" s="1">
        <v>44568</v>
      </c>
      <c r="D33" s="1">
        <v>44576</v>
      </c>
      <c r="E33" t="s">
        <v>13</v>
      </c>
      <c r="F33" t="s">
        <v>18</v>
      </c>
      <c r="G33">
        <v>1234</v>
      </c>
      <c r="H33">
        <v>17.64</v>
      </c>
      <c r="I33">
        <v>15.66</v>
      </c>
      <c r="J33">
        <v>26</v>
      </c>
      <c r="K33" t="s">
        <v>15</v>
      </c>
      <c r="L33">
        <f>Procurement_kpi_Analysis[[#This Row],[Quantity]]*Procurement_kpi_Analysis[[#This Row],[Negotiated_Price]]</f>
        <v>19324.439999999999</v>
      </c>
      <c r="M33">
        <f>IF(Procurement_kpi_Analysis[[#This Row],[Delivery_Date]]="","",Procurement_kpi_Analysis[[#This Row],[Delivery_Date]]-Procurement_kpi_Analysis[[#This Row],[Order_Date]])</f>
        <v>8</v>
      </c>
      <c r="N33" s="2">
        <f>Procurement_kpi_Analysis[[#This Row],[Defective_Units]]/Procurement_kpi_Analysis[[#This Row],[Quantity]]</f>
        <v>2.1069692058346839E-2</v>
      </c>
      <c r="O33" s="2">
        <f>(Procurement_kpi_Analysis[[#This Row],[Unit_Price]]-Procurement_kpi_Analysis[[#This Row],[Negotiated_Price]])*Procurement_kpi_Analysis[[#This Row],[Quantity]]</f>
        <v>2443.3200000000006</v>
      </c>
      <c r="P33" s="2">
        <f>Procurement_kpi_Analysis[[#This Row],[Total Savings]]/Procurement_kpi_Analysis[[#This Row],[Total Spend]]</f>
        <v>0.12643678160919544</v>
      </c>
      <c r="Q33" s="2" t="str">
        <f>IF(Procurement_kpi_Analysis[[#This Row],[Lead Time]]&lt;=14,"On Time","Late")</f>
        <v>On Time</v>
      </c>
      <c r="R33" s="2">
        <f>Procurement_kpi_Analysis[[#This Row],[Unit_Price]]*Procurement_kpi_Analysis[[#This Row],[Quantity]]</f>
        <v>21767.760000000002</v>
      </c>
      <c r="S33" s="2">
        <f>IF(Procurement_kpi_Analysis[[#This Row],[Compliance]]="Yes",1,0)</f>
        <v>1</v>
      </c>
      <c r="T33" s="2">
        <f>IF(Procurement_kpi_Analysis[[#This Row],[Compliance]]="No",1,0)</f>
        <v>0</v>
      </c>
    </row>
    <row r="34" spans="1:20" x14ac:dyDescent="0.3">
      <c r="A34" t="s">
        <v>59</v>
      </c>
      <c r="B34" t="s">
        <v>29</v>
      </c>
      <c r="C34" s="1">
        <v>44725</v>
      </c>
      <c r="D34" s="1">
        <v>44741</v>
      </c>
      <c r="E34" t="s">
        <v>21</v>
      </c>
      <c r="F34" t="s">
        <v>18</v>
      </c>
      <c r="G34">
        <v>509</v>
      </c>
      <c r="H34">
        <v>101.27</v>
      </c>
      <c r="I34">
        <v>97.82</v>
      </c>
      <c r="J34">
        <v>19</v>
      </c>
      <c r="K34" t="s">
        <v>15</v>
      </c>
      <c r="L34">
        <f>Procurement_kpi_Analysis[[#This Row],[Quantity]]*Procurement_kpi_Analysis[[#This Row],[Negotiated_Price]]</f>
        <v>49790.38</v>
      </c>
      <c r="M34">
        <f>IF(Procurement_kpi_Analysis[[#This Row],[Delivery_Date]]="","",Procurement_kpi_Analysis[[#This Row],[Delivery_Date]]-Procurement_kpi_Analysis[[#This Row],[Order_Date]])</f>
        <v>16</v>
      </c>
      <c r="N34" s="2">
        <f>Procurement_kpi_Analysis[[#This Row],[Defective_Units]]/Procurement_kpi_Analysis[[#This Row],[Quantity]]</f>
        <v>3.732809430255403E-2</v>
      </c>
      <c r="O34" s="2">
        <f>(Procurement_kpi_Analysis[[#This Row],[Unit_Price]]-Procurement_kpi_Analysis[[#This Row],[Negotiated_Price]])*Procurement_kpi_Analysis[[#This Row],[Quantity]]</f>
        <v>1756.0500000000015</v>
      </c>
      <c r="P34" s="2">
        <f>Procurement_kpi_Analysis[[#This Row],[Total Savings]]/Procurement_kpi_Analysis[[#This Row],[Total Spend]]</f>
        <v>3.5268861173584166E-2</v>
      </c>
      <c r="Q34" s="2" t="str">
        <f>IF(Procurement_kpi_Analysis[[#This Row],[Lead Time]]&lt;=14,"On Time","Late")</f>
        <v>Late</v>
      </c>
      <c r="R34" s="2">
        <f>Procurement_kpi_Analysis[[#This Row],[Unit_Price]]*Procurement_kpi_Analysis[[#This Row],[Quantity]]</f>
        <v>51546.43</v>
      </c>
      <c r="S34" s="2">
        <f>IF(Procurement_kpi_Analysis[[#This Row],[Compliance]]="Yes",1,0)</f>
        <v>1</v>
      </c>
      <c r="T34" s="2">
        <f>IF(Procurement_kpi_Analysis[[#This Row],[Compliance]]="No",1,0)</f>
        <v>0</v>
      </c>
    </row>
    <row r="35" spans="1:20" x14ac:dyDescent="0.3">
      <c r="A35" t="s">
        <v>60</v>
      </c>
      <c r="B35" t="s">
        <v>12</v>
      </c>
      <c r="C35" s="1">
        <v>45276</v>
      </c>
      <c r="D35" s="1">
        <v>45277</v>
      </c>
      <c r="E35" t="s">
        <v>24</v>
      </c>
      <c r="F35" t="s">
        <v>18</v>
      </c>
      <c r="G35">
        <v>1387</v>
      </c>
      <c r="H35">
        <v>48.71</v>
      </c>
      <c r="I35">
        <v>43.71</v>
      </c>
      <c r="J35">
        <v>27</v>
      </c>
      <c r="K35" t="s">
        <v>15</v>
      </c>
      <c r="L35">
        <f>Procurement_kpi_Analysis[[#This Row],[Quantity]]*Procurement_kpi_Analysis[[#This Row],[Negotiated_Price]]</f>
        <v>60625.770000000004</v>
      </c>
      <c r="M35">
        <f>IF(Procurement_kpi_Analysis[[#This Row],[Delivery_Date]]="","",Procurement_kpi_Analysis[[#This Row],[Delivery_Date]]-Procurement_kpi_Analysis[[#This Row],[Order_Date]])</f>
        <v>1</v>
      </c>
      <c r="N35" s="2">
        <f>Procurement_kpi_Analysis[[#This Row],[Defective_Units]]/Procurement_kpi_Analysis[[#This Row],[Quantity]]</f>
        <v>1.9466474405191059E-2</v>
      </c>
      <c r="O35" s="2">
        <f>(Procurement_kpi_Analysis[[#This Row],[Unit_Price]]-Procurement_kpi_Analysis[[#This Row],[Negotiated_Price]])*Procurement_kpi_Analysis[[#This Row],[Quantity]]</f>
        <v>6935</v>
      </c>
      <c r="P35" s="2">
        <f>Procurement_kpi_Analysis[[#This Row],[Total Savings]]/Procurement_kpi_Analysis[[#This Row],[Total Spend]]</f>
        <v>0.11439029970258521</v>
      </c>
      <c r="Q35" s="2" t="str">
        <f>IF(Procurement_kpi_Analysis[[#This Row],[Lead Time]]&lt;=14,"On Time","Late")</f>
        <v>On Time</v>
      </c>
      <c r="R35" s="2">
        <f>Procurement_kpi_Analysis[[#This Row],[Unit_Price]]*Procurement_kpi_Analysis[[#This Row],[Quantity]]</f>
        <v>67560.77</v>
      </c>
      <c r="S35" s="2">
        <f>IF(Procurement_kpi_Analysis[[#This Row],[Compliance]]="Yes",1,0)</f>
        <v>1</v>
      </c>
      <c r="T35" s="2">
        <f>IF(Procurement_kpi_Analysis[[#This Row],[Compliance]]="No",1,0)</f>
        <v>0</v>
      </c>
    </row>
    <row r="36" spans="1:20" x14ac:dyDescent="0.3">
      <c r="A36" t="s">
        <v>61</v>
      </c>
      <c r="B36" t="s">
        <v>12</v>
      </c>
      <c r="C36" s="1">
        <v>44994</v>
      </c>
      <c r="D36" s="1">
        <v>45002</v>
      </c>
      <c r="E36" t="s">
        <v>21</v>
      </c>
      <c r="F36" t="s">
        <v>18</v>
      </c>
      <c r="G36">
        <v>71</v>
      </c>
      <c r="H36">
        <v>46.39</v>
      </c>
      <c r="I36">
        <v>43.18</v>
      </c>
      <c r="J36">
        <v>0</v>
      </c>
      <c r="K36" t="s">
        <v>15</v>
      </c>
      <c r="L36">
        <f>Procurement_kpi_Analysis[[#This Row],[Quantity]]*Procurement_kpi_Analysis[[#This Row],[Negotiated_Price]]</f>
        <v>3065.78</v>
      </c>
      <c r="M36">
        <f>IF(Procurement_kpi_Analysis[[#This Row],[Delivery_Date]]="","",Procurement_kpi_Analysis[[#This Row],[Delivery_Date]]-Procurement_kpi_Analysis[[#This Row],[Order_Date]])</f>
        <v>8</v>
      </c>
      <c r="N36" s="2">
        <f>Procurement_kpi_Analysis[[#This Row],[Defective_Units]]/Procurement_kpi_Analysis[[#This Row],[Quantity]]</f>
        <v>0</v>
      </c>
      <c r="O36" s="2">
        <f>(Procurement_kpi_Analysis[[#This Row],[Unit_Price]]-Procurement_kpi_Analysis[[#This Row],[Negotiated_Price]])*Procurement_kpi_Analysis[[#This Row],[Quantity]]</f>
        <v>227.91000000000005</v>
      </c>
      <c r="P36" s="2">
        <f>Procurement_kpi_Analysis[[#This Row],[Total Savings]]/Procurement_kpi_Analysis[[#This Row],[Total Spend]]</f>
        <v>7.4339972209356189E-2</v>
      </c>
      <c r="Q36" s="2" t="str">
        <f>IF(Procurement_kpi_Analysis[[#This Row],[Lead Time]]&lt;=14,"On Time","Late")</f>
        <v>On Time</v>
      </c>
      <c r="R36" s="2">
        <f>Procurement_kpi_Analysis[[#This Row],[Unit_Price]]*Procurement_kpi_Analysis[[#This Row],[Quantity]]</f>
        <v>3293.69</v>
      </c>
      <c r="S36" s="2">
        <f>IF(Procurement_kpi_Analysis[[#This Row],[Compliance]]="Yes",1,0)</f>
        <v>1</v>
      </c>
      <c r="T36" s="2">
        <f>IF(Procurement_kpi_Analysis[[#This Row],[Compliance]]="No",1,0)</f>
        <v>0</v>
      </c>
    </row>
    <row r="37" spans="1:20" x14ac:dyDescent="0.3">
      <c r="A37" t="s">
        <v>62</v>
      </c>
      <c r="B37" t="s">
        <v>29</v>
      </c>
      <c r="C37" s="1">
        <v>44910</v>
      </c>
      <c r="D37" s="1">
        <v>44918</v>
      </c>
      <c r="E37" t="s">
        <v>13</v>
      </c>
      <c r="F37" t="s">
        <v>18</v>
      </c>
      <c r="G37">
        <v>302</v>
      </c>
      <c r="H37">
        <v>87.73</v>
      </c>
      <c r="I37">
        <v>81.52</v>
      </c>
      <c r="J37">
        <v>9</v>
      </c>
      <c r="K37" t="s">
        <v>15</v>
      </c>
      <c r="L37">
        <f>Procurement_kpi_Analysis[[#This Row],[Quantity]]*Procurement_kpi_Analysis[[#This Row],[Negotiated_Price]]</f>
        <v>24619.039999999997</v>
      </c>
      <c r="M37">
        <f>IF(Procurement_kpi_Analysis[[#This Row],[Delivery_Date]]="","",Procurement_kpi_Analysis[[#This Row],[Delivery_Date]]-Procurement_kpi_Analysis[[#This Row],[Order_Date]])</f>
        <v>8</v>
      </c>
      <c r="N37" s="2">
        <f>Procurement_kpi_Analysis[[#This Row],[Defective_Units]]/Procurement_kpi_Analysis[[#This Row],[Quantity]]</f>
        <v>2.9801324503311258E-2</v>
      </c>
      <c r="O37" s="2">
        <f>(Procurement_kpi_Analysis[[#This Row],[Unit_Price]]-Procurement_kpi_Analysis[[#This Row],[Negotiated_Price]])*Procurement_kpi_Analysis[[#This Row],[Quantity]]</f>
        <v>1875.4200000000023</v>
      </c>
      <c r="P37" s="2">
        <f>Procurement_kpi_Analysis[[#This Row],[Total Savings]]/Procurement_kpi_Analysis[[#This Row],[Total Spend]]</f>
        <v>7.6177625122669387E-2</v>
      </c>
      <c r="Q37" s="2" t="str">
        <f>IF(Procurement_kpi_Analysis[[#This Row],[Lead Time]]&lt;=14,"On Time","Late")</f>
        <v>On Time</v>
      </c>
      <c r="R37" s="2">
        <f>Procurement_kpi_Analysis[[#This Row],[Unit_Price]]*Procurement_kpi_Analysis[[#This Row],[Quantity]]</f>
        <v>26494.460000000003</v>
      </c>
      <c r="S37" s="2">
        <f>IF(Procurement_kpi_Analysis[[#This Row],[Compliance]]="Yes",1,0)</f>
        <v>1</v>
      </c>
      <c r="T37" s="2">
        <f>IF(Procurement_kpi_Analysis[[#This Row],[Compliance]]="No",1,0)</f>
        <v>0</v>
      </c>
    </row>
    <row r="38" spans="1:20" x14ac:dyDescent="0.3">
      <c r="A38" t="s">
        <v>63</v>
      </c>
      <c r="B38" t="s">
        <v>29</v>
      </c>
      <c r="C38" s="1">
        <v>44846</v>
      </c>
      <c r="D38" s="1">
        <v>44865</v>
      </c>
      <c r="E38" t="s">
        <v>13</v>
      </c>
      <c r="F38" t="s">
        <v>35</v>
      </c>
      <c r="G38">
        <v>797</v>
      </c>
      <c r="H38">
        <v>99.54</v>
      </c>
      <c r="I38">
        <v>91.37</v>
      </c>
      <c r="J38">
        <v>18</v>
      </c>
      <c r="K38" t="s">
        <v>15</v>
      </c>
      <c r="L38">
        <f>Procurement_kpi_Analysis[[#This Row],[Quantity]]*Procurement_kpi_Analysis[[#This Row],[Negotiated_Price]]</f>
        <v>72821.89</v>
      </c>
      <c r="M38">
        <f>IF(Procurement_kpi_Analysis[[#This Row],[Delivery_Date]]="","",Procurement_kpi_Analysis[[#This Row],[Delivery_Date]]-Procurement_kpi_Analysis[[#This Row],[Order_Date]])</f>
        <v>19</v>
      </c>
      <c r="N38" s="2">
        <f>Procurement_kpi_Analysis[[#This Row],[Defective_Units]]/Procurement_kpi_Analysis[[#This Row],[Quantity]]</f>
        <v>2.258469259723965E-2</v>
      </c>
      <c r="O38" s="2">
        <f>(Procurement_kpi_Analysis[[#This Row],[Unit_Price]]-Procurement_kpi_Analysis[[#This Row],[Negotiated_Price]])*Procurement_kpi_Analysis[[#This Row],[Quantity]]</f>
        <v>6511.4900000000016</v>
      </c>
      <c r="P38" s="2">
        <f>Procurement_kpi_Analysis[[#This Row],[Total Savings]]/Procurement_kpi_Analysis[[#This Row],[Total Spend]]</f>
        <v>8.9416657546240577E-2</v>
      </c>
      <c r="Q38" s="2" t="str">
        <f>IF(Procurement_kpi_Analysis[[#This Row],[Lead Time]]&lt;=14,"On Time","Late")</f>
        <v>Late</v>
      </c>
      <c r="R38" s="2">
        <f>Procurement_kpi_Analysis[[#This Row],[Unit_Price]]*Procurement_kpi_Analysis[[#This Row],[Quantity]]</f>
        <v>79333.38</v>
      </c>
      <c r="S38" s="2">
        <f>IF(Procurement_kpi_Analysis[[#This Row],[Compliance]]="Yes",1,0)</f>
        <v>1</v>
      </c>
      <c r="T38" s="2">
        <f>IF(Procurement_kpi_Analysis[[#This Row],[Compliance]]="No",1,0)</f>
        <v>0</v>
      </c>
    </row>
    <row r="39" spans="1:20" x14ac:dyDescent="0.3">
      <c r="A39" t="s">
        <v>64</v>
      </c>
      <c r="B39" t="s">
        <v>23</v>
      </c>
      <c r="C39" s="1">
        <v>44721</v>
      </c>
      <c r="D39" s="1">
        <v>44739</v>
      </c>
      <c r="E39" t="s">
        <v>13</v>
      </c>
      <c r="F39" t="s">
        <v>35</v>
      </c>
      <c r="G39">
        <v>906</v>
      </c>
      <c r="H39">
        <v>101.21</v>
      </c>
      <c r="I39">
        <v>90.9</v>
      </c>
      <c r="J39">
        <v>94</v>
      </c>
      <c r="K39" t="s">
        <v>15</v>
      </c>
      <c r="L39">
        <f>Procurement_kpi_Analysis[[#This Row],[Quantity]]*Procurement_kpi_Analysis[[#This Row],[Negotiated_Price]]</f>
        <v>82355.400000000009</v>
      </c>
      <c r="M39">
        <f>IF(Procurement_kpi_Analysis[[#This Row],[Delivery_Date]]="","",Procurement_kpi_Analysis[[#This Row],[Delivery_Date]]-Procurement_kpi_Analysis[[#This Row],[Order_Date]])</f>
        <v>18</v>
      </c>
      <c r="N39" s="2">
        <f>Procurement_kpi_Analysis[[#This Row],[Defective_Units]]/Procurement_kpi_Analysis[[#This Row],[Quantity]]</f>
        <v>0.10375275938189846</v>
      </c>
      <c r="O39" s="2">
        <f>(Procurement_kpi_Analysis[[#This Row],[Unit_Price]]-Procurement_kpi_Analysis[[#This Row],[Negotiated_Price]])*Procurement_kpi_Analysis[[#This Row],[Quantity]]</f>
        <v>9340.8599999999897</v>
      </c>
      <c r="P39" s="2">
        <f>Procurement_kpi_Analysis[[#This Row],[Total Savings]]/Procurement_kpi_Analysis[[#This Row],[Total Spend]]</f>
        <v>0.11342134213421329</v>
      </c>
      <c r="Q39" s="2" t="str">
        <f>IF(Procurement_kpi_Analysis[[#This Row],[Lead Time]]&lt;=14,"On Time","Late")</f>
        <v>Late</v>
      </c>
      <c r="R39" s="2">
        <f>Procurement_kpi_Analysis[[#This Row],[Unit_Price]]*Procurement_kpi_Analysis[[#This Row],[Quantity]]</f>
        <v>91696.26</v>
      </c>
      <c r="S39" s="2">
        <f>IF(Procurement_kpi_Analysis[[#This Row],[Compliance]]="Yes",1,0)</f>
        <v>1</v>
      </c>
      <c r="T39" s="2">
        <f>IF(Procurement_kpi_Analysis[[#This Row],[Compliance]]="No",1,0)</f>
        <v>0</v>
      </c>
    </row>
    <row r="40" spans="1:20" x14ac:dyDescent="0.3">
      <c r="A40" t="s">
        <v>65</v>
      </c>
      <c r="B40" t="s">
        <v>29</v>
      </c>
      <c r="C40" s="1">
        <v>44782</v>
      </c>
      <c r="D40" s="1">
        <v>44796</v>
      </c>
      <c r="E40" t="s">
        <v>13</v>
      </c>
      <c r="F40" t="s">
        <v>18</v>
      </c>
      <c r="G40">
        <v>1634</v>
      </c>
      <c r="H40">
        <v>80.53</v>
      </c>
      <c r="I40">
        <v>76.150000000000006</v>
      </c>
      <c r="J40">
        <v>50</v>
      </c>
      <c r="K40" t="s">
        <v>15</v>
      </c>
      <c r="L40">
        <f>Procurement_kpi_Analysis[[#This Row],[Quantity]]*Procurement_kpi_Analysis[[#This Row],[Negotiated_Price]]</f>
        <v>124429.1</v>
      </c>
      <c r="M40">
        <f>IF(Procurement_kpi_Analysis[[#This Row],[Delivery_Date]]="","",Procurement_kpi_Analysis[[#This Row],[Delivery_Date]]-Procurement_kpi_Analysis[[#This Row],[Order_Date]])</f>
        <v>14</v>
      </c>
      <c r="N40" s="2">
        <f>Procurement_kpi_Analysis[[#This Row],[Defective_Units]]/Procurement_kpi_Analysis[[#This Row],[Quantity]]</f>
        <v>3.0599755201958383E-2</v>
      </c>
      <c r="O40" s="2">
        <f>(Procurement_kpi_Analysis[[#This Row],[Unit_Price]]-Procurement_kpi_Analysis[[#This Row],[Negotiated_Price]])*Procurement_kpi_Analysis[[#This Row],[Quantity]]</f>
        <v>7156.9199999999928</v>
      </c>
      <c r="P40" s="2">
        <f>Procurement_kpi_Analysis[[#This Row],[Total Savings]]/Procurement_kpi_Analysis[[#This Row],[Total Spend]]</f>
        <v>5.7518056467498295E-2</v>
      </c>
      <c r="Q40" s="2" t="str">
        <f>IF(Procurement_kpi_Analysis[[#This Row],[Lead Time]]&lt;=14,"On Time","Late")</f>
        <v>On Time</v>
      </c>
      <c r="R40" s="2">
        <f>Procurement_kpi_Analysis[[#This Row],[Unit_Price]]*Procurement_kpi_Analysis[[#This Row],[Quantity]]</f>
        <v>131586.01999999999</v>
      </c>
      <c r="S40" s="2">
        <f>IF(Procurement_kpi_Analysis[[#This Row],[Compliance]]="Yes",1,0)</f>
        <v>1</v>
      </c>
      <c r="T40" s="2">
        <f>IF(Procurement_kpi_Analysis[[#This Row],[Compliance]]="No",1,0)</f>
        <v>0</v>
      </c>
    </row>
    <row r="41" spans="1:20" x14ac:dyDescent="0.3">
      <c r="A41" t="s">
        <v>66</v>
      </c>
      <c r="B41" t="s">
        <v>29</v>
      </c>
      <c r="C41" s="1">
        <v>44906</v>
      </c>
      <c r="D41" s="1"/>
      <c r="E41" t="s">
        <v>13</v>
      </c>
      <c r="F41" t="s">
        <v>18</v>
      </c>
      <c r="G41">
        <v>524</v>
      </c>
      <c r="H41">
        <v>46.28</v>
      </c>
      <c r="I41">
        <v>39.65</v>
      </c>
      <c r="J41">
        <v>14</v>
      </c>
      <c r="K41" t="s">
        <v>15</v>
      </c>
      <c r="L41">
        <f>Procurement_kpi_Analysis[[#This Row],[Quantity]]*Procurement_kpi_Analysis[[#This Row],[Negotiated_Price]]</f>
        <v>20776.599999999999</v>
      </c>
      <c r="M41" t="str">
        <f>IF(Procurement_kpi_Analysis[[#This Row],[Delivery_Date]]="","",Procurement_kpi_Analysis[[#This Row],[Delivery_Date]]-Procurement_kpi_Analysis[[#This Row],[Order_Date]])</f>
        <v/>
      </c>
      <c r="N41" s="2">
        <f>Procurement_kpi_Analysis[[#This Row],[Defective_Units]]/Procurement_kpi_Analysis[[#This Row],[Quantity]]</f>
        <v>2.6717557251908396E-2</v>
      </c>
      <c r="O41" s="2">
        <f>(Procurement_kpi_Analysis[[#This Row],[Unit_Price]]-Procurement_kpi_Analysis[[#This Row],[Negotiated_Price]])*Procurement_kpi_Analysis[[#This Row],[Quantity]]</f>
        <v>3474.1200000000013</v>
      </c>
      <c r="P41" s="2">
        <f>Procurement_kpi_Analysis[[#This Row],[Total Savings]]/Procurement_kpi_Analysis[[#This Row],[Total Spend]]</f>
        <v>0.16721311475409845</v>
      </c>
      <c r="Q41" s="2" t="str">
        <f>IF(Procurement_kpi_Analysis[[#This Row],[Lead Time]]&lt;=14,"On Time","Late")</f>
        <v>Late</v>
      </c>
      <c r="R41" s="2">
        <f>Procurement_kpi_Analysis[[#This Row],[Unit_Price]]*Procurement_kpi_Analysis[[#This Row],[Quantity]]</f>
        <v>24250.720000000001</v>
      </c>
      <c r="S41" s="2">
        <f>IF(Procurement_kpi_Analysis[[#This Row],[Compliance]]="Yes",1,0)</f>
        <v>1</v>
      </c>
      <c r="T41" s="2">
        <f>IF(Procurement_kpi_Analysis[[#This Row],[Compliance]]="No",1,0)</f>
        <v>0</v>
      </c>
    </row>
    <row r="42" spans="1:20" x14ac:dyDescent="0.3">
      <c r="A42" t="s">
        <v>67</v>
      </c>
      <c r="B42" t="s">
        <v>23</v>
      </c>
      <c r="C42" s="1">
        <v>44666</v>
      </c>
      <c r="D42" s="1">
        <v>44678</v>
      </c>
      <c r="E42" t="s">
        <v>39</v>
      </c>
      <c r="F42" t="s">
        <v>18</v>
      </c>
      <c r="G42">
        <v>1132</v>
      </c>
      <c r="H42">
        <v>17.78</v>
      </c>
      <c r="I42">
        <v>15.36</v>
      </c>
      <c r="J42">
        <v>96</v>
      </c>
      <c r="K42" t="s">
        <v>15</v>
      </c>
      <c r="L42">
        <f>Procurement_kpi_Analysis[[#This Row],[Quantity]]*Procurement_kpi_Analysis[[#This Row],[Negotiated_Price]]</f>
        <v>17387.52</v>
      </c>
      <c r="M42">
        <f>IF(Procurement_kpi_Analysis[[#This Row],[Delivery_Date]]="","",Procurement_kpi_Analysis[[#This Row],[Delivery_Date]]-Procurement_kpi_Analysis[[#This Row],[Order_Date]])</f>
        <v>12</v>
      </c>
      <c r="N42" s="2">
        <f>Procurement_kpi_Analysis[[#This Row],[Defective_Units]]/Procurement_kpi_Analysis[[#This Row],[Quantity]]</f>
        <v>8.4805653710247356E-2</v>
      </c>
      <c r="O42" s="2">
        <f>(Procurement_kpi_Analysis[[#This Row],[Unit_Price]]-Procurement_kpi_Analysis[[#This Row],[Negotiated_Price]])*Procurement_kpi_Analysis[[#This Row],[Quantity]]</f>
        <v>2739.4400000000019</v>
      </c>
      <c r="P42" s="2">
        <f>Procurement_kpi_Analysis[[#This Row],[Total Savings]]/Procurement_kpi_Analysis[[#This Row],[Total Spend]]</f>
        <v>0.15755208333333343</v>
      </c>
      <c r="Q42" s="2" t="str">
        <f>IF(Procurement_kpi_Analysis[[#This Row],[Lead Time]]&lt;=14,"On Time","Late")</f>
        <v>On Time</v>
      </c>
      <c r="R42" s="2">
        <f>Procurement_kpi_Analysis[[#This Row],[Unit_Price]]*Procurement_kpi_Analysis[[#This Row],[Quantity]]</f>
        <v>20126.960000000003</v>
      </c>
      <c r="S42" s="2">
        <f>IF(Procurement_kpi_Analysis[[#This Row],[Compliance]]="Yes",1,0)</f>
        <v>1</v>
      </c>
      <c r="T42" s="2">
        <f>IF(Procurement_kpi_Analysis[[#This Row],[Compliance]]="No",1,0)</f>
        <v>0</v>
      </c>
    </row>
    <row r="43" spans="1:20" x14ac:dyDescent="0.3">
      <c r="A43" t="s">
        <v>68</v>
      </c>
      <c r="B43" t="s">
        <v>23</v>
      </c>
      <c r="C43" s="1">
        <v>44656</v>
      </c>
      <c r="D43" s="1">
        <v>44665</v>
      </c>
      <c r="E43" t="s">
        <v>13</v>
      </c>
      <c r="F43" t="s">
        <v>18</v>
      </c>
      <c r="G43">
        <v>560</v>
      </c>
      <c r="H43">
        <v>81.14</v>
      </c>
      <c r="I43">
        <v>77.87</v>
      </c>
      <c r="J43">
        <v>34</v>
      </c>
      <c r="K43" t="s">
        <v>27</v>
      </c>
      <c r="L43">
        <f>Procurement_kpi_Analysis[[#This Row],[Quantity]]*Procurement_kpi_Analysis[[#This Row],[Negotiated_Price]]</f>
        <v>43607.200000000004</v>
      </c>
      <c r="M43">
        <f>IF(Procurement_kpi_Analysis[[#This Row],[Delivery_Date]]="","",Procurement_kpi_Analysis[[#This Row],[Delivery_Date]]-Procurement_kpi_Analysis[[#This Row],[Order_Date]])</f>
        <v>9</v>
      </c>
      <c r="N43" s="2">
        <f>Procurement_kpi_Analysis[[#This Row],[Defective_Units]]/Procurement_kpi_Analysis[[#This Row],[Quantity]]</f>
        <v>6.0714285714285714E-2</v>
      </c>
      <c r="O43" s="2">
        <f>(Procurement_kpi_Analysis[[#This Row],[Unit_Price]]-Procurement_kpi_Analysis[[#This Row],[Negotiated_Price]])*Procurement_kpi_Analysis[[#This Row],[Quantity]]</f>
        <v>1831.1999999999978</v>
      </c>
      <c r="P43" s="2">
        <f>Procurement_kpi_Analysis[[#This Row],[Total Savings]]/Procurement_kpi_Analysis[[#This Row],[Total Spend]]</f>
        <v>4.1993065365352453E-2</v>
      </c>
      <c r="Q43" s="2" t="str">
        <f>IF(Procurement_kpi_Analysis[[#This Row],[Lead Time]]&lt;=14,"On Time","Late")</f>
        <v>On Time</v>
      </c>
      <c r="R43" s="2">
        <f>Procurement_kpi_Analysis[[#This Row],[Unit_Price]]*Procurement_kpi_Analysis[[#This Row],[Quantity]]</f>
        <v>45438.400000000001</v>
      </c>
      <c r="S43" s="2">
        <f>IF(Procurement_kpi_Analysis[[#This Row],[Compliance]]="Yes",1,0)</f>
        <v>0</v>
      </c>
      <c r="T43" s="2">
        <f>IF(Procurement_kpi_Analysis[[#This Row],[Compliance]]="No",1,0)</f>
        <v>1</v>
      </c>
    </row>
    <row r="44" spans="1:20" x14ac:dyDescent="0.3">
      <c r="A44" t="s">
        <v>69</v>
      </c>
      <c r="B44" t="s">
        <v>20</v>
      </c>
      <c r="C44" s="1">
        <v>44951</v>
      </c>
      <c r="D44" s="1">
        <v>44959</v>
      </c>
      <c r="E44" t="s">
        <v>39</v>
      </c>
      <c r="F44" t="s">
        <v>18</v>
      </c>
      <c r="G44">
        <v>1755</v>
      </c>
      <c r="H44">
        <v>63.87</v>
      </c>
      <c r="I44">
        <v>58.4</v>
      </c>
      <c r="J44">
        <v>85</v>
      </c>
      <c r="K44" t="s">
        <v>15</v>
      </c>
      <c r="L44">
        <f>Procurement_kpi_Analysis[[#This Row],[Quantity]]*Procurement_kpi_Analysis[[#This Row],[Negotiated_Price]]</f>
        <v>102492</v>
      </c>
      <c r="M44">
        <f>IF(Procurement_kpi_Analysis[[#This Row],[Delivery_Date]]="","",Procurement_kpi_Analysis[[#This Row],[Delivery_Date]]-Procurement_kpi_Analysis[[#This Row],[Order_Date]])</f>
        <v>8</v>
      </c>
      <c r="N44" s="2">
        <f>Procurement_kpi_Analysis[[#This Row],[Defective_Units]]/Procurement_kpi_Analysis[[#This Row],[Quantity]]</f>
        <v>4.843304843304843E-2</v>
      </c>
      <c r="O44" s="2">
        <f>(Procurement_kpi_Analysis[[#This Row],[Unit_Price]]-Procurement_kpi_Analysis[[#This Row],[Negotiated_Price]])*Procurement_kpi_Analysis[[#This Row],[Quantity]]</f>
        <v>9599.8499999999985</v>
      </c>
      <c r="P44" s="2">
        <f>Procurement_kpi_Analysis[[#This Row],[Total Savings]]/Procurement_kpi_Analysis[[#This Row],[Total Spend]]</f>
        <v>9.3664383561643819E-2</v>
      </c>
      <c r="Q44" s="2" t="str">
        <f>IF(Procurement_kpi_Analysis[[#This Row],[Lead Time]]&lt;=14,"On Time","Late")</f>
        <v>On Time</v>
      </c>
      <c r="R44" s="2">
        <f>Procurement_kpi_Analysis[[#This Row],[Unit_Price]]*Procurement_kpi_Analysis[[#This Row],[Quantity]]</f>
        <v>112091.84999999999</v>
      </c>
      <c r="S44" s="2">
        <f>IF(Procurement_kpi_Analysis[[#This Row],[Compliance]]="Yes",1,0)</f>
        <v>1</v>
      </c>
      <c r="T44" s="2">
        <f>IF(Procurement_kpi_Analysis[[#This Row],[Compliance]]="No",1,0)</f>
        <v>0</v>
      </c>
    </row>
    <row r="45" spans="1:20" x14ac:dyDescent="0.3">
      <c r="A45" t="s">
        <v>70</v>
      </c>
      <c r="B45" t="s">
        <v>29</v>
      </c>
      <c r="C45" s="1">
        <v>44661</v>
      </c>
      <c r="D45" s="1">
        <v>44668</v>
      </c>
      <c r="E45" t="s">
        <v>21</v>
      </c>
      <c r="F45" t="s">
        <v>18</v>
      </c>
      <c r="G45">
        <v>1549</v>
      </c>
      <c r="H45">
        <v>48.9</v>
      </c>
      <c r="I45">
        <v>42.42</v>
      </c>
      <c r="J45">
        <v>48</v>
      </c>
      <c r="K45" t="s">
        <v>15</v>
      </c>
      <c r="L45">
        <f>Procurement_kpi_Analysis[[#This Row],[Quantity]]*Procurement_kpi_Analysis[[#This Row],[Negotiated_Price]]</f>
        <v>65708.58</v>
      </c>
      <c r="M45">
        <f>IF(Procurement_kpi_Analysis[[#This Row],[Delivery_Date]]="","",Procurement_kpi_Analysis[[#This Row],[Delivery_Date]]-Procurement_kpi_Analysis[[#This Row],[Order_Date]])</f>
        <v>7</v>
      </c>
      <c r="N45" s="2">
        <f>Procurement_kpi_Analysis[[#This Row],[Defective_Units]]/Procurement_kpi_Analysis[[#This Row],[Quantity]]</f>
        <v>3.0987734021949646E-2</v>
      </c>
      <c r="O45" s="2">
        <f>(Procurement_kpi_Analysis[[#This Row],[Unit_Price]]-Procurement_kpi_Analysis[[#This Row],[Negotiated_Price]])*Procurement_kpi_Analysis[[#This Row],[Quantity]]</f>
        <v>10037.519999999995</v>
      </c>
      <c r="P45" s="2">
        <f>Procurement_kpi_Analysis[[#This Row],[Total Savings]]/Procurement_kpi_Analysis[[#This Row],[Total Spend]]</f>
        <v>0.15275813295615268</v>
      </c>
      <c r="Q45" s="2" t="str">
        <f>IF(Procurement_kpi_Analysis[[#This Row],[Lead Time]]&lt;=14,"On Time","Late")</f>
        <v>On Time</v>
      </c>
      <c r="R45" s="2">
        <f>Procurement_kpi_Analysis[[#This Row],[Unit_Price]]*Procurement_kpi_Analysis[[#This Row],[Quantity]]</f>
        <v>75746.099999999991</v>
      </c>
      <c r="S45" s="2">
        <f>IF(Procurement_kpi_Analysis[[#This Row],[Compliance]]="Yes",1,0)</f>
        <v>1</v>
      </c>
      <c r="T45" s="2">
        <f>IF(Procurement_kpi_Analysis[[#This Row],[Compliance]]="No",1,0)</f>
        <v>0</v>
      </c>
    </row>
    <row r="46" spans="1:20" x14ac:dyDescent="0.3">
      <c r="A46" t="s">
        <v>71</v>
      </c>
      <c r="B46" t="s">
        <v>17</v>
      </c>
      <c r="C46" s="1">
        <v>44929</v>
      </c>
      <c r="D46" s="1">
        <v>44947</v>
      </c>
      <c r="E46" t="s">
        <v>21</v>
      </c>
      <c r="F46" t="s">
        <v>18</v>
      </c>
      <c r="G46">
        <v>749</v>
      </c>
      <c r="H46">
        <v>97.07</v>
      </c>
      <c r="I46">
        <v>94.16</v>
      </c>
      <c r="J46">
        <v>123</v>
      </c>
      <c r="K46" t="s">
        <v>15</v>
      </c>
      <c r="L46">
        <f>Procurement_kpi_Analysis[[#This Row],[Quantity]]*Procurement_kpi_Analysis[[#This Row],[Negotiated_Price]]</f>
        <v>70525.84</v>
      </c>
      <c r="M46">
        <f>IF(Procurement_kpi_Analysis[[#This Row],[Delivery_Date]]="","",Procurement_kpi_Analysis[[#This Row],[Delivery_Date]]-Procurement_kpi_Analysis[[#This Row],[Order_Date]])</f>
        <v>18</v>
      </c>
      <c r="N46" s="2">
        <f>Procurement_kpi_Analysis[[#This Row],[Defective_Units]]/Procurement_kpi_Analysis[[#This Row],[Quantity]]</f>
        <v>0.16421895861148197</v>
      </c>
      <c r="O46" s="2">
        <f>(Procurement_kpi_Analysis[[#This Row],[Unit_Price]]-Procurement_kpi_Analysis[[#This Row],[Negotiated_Price]])*Procurement_kpi_Analysis[[#This Row],[Quantity]]</f>
        <v>2179.5899999999974</v>
      </c>
      <c r="P46" s="2">
        <f>Procurement_kpi_Analysis[[#This Row],[Total Savings]]/Procurement_kpi_Analysis[[#This Row],[Total Spend]]</f>
        <v>3.0904842820730635E-2</v>
      </c>
      <c r="Q46" s="2" t="str">
        <f>IF(Procurement_kpi_Analysis[[#This Row],[Lead Time]]&lt;=14,"On Time","Late")</f>
        <v>Late</v>
      </c>
      <c r="R46" s="2">
        <f>Procurement_kpi_Analysis[[#This Row],[Unit_Price]]*Procurement_kpi_Analysis[[#This Row],[Quantity]]</f>
        <v>72705.429999999993</v>
      </c>
      <c r="S46" s="2">
        <f>IF(Procurement_kpi_Analysis[[#This Row],[Compliance]]="Yes",1,0)</f>
        <v>1</v>
      </c>
      <c r="T46" s="2">
        <f>IF(Procurement_kpi_Analysis[[#This Row],[Compliance]]="No",1,0)</f>
        <v>0</v>
      </c>
    </row>
    <row r="47" spans="1:20" x14ac:dyDescent="0.3">
      <c r="A47" t="s">
        <v>72</v>
      </c>
      <c r="B47" t="s">
        <v>12</v>
      </c>
      <c r="C47" s="1">
        <v>44914</v>
      </c>
      <c r="D47" s="1"/>
      <c r="E47" t="s">
        <v>39</v>
      </c>
      <c r="F47" t="s">
        <v>18</v>
      </c>
      <c r="G47">
        <v>1025</v>
      </c>
      <c r="H47">
        <v>21.11</v>
      </c>
      <c r="I47">
        <v>19.25</v>
      </c>
      <c r="J47">
        <v>15</v>
      </c>
      <c r="K47" t="s">
        <v>15</v>
      </c>
      <c r="L47">
        <f>Procurement_kpi_Analysis[[#This Row],[Quantity]]*Procurement_kpi_Analysis[[#This Row],[Negotiated_Price]]</f>
        <v>19731.25</v>
      </c>
      <c r="M47" t="str">
        <f>IF(Procurement_kpi_Analysis[[#This Row],[Delivery_Date]]="","",Procurement_kpi_Analysis[[#This Row],[Delivery_Date]]-Procurement_kpi_Analysis[[#This Row],[Order_Date]])</f>
        <v/>
      </c>
      <c r="N47" s="2">
        <f>Procurement_kpi_Analysis[[#This Row],[Defective_Units]]/Procurement_kpi_Analysis[[#This Row],[Quantity]]</f>
        <v>1.4634146341463415E-2</v>
      </c>
      <c r="O47" s="2">
        <f>(Procurement_kpi_Analysis[[#This Row],[Unit_Price]]-Procurement_kpi_Analysis[[#This Row],[Negotiated_Price]])*Procurement_kpi_Analysis[[#This Row],[Quantity]]</f>
        <v>1906.4999999999993</v>
      </c>
      <c r="P47" s="2">
        <f>Procurement_kpi_Analysis[[#This Row],[Total Savings]]/Procurement_kpi_Analysis[[#This Row],[Total Spend]]</f>
        <v>9.6623376623376583E-2</v>
      </c>
      <c r="Q47" s="2" t="str">
        <f>IF(Procurement_kpi_Analysis[[#This Row],[Lead Time]]&lt;=14,"On Time","Late")</f>
        <v>Late</v>
      </c>
      <c r="R47" s="2">
        <f>Procurement_kpi_Analysis[[#This Row],[Unit_Price]]*Procurement_kpi_Analysis[[#This Row],[Quantity]]</f>
        <v>21637.75</v>
      </c>
      <c r="S47" s="2">
        <f>IF(Procurement_kpi_Analysis[[#This Row],[Compliance]]="Yes",1,0)</f>
        <v>1</v>
      </c>
      <c r="T47" s="2">
        <f>IF(Procurement_kpi_Analysis[[#This Row],[Compliance]]="No",1,0)</f>
        <v>0</v>
      </c>
    </row>
    <row r="48" spans="1:20" x14ac:dyDescent="0.3">
      <c r="A48" t="s">
        <v>73</v>
      </c>
      <c r="B48" t="s">
        <v>23</v>
      </c>
      <c r="C48" s="1">
        <v>45180</v>
      </c>
      <c r="D48" s="1">
        <v>45187</v>
      </c>
      <c r="E48" t="s">
        <v>26</v>
      </c>
      <c r="F48" t="s">
        <v>18</v>
      </c>
      <c r="G48">
        <v>1856</v>
      </c>
      <c r="H48">
        <v>59.77</v>
      </c>
      <c r="I48">
        <v>50.81</v>
      </c>
      <c r="J48">
        <v>191</v>
      </c>
      <c r="K48" t="s">
        <v>15</v>
      </c>
      <c r="L48">
        <f>Procurement_kpi_Analysis[[#This Row],[Quantity]]*Procurement_kpi_Analysis[[#This Row],[Negotiated_Price]]</f>
        <v>94303.360000000001</v>
      </c>
      <c r="M48">
        <f>IF(Procurement_kpi_Analysis[[#This Row],[Delivery_Date]]="","",Procurement_kpi_Analysis[[#This Row],[Delivery_Date]]-Procurement_kpi_Analysis[[#This Row],[Order_Date]])</f>
        <v>7</v>
      </c>
      <c r="N48" s="2">
        <f>Procurement_kpi_Analysis[[#This Row],[Defective_Units]]/Procurement_kpi_Analysis[[#This Row],[Quantity]]</f>
        <v>0.10290948275862069</v>
      </c>
      <c r="O48" s="2">
        <f>(Procurement_kpi_Analysis[[#This Row],[Unit_Price]]-Procurement_kpi_Analysis[[#This Row],[Negotiated_Price]])*Procurement_kpi_Analysis[[#This Row],[Quantity]]</f>
        <v>16629.760000000002</v>
      </c>
      <c r="P48" s="2">
        <f>Procurement_kpi_Analysis[[#This Row],[Total Savings]]/Procurement_kpi_Analysis[[#This Row],[Total Spend]]</f>
        <v>0.17634323951977959</v>
      </c>
      <c r="Q48" s="2" t="str">
        <f>IF(Procurement_kpi_Analysis[[#This Row],[Lead Time]]&lt;=14,"On Time","Late")</f>
        <v>On Time</v>
      </c>
      <c r="R48" s="2">
        <f>Procurement_kpi_Analysis[[#This Row],[Unit_Price]]*Procurement_kpi_Analysis[[#This Row],[Quantity]]</f>
        <v>110933.12000000001</v>
      </c>
      <c r="S48" s="2">
        <f>IF(Procurement_kpi_Analysis[[#This Row],[Compliance]]="Yes",1,0)</f>
        <v>1</v>
      </c>
      <c r="T48" s="2">
        <f>IF(Procurement_kpi_Analysis[[#This Row],[Compliance]]="No",1,0)</f>
        <v>0</v>
      </c>
    </row>
    <row r="49" spans="1:20" x14ac:dyDescent="0.3">
      <c r="A49" t="s">
        <v>74</v>
      </c>
      <c r="B49" t="s">
        <v>29</v>
      </c>
      <c r="C49" s="1">
        <v>44832</v>
      </c>
      <c r="D49" s="1">
        <v>44848</v>
      </c>
      <c r="E49" t="s">
        <v>13</v>
      </c>
      <c r="F49" t="s">
        <v>18</v>
      </c>
      <c r="G49">
        <v>239</v>
      </c>
      <c r="H49">
        <v>11.46</v>
      </c>
      <c r="I49">
        <v>11.28</v>
      </c>
      <c r="J49">
        <v>4</v>
      </c>
      <c r="K49" t="s">
        <v>15</v>
      </c>
      <c r="L49">
        <f>Procurement_kpi_Analysis[[#This Row],[Quantity]]*Procurement_kpi_Analysis[[#This Row],[Negotiated_Price]]</f>
        <v>2695.92</v>
      </c>
      <c r="M49">
        <f>IF(Procurement_kpi_Analysis[[#This Row],[Delivery_Date]]="","",Procurement_kpi_Analysis[[#This Row],[Delivery_Date]]-Procurement_kpi_Analysis[[#This Row],[Order_Date]])</f>
        <v>16</v>
      </c>
      <c r="N49" s="2">
        <f>Procurement_kpi_Analysis[[#This Row],[Defective_Units]]/Procurement_kpi_Analysis[[#This Row],[Quantity]]</f>
        <v>1.6736401673640166E-2</v>
      </c>
      <c r="O49" s="2">
        <f>(Procurement_kpi_Analysis[[#This Row],[Unit_Price]]-Procurement_kpi_Analysis[[#This Row],[Negotiated_Price]])*Procurement_kpi_Analysis[[#This Row],[Quantity]]</f>
        <v>43.020000000000358</v>
      </c>
      <c r="P49" s="2">
        <f>Procurement_kpi_Analysis[[#This Row],[Total Savings]]/Procurement_kpi_Analysis[[#This Row],[Total Spend]]</f>
        <v>1.5957446808510772E-2</v>
      </c>
      <c r="Q49" s="2" t="str">
        <f>IF(Procurement_kpi_Analysis[[#This Row],[Lead Time]]&lt;=14,"On Time","Late")</f>
        <v>Late</v>
      </c>
      <c r="R49" s="2">
        <f>Procurement_kpi_Analysis[[#This Row],[Unit_Price]]*Procurement_kpi_Analysis[[#This Row],[Quantity]]</f>
        <v>2738.94</v>
      </c>
      <c r="S49" s="2">
        <f>IF(Procurement_kpi_Analysis[[#This Row],[Compliance]]="Yes",1,0)</f>
        <v>1</v>
      </c>
      <c r="T49" s="2">
        <f>IF(Procurement_kpi_Analysis[[#This Row],[Compliance]]="No",1,0)</f>
        <v>0</v>
      </c>
    </row>
    <row r="50" spans="1:20" x14ac:dyDescent="0.3">
      <c r="A50" t="s">
        <v>75</v>
      </c>
      <c r="B50" t="s">
        <v>17</v>
      </c>
      <c r="C50" s="1">
        <v>44606</v>
      </c>
      <c r="D50" s="1">
        <v>44625</v>
      </c>
      <c r="E50" t="s">
        <v>13</v>
      </c>
      <c r="F50" t="s">
        <v>35</v>
      </c>
      <c r="G50">
        <v>1007</v>
      </c>
      <c r="H50">
        <v>52.44</v>
      </c>
      <c r="I50">
        <v>46.06</v>
      </c>
      <c r="J50">
        <v>167</v>
      </c>
      <c r="K50" t="s">
        <v>15</v>
      </c>
      <c r="L50">
        <f>Procurement_kpi_Analysis[[#This Row],[Quantity]]*Procurement_kpi_Analysis[[#This Row],[Negotiated_Price]]</f>
        <v>46382.420000000006</v>
      </c>
      <c r="M50">
        <f>IF(Procurement_kpi_Analysis[[#This Row],[Delivery_Date]]="","",Procurement_kpi_Analysis[[#This Row],[Delivery_Date]]-Procurement_kpi_Analysis[[#This Row],[Order_Date]])</f>
        <v>19</v>
      </c>
      <c r="N50" s="2">
        <f>Procurement_kpi_Analysis[[#This Row],[Defective_Units]]/Procurement_kpi_Analysis[[#This Row],[Quantity]]</f>
        <v>0.16583912611717974</v>
      </c>
      <c r="O50" s="2">
        <f>(Procurement_kpi_Analysis[[#This Row],[Unit_Price]]-Procurement_kpi_Analysis[[#This Row],[Negotiated_Price]])*Procurement_kpi_Analysis[[#This Row],[Quantity]]</f>
        <v>6424.6599999999953</v>
      </c>
      <c r="P50" s="2">
        <f>Procurement_kpi_Analysis[[#This Row],[Total Savings]]/Procurement_kpi_Analysis[[#This Row],[Total Spend]]</f>
        <v>0.13851498046026908</v>
      </c>
      <c r="Q50" s="2" t="str">
        <f>IF(Procurement_kpi_Analysis[[#This Row],[Lead Time]]&lt;=14,"On Time","Late")</f>
        <v>Late</v>
      </c>
      <c r="R50" s="2">
        <f>Procurement_kpi_Analysis[[#This Row],[Unit_Price]]*Procurement_kpi_Analysis[[#This Row],[Quantity]]</f>
        <v>52807.079999999994</v>
      </c>
      <c r="S50" s="2">
        <f>IF(Procurement_kpi_Analysis[[#This Row],[Compliance]]="Yes",1,0)</f>
        <v>1</v>
      </c>
      <c r="T50" s="2">
        <f>IF(Procurement_kpi_Analysis[[#This Row],[Compliance]]="No",1,0)</f>
        <v>0</v>
      </c>
    </row>
    <row r="51" spans="1:20" x14ac:dyDescent="0.3">
      <c r="A51" t="s">
        <v>76</v>
      </c>
      <c r="B51" t="s">
        <v>12</v>
      </c>
      <c r="C51" s="1">
        <v>45032</v>
      </c>
      <c r="D51" s="1"/>
      <c r="E51" t="s">
        <v>21</v>
      </c>
      <c r="F51" t="s">
        <v>35</v>
      </c>
      <c r="G51">
        <v>736</v>
      </c>
      <c r="H51">
        <v>16.2</v>
      </c>
      <c r="I51">
        <v>15.33</v>
      </c>
      <c r="J51">
        <v>18</v>
      </c>
      <c r="K51" t="s">
        <v>15</v>
      </c>
      <c r="L51">
        <f>Procurement_kpi_Analysis[[#This Row],[Quantity]]*Procurement_kpi_Analysis[[#This Row],[Negotiated_Price]]</f>
        <v>11282.88</v>
      </c>
      <c r="M51" t="str">
        <f>IF(Procurement_kpi_Analysis[[#This Row],[Delivery_Date]]="","",Procurement_kpi_Analysis[[#This Row],[Delivery_Date]]-Procurement_kpi_Analysis[[#This Row],[Order_Date]])</f>
        <v/>
      </c>
      <c r="N51" s="2">
        <f>Procurement_kpi_Analysis[[#This Row],[Defective_Units]]/Procurement_kpi_Analysis[[#This Row],[Quantity]]</f>
        <v>2.4456521739130436E-2</v>
      </c>
      <c r="O51" s="2">
        <f>(Procurement_kpi_Analysis[[#This Row],[Unit_Price]]-Procurement_kpi_Analysis[[#This Row],[Negotiated_Price]])*Procurement_kpi_Analysis[[#This Row],[Quantity]]</f>
        <v>640.31999999999948</v>
      </c>
      <c r="P51" s="2">
        <f>Procurement_kpi_Analysis[[#This Row],[Total Savings]]/Procurement_kpi_Analysis[[#This Row],[Total Spend]]</f>
        <v>5.6751467710371775E-2</v>
      </c>
      <c r="Q51" s="2" t="str">
        <f>IF(Procurement_kpi_Analysis[[#This Row],[Lead Time]]&lt;=14,"On Time","Late")</f>
        <v>Late</v>
      </c>
      <c r="R51" s="2">
        <f>Procurement_kpi_Analysis[[#This Row],[Unit_Price]]*Procurement_kpi_Analysis[[#This Row],[Quantity]]</f>
        <v>11923.199999999999</v>
      </c>
      <c r="S51" s="2">
        <f>IF(Procurement_kpi_Analysis[[#This Row],[Compliance]]="Yes",1,0)</f>
        <v>1</v>
      </c>
      <c r="T51" s="2">
        <f>IF(Procurement_kpi_Analysis[[#This Row],[Compliance]]="No",1,0)</f>
        <v>0</v>
      </c>
    </row>
    <row r="52" spans="1:20" x14ac:dyDescent="0.3">
      <c r="A52" t="s">
        <v>77</v>
      </c>
      <c r="B52" t="s">
        <v>29</v>
      </c>
      <c r="C52" s="1">
        <v>45111</v>
      </c>
      <c r="D52" s="1">
        <v>45121</v>
      </c>
      <c r="E52" t="s">
        <v>39</v>
      </c>
      <c r="F52" t="s">
        <v>18</v>
      </c>
      <c r="G52">
        <v>1007</v>
      </c>
      <c r="H52">
        <v>22.56</v>
      </c>
      <c r="I52">
        <v>19.59</v>
      </c>
      <c r="J52">
        <v>0</v>
      </c>
      <c r="K52" t="s">
        <v>15</v>
      </c>
      <c r="L52">
        <f>Procurement_kpi_Analysis[[#This Row],[Quantity]]*Procurement_kpi_Analysis[[#This Row],[Negotiated_Price]]</f>
        <v>19727.13</v>
      </c>
      <c r="M52">
        <f>IF(Procurement_kpi_Analysis[[#This Row],[Delivery_Date]]="","",Procurement_kpi_Analysis[[#This Row],[Delivery_Date]]-Procurement_kpi_Analysis[[#This Row],[Order_Date]])</f>
        <v>10</v>
      </c>
      <c r="N52" s="2">
        <f>Procurement_kpi_Analysis[[#This Row],[Defective_Units]]/Procurement_kpi_Analysis[[#This Row],[Quantity]]</f>
        <v>0</v>
      </c>
      <c r="O52" s="2">
        <f>(Procurement_kpi_Analysis[[#This Row],[Unit_Price]]-Procurement_kpi_Analysis[[#This Row],[Negotiated_Price]])*Procurement_kpi_Analysis[[#This Row],[Quantity]]</f>
        <v>2990.7899999999991</v>
      </c>
      <c r="P52" s="2">
        <f>Procurement_kpi_Analysis[[#This Row],[Total Savings]]/Procurement_kpi_Analysis[[#This Row],[Total Spend]]</f>
        <v>0.15160796324655432</v>
      </c>
      <c r="Q52" s="2" t="str">
        <f>IF(Procurement_kpi_Analysis[[#This Row],[Lead Time]]&lt;=14,"On Time","Late")</f>
        <v>On Time</v>
      </c>
      <c r="R52" s="2">
        <f>Procurement_kpi_Analysis[[#This Row],[Unit_Price]]*Procurement_kpi_Analysis[[#This Row],[Quantity]]</f>
        <v>22717.919999999998</v>
      </c>
      <c r="S52" s="2">
        <f>IF(Procurement_kpi_Analysis[[#This Row],[Compliance]]="Yes",1,0)</f>
        <v>1</v>
      </c>
      <c r="T52" s="2">
        <f>IF(Procurement_kpi_Analysis[[#This Row],[Compliance]]="No",1,0)</f>
        <v>0</v>
      </c>
    </row>
    <row r="53" spans="1:20" x14ac:dyDescent="0.3">
      <c r="A53" t="s">
        <v>78</v>
      </c>
      <c r="B53" t="s">
        <v>17</v>
      </c>
      <c r="C53" s="1">
        <v>44689</v>
      </c>
      <c r="D53" s="1"/>
      <c r="E53" t="s">
        <v>13</v>
      </c>
      <c r="F53" t="s">
        <v>18</v>
      </c>
      <c r="G53">
        <v>612</v>
      </c>
      <c r="H53">
        <v>20.99</v>
      </c>
      <c r="I53">
        <v>19.75</v>
      </c>
      <c r="J53">
        <v>102</v>
      </c>
      <c r="K53" t="s">
        <v>15</v>
      </c>
      <c r="L53">
        <f>Procurement_kpi_Analysis[[#This Row],[Quantity]]*Procurement_kpi_Analysis[[#This Row],[Negotiated_Price]]</f>
        <v>12087</v>
      </c>
      <c r="M53" t="str">
        <f>IF(Procurement_kpi_Analysis[[#This Row],[Delivery_Date]]="","",Procurement_kpi_Analysis[[#This Row],[Delivery_Date]]-Procurement_kpi_Analysis[[#This Row],[Order_Date]])</f>
        <v/>
      </c>
      <c r="N53" s="2">
        <f>Procurement_kpi_Analysis[[#This Row],[Defective_Units]]/Procurement_kpi_Analysis[[#This Row],[Quantity]]</f>
        <v>0.16666666666666666</v>
      </c>
      <c r="O53" s="2">
        <f>(Procurement_kpi_Analysis[[#This Row],[Unit_Price]]-Procurement_kpi_Analysis[[#This Row],[Negotiated_Price]])*Procurement_kpi_Analysis[[#This Row],[Quantity]]</f>
        <v>758.87999999999909</v>
      </c>
      <c r="P53" s="2">
        <f>Procurement_kpi_Analysis[[#This Row],[Total Savings]]/Procurement_kpi_Analysis[[#This Row],[Total Spend]]</f>
        <v>6.27848101265822E-2</v>
      </c>
      <c r="Q53" s="2" t="str">
        <f>IF(Procurement_kpi_Analysis[[#This Row],[Lead Time]]&lt;=14,"On Time","Late")</f>
        <v>Late</v>
      </c>
      <c r="R53" s="2">
        <f>Procurement_kpi_Analysis[[#This Row],[Unit_Price]]*Procurement_kpi_Analysis[[#This Row],[Quantity]]</f>
        <v>12845.88</v>
      </c>
      <c r="S53" s="2">
        <f>IF(Procurement_kpi_Analysis[[#This Row],[Compliance]]="Yes",1,0)</f>
        <v>1</v>
      </c>
      <c r="T53" s="2">
        <f>IF(Procurement_kpi_Analysis[[#This Row],[Compliance]]="No",1,0)</f>
        <v>0</v>
      </c>
    </row>
    <row r="54" spans="1:20" x14ac:dyDescent="0.3">
      <c r="A54" t="s">
        <v>79</v>
      </c>
      <c r="B54" t="s">
        <v>12</v>
      </c>
      <c r="C54" s="1">
        <v>44949</v>
      </c>
      <c r="D54" s="1">
        <v>44959</v>
      </c>
      <c r="E54" t="s">
        <v>21</v>
      </c>
      <c r="F54" t="s">
        <v>35</v>
      </c>
      <c r="G54">
        <v>1949</v>
      </c>
      <c r="H54">
        <v>72.53</v>
      </c>
      <c r="I54">
        <v>63.26</v>
      </c>
      <c r="J54">
        <v>48</v>
      </c>
      <c r="K54" t="s">
        <v>27</v>
      </c>
      <c r="L54">
        <f>Procurement_kpi_Analysis[[#This Row],[Quantity]]*Procurement_kpi_Analysis[[#This Row],[Negotiated_Price]]</f>
        <v>123293.73999999999</v>
      </c>
      <c r="M54">
        <f>IF(Procurement_kpi_Analysis[[#This Row],[Delivery_Date]]="","",Procurement_kpi_Analysis[[#This Row],[Delivery_Date]]-Procurement_kpi_Analysis[[#This Row],[Order_Date]])</f>
        <v>10</v>
      </c>
      <c r="N54" s="2">
        <f>Procurement_kpi_Analysis[[#This Row],[Defective_Units]]/Procurement_kpi_Analysis[[#This Row],[Quantity]]</f>
        <v>2.4628014366341714E-2</v>
      </c>
      <c r="O54" s="2">
        <f>(Procurement_kpi_Analysis[[#This Row],[Unit_Price]]-Procurement_kpi_Analysis[[#This Row],[Negotiated_Price]])*Procurement_kpi_Analysis[[#This Row],[Quantity]]</f>
        <v>18067.230000000007</v>
      </c>
      <c r="P54" s="2">
        <f>Procurement_kpi_Analysis[[#This Row],[Total Savings]]/Procurement_kpi_Analysis[[#This Row],[Total Spend]]</f>
        <v>0.14653809674359791</v>
      </c>
      <c r="Q54" s="2" t="str">
        <f>IF(Procurement_kpi_Analysis[[#This Row],[Lead Time]]&lt;=14,"On Time","Late")</f>
        <v>On Time</v>
      </c>
      <c r="R54" s="2">
        <f>Procurement_kpi_Analysis[[#This Row],[Unit_Price]]*Procurement_kpi_Analysis[[#This Row],[Quantity]]</f>
        <v>141360.97</v>
      </c>
      <c r="S54" s="2">
        <f>IF(Procurement_kpi_Analysis[[#This Row],[Compliance]]="Yes",1,0)</f>
        <v>0</v>
      </c>
      <c r="T54" s="2">
        <f>IF(Procurement_kpi_Analysis[[#This Row],[Compliance]]="No",1,0)</f>
        <v>1</v>
      </c>
    </row>
    <row r="55" spans="1:20" x14ac:dyDescent="0.3">
      <c r="A55" t="s">
        <v>80</v>
      </c>
      <c r="B55" t="s">
        <v>17</v>
      </c>
      <c r="C55" s="1">
        <v>44642</v>
      </c>
      <c r="D55" s="1">
        <v>44648</v>
      </c>
      <c r="E55" t="s">
        <v>13</v>
      </c>
      <c r="F55" t="s">
        <v>14</v>
      </c>
      <c r="G55">
        <v>1640</v>
      </c>
      <c r="H55">
        <v>77.92</v>
      </c>
      <c r="I55">
        <v>76.41</v>
      </c>
      <c r="J55">
        <v>262</v>
      </c>
      <c r="K55" t="s">
        <v>27</v>
      </c>
      <c r="L55">
        <f>Procurement_kpi_Analysis[[#This Row],[Quantity]]*Procurement_kpi_Analysis[[#This Row],[Negotiated_Price]]</f>
        <v>125312.4</v>
      </c>
      <c r="M55">
        <f>IF(Procurement_kpi_Analysis[[#This Row],[Delivery_Date]]="","",Procurement_kpi_Analysis[[#This Row],[Delivery_Date]]-Procurement_kpi_Analysis[[#This Row],[Order_Date]])</f>
        <v>6</v>
      </c>
      <c r="N55" s="2">
        <f>Procurement_kpi_Analysis[[#This Row],[Defective_Units]]/Procurement_kpi_Analysis[[#This Row],[Quantity]]</f>
        <v>0.15975609756097561</v>
      </c>
      <c r="O55" s="2">
        <f>(Procurement_kpi_Analysis[[#This Row],[Unit_Price]]-Procurement_kpi_Analysis[[#This Row],[Negotiated_Price]])*Procurement_kpi_Analysis[[#This Row],[Quantity]]</f>
        <v>2476.4000000000083</v>
      </c>
      <c r="P55" s="2">
        <f>Procurement_kpi_Analysis[[#This Row],[Total Savings]]/Procurement_kpi_Analysis[[#This Row],[Total Spend]]</f>
        <v>1.9761811281245979E-2</v>
      </c>
      <c r="Q55" s="2" t="str">
        <f>IF(Procurement_kpi_Analysis[[#This Row],[Lead Time]]&lt;=14,"On Time","Late")</f>
        <v>On Time</v>
      </c>
      <c r="R55" s="2">
        <f>Procurement_kpi_Analysis[[#This Row],[Unit_Price]]*Procurement_kpi_Analysis[[#This Row],[Quantity]]</f>
        <v>127788.8</v>
      </c>
      <c r="S55" s="2">
        <f>IF(Procurement_kpi_Analysis[[#This Row],[Compliance]]="Yes",1,0)</f>
        <v>0</v>
      </c>
      <c r="T55" s="2">
        <f>IF(Procurement_kpi_Analysis[[#This Row],[Compliance]]="No",1,0)</f>
        <v>1</v>
      </c>
    </row>
    <row r="56" spans="1:20" x14ac:dyDescent="0.3">
      <c r="A56" t="s">
        <v>81</v>
      </c>
      <c r="B56" t="s">
        <v>23</v>
      </c>
      <c r="C56" s="1">
        <v>45127</v>
      </c>
      <c r="D56" s="1">
        <v>45145</v>
      </c>
      <c r="E56" t="s">
        <v>39</v>
      </c>
      <c r="F56" t="s">
        <v>18</v>
      </c>
      <c r="G56">
        <v>1317</v>
      </c>
      <c r="H56">
        <v>68.13</v>
      </c>
      <c r="I56">
        <v>60.52</v>
      </c>
      <c r="J56">
        <v>136</v>
      </c>
      <c r="K56" t="s">
        <v>15</v>
      </c>
      <c r="L56">
        <f>Procurement_kpi_Analysis[[#This Row],[Quantity]]*Procurement_kpi_Analysis[[#This Row],[Negotiated_Price]]</f>
        <v>79704.840000000011</v>
      </c>
      <c r="M56">
        <f>IF(Procurement_kpi_Analysis[[#This Row],[Delivery_Date]]="","",Procurement_kpi_Analysis[[#This Row],[Delivery_Date]]-Procurement_kpi_Analysis[[#This Row],[Order_Date]])</f>
        <v>18</v>
      </c>
      <c r="N56" s="2">
        <f>Procurement_kpi_Analysis[[#This Row],[Defective_Units]]/Procurement_kpi_Analysis[[#This Row],[Quantity]]</f>
        <v>0.10326499620349279</v>
      </c>
      <c r="O56" s="2">
        <f>(Procurement_kpi_Analysis[[#This Row],[Unit_Price]]-Procurement_kpi_Analysis[[#This Row],[Negotiated_Price]])*Procurement_kpi_Analysis[[#This Row],[Quantity]]</f>
        <v>10022.36999999999</v>
      </c>
      <c r="P56" s="2">
        <f>Procurement_kpi_Analysis[[#This Row],[Total Savings]]/Procurement_kpi_Analysis[[#This Row],[Total Spend]]</f>
        <v>0.12574355584930588</v>
      </c>
      <c r="Q56" s="2" t="str">
        <f>IF(Procurement_kpi_Analysis[[#This Row],[Lead Time]]&lt;=14,"On Time","Late")</f>
        <v>Late</v>
      </c>
      <c r="R56" s="2">
        <f>Procurement_kpi_Analysis[[#This Row],[Unit_Price]]*Procurement_kpi_Analysis[[#This Row],[Quantity]]</f>
        <v>89727.209999999992</v>
      </c>
      <c r="S56" s="2">
        <f>IF(Procurement_kpi_Analysis[[#This Row],[Compliance]]="Yes",1,0)</f>
        <v>1</v>
      </c>
      <c r="T56" s="2">
        <f>IF(Procurement_kpi_Analysis[[#This Row],[Compliance]]="No",1,0)</f>
        <v>0</v>
      </c>
    </row>
    <row r="57" spans="1:20" x14ac:dyDescent="0.3">
      <c r="A57" t="s">
        <v>82</v>
      </c>
      <c r="B57" t="s">
        <v>29</v>
      </c>
      <c r="C57" s="1">
        <v>44862</v>
      </c>
      <c r="D57" s="1">
        <v>44864</v>
      </c>
      <c r="E57" t="s">
        <v>26</v>
      </c>
      <c r="F57" t="s">
        <v>18</v>
      </c>
      <c r="G57">
        <v>881</v>
      </c>
      <c r="H57">
        <v>100.94</v>
      </c>
      <c r="I57">
        <v>95.05</v>
      </c>
      <c r="J57">
        <v>30</v>
      </c>
      <c r="K57" t="s">
        <v>15</v>
      </c>
      <c r="L57">
        <f>Procurement_kpi_Analysis[[#This Row],[Quantity]]*Procurement_kpi_Analysis[[#This Row],[Negotiated_Price]]</f>
        <v>83739.05</v>
      </c>
      <c r="M57">
        <f>IF(Procurement_kpi_Analysis[[#This Row],[Delivery_Date]]="","",Procurement_kpi_Analysis[[#This Row],[Delivery_Date]]-Procurement_kpi_Analysis[[#This Row],[Order_Date]])</f>
        <v>2</v>
      </c>
      <c r="N57" s="2">
        <f>Procurement_kpi_Analysis[[#This Row],[Defective_Units]]/Procurement_kpi_Analysis[[#This Row],[Quantity]]</f>
        <v>3.4052213393870601E-2</v>
      </c>
      <c r="O57" s="2">
        <f>(Procurement_kpi_Analysis[[#This Row],[Unit_Price]]-Procurement_kpi_Analysis[[#This Row],[Negotiated_Price]])*Procurement_kpi_Analysis[[#This Row],[Quantity]]</f>
        <v>5189.09</v>
      </c>
      <c r="P57" s="2">
        <f>Procurement_kpi_Analysis[[#This Row],[Total Savings]]/Procurement_kpi_Analysis[[#This Row],[Total Spend]]</f>
        <v>6.1967385586533405E-2</v>
      </c>
      <c r="Q57" s="2" t="str">
        <f>IF(Procurement_kpi_Analysis[[#This Row],[Lead Time]]&lt;=14,"On Time","Late")</f>
        <v>On Time</v>
      </c>
      <c r="R57" s="2">
        <f>Procurement_kpi_Analysis[[#This Row],[Unit_Price]]*Procurement_kpi_Analysis[[#This Row],[Quantity]]</f>
        <v>88928.14</v>
      </c>
      <c r="S57" s="2">
        <f>IF(Procurement_kpi_Analysis[[#This Row],[Compliance]]="Yes",1,0)</f>
        <v>1</v>
      </c>
      <c r="T57" s="2">
        <f>IF(Procurement_kpi_Analysis[[#This Row],[Compliance]]="No",1,0)</f>
        <v>0</v>
      </c>
    </row>
    <row r="58" spans="1:20" x14ac:dyDescent="0.3">
      <c r="A58" t="s">
        <v>83</v>
      </c>
      <c r="B58" t="s">
        <v>17</v>
      </c>
      <c r="C58" s="1">
        <v>45205</v>
      </c>
      <c r="D58" s="1"/>
      <c r="E58" t="s">
        <v>24</v>
      </c>
      <c r="F58" t="s">
        <v>18</v>
      </c>
      <c r="G58">
        <v>1578</v>
      </c>
      <c r="H58">
        <v>48.33</v>
      </c>
      <c r="I58">
        <v>42.77</v>
      </c>
      <c r="J58">
        <v>206</v>
      </c>
      <c r="K58" t="s">
        <v>15</v>
      </c>
      <c r="L58">
        <f>Procurement_kpi_Analysis[[#This Row],[Quantity]]*Procurement_kpi_Analysis[[#This Row],[Negotiated_Price]]</f>
        <v>67491.06</v>
      </c>
      <c r="M58" t="str">
        <f>IF(Procurement_kpi_Analysis[[#This Row],[Delivery_Date]]="","",Procurement_kpi_Analysis[[#This Row],[Delivery_Date]]-Procurement_kpi_Analysis[[#This Row],[Order_Date]])</f>
        <v/>
      </c>
      <c r="N58" s="2">
        <f>Procurement_kpi_Analysis[[#This Row],[Defective_Units]]/Procurement_kpi_Analysis[[#This Row],[Quantity]]</f>
        <v>0.13054499366286437</v>
      </c>
      <c r="O58" s="2">
        <f>(Procurement_kpi_Analysis[[#This Row],[Unit_Price]]-Procurement_kpi_Analysis[[#This Row],[Negotiated_Price]])*Procurement_kpi_Analysis[[#This Row],[Quantity]]</f>
        <v>8773.679999999993</v>
      </c>
      <c r="P58" s="2">
        <f>Procurement_kpi_Analysis[[#This Row],[Total Savings]]/Procurement_kpi_Analysis[[#This Row],[Total Spend]]</f>
        <v>0.12999766191255543</v>
      </c>
      <c r="Q58" s="2" t="str">
        <f>IF(Procurement_kpi_Analysis[[#This Row],[Lead Time]]&lt;=14,"On Time","Late")</f>
        <v>Late</v>
      </c>
      <c r="R58" s="2">
        <f>Procurement_kpi_Analysis[[#This Row],[Unit_Price]]*Procurement_kpi_Analysis[[#This Row],[Quantity]]</f>
        <v>76264.739999999991</v>
      </c>
      <c r="S58" s="2">
        <f>IF(Procurement_kpi_Analysis[[#This Row],[Compliance]]="Yes",1,0)</f>
        <v>1</v>
      </c>
      <c r="T58" s="2">
        <f>IF(Procurement_kpi_Analysis[[#This Row],[Compliance]]="No",1,0)</f>
        <v>0</v>
      </c>
    </row>
    <row r="59" spans="1:20" x14ac:dyDescent="0.3">
      <c r="A59" t="s">
        <v>84</v>
      </c>
      <c r="B59" t="s">
        <v>17</v>
      </c>
      <c r="C59" s="1">
        <v>45195</v>
      </c>
      <c r="D59" s="1">
        <v>45200</v>
      </c>
      <c r="E59" t="s">
        <v>21</v>
      </c>
      <c r="F59" t="s">
        <v>18</v>
      </c>
      <c r="G59">
        <v>1204</v>
      </c>
      <c r="H59">
        <v>39.29</v>
      </c>
      <c r="I59">
        <v>35.44</v>
      </c>
      <c r="J59">
        <v>0</v>
      </c>
      <c r="K59" t="s">
        <v>15</v>
      </c>
      <c r="L59">
        <f>Procurement_kpi_Analysis[[#This Row],[Quantity]]*Procurement_kpi_Analysis[[#This Row],[Negotiated_Price]]</f>
        <v>42669.759999999995</v>
      </c>
      <c r="M59">
        <f>IF(Procurement_kpi_Analysis[[#This Row],[Delivery_Date]]="","",Procurement_kpi_Analysis[[#This Row],[Delivery_Date]]-Procurement_kpi_Analysis[[#This Row],[Order_Date]])</f>
        <v>5</v>
      </c>
      <c r="N59" s="2">
        <f>Procurement_kpi_Analysis[[#This Row],[Defective_Units]]/Procurement_kpi_Analysis[[#This Row],[Quantity]]</f>
        <v>0</v>
      </c>
      <c r="O59" s="2">
        <f>(Procurement_kpi_Analysis[[#This Row],[Unit_Price]]-Procurement_kpi_Analysis[[#This Row],[Negotiated_Price]])*Procurement_kpi_Analysis[[#This Row],[Quantity]]</f>
        <v>4635.4000000000015</v>
      </c>
      <c r="P59" s="2">
        <f>Procurement_kpi_Analysis[[#This Row],[Total Savings]]/Procurement_kpi_Analysis[[#This Row],[Total Spend]]</f>
        <v>0.1086343115124154</v>
      </c>
      <c r="Q59" s="2" t="str">
        <f>IF(Procurement_kpi_Analysis[[#This Row],[Lead Time]]&lt;=14,"On Time","Late")</f>
        <v>On Time</v>
      </c>
      <c r="R59" s="2">
        <f>Procurement_kpi_Analysis[[#This Row],[Unit_Price]]*Procurement_kpi_Analysis[[#This Row],[Quantity]]</f>
        <v>47305.159999999996</v>
      </c>
      <c r="S59" s="2">
        <f>IF(Procurement_kpi_Analysis[[#This Row],[Compliance]]="Yes",1,0)</f>
        <v>1</v>
      </c>
      <c r="T59" s="2">
        <f>IF(Procurement_kpi_Analysis[[#This Row],[Compliance]]="No",1,0)</f>
        <v>0</v>
      </c>
    </row>
    <row r="60" spans="1:20" x14ac:dyDescent="0.3">
      <c r="A60" t="s">
        <v>85</v>
      </c>
      <c r="B60" t="s">
        <v>29</v>
      </c>
      <c r="C60" s="1">
        <v>44932</v>
      </c>
      <c r="D60" s="1">
        <v>44948</v>
      </c>
      <c r="E60" t="s">
        <v>21</v>
      </c>
      <c r="F60" t="s">
        <v>35</v>
      </c>
      <c r="G60">
        <v>1558</v>
      </c>
      <c r="H60">
        <v>93.46</v>
      </c>
      <c r="I60">
        <v>91.27</v>
      </c>
      <c r="J60">
        <v>39</v>
      </c>
      <c r="K60" t="s">
        <v>15</v>
      </c>
      <c r="L60">
        <f>Procurement_kpi_Analysis[[#This Row],[Quantity]]*Procurement_kpi_Analysis[[#This Row],[Negotiated_Price]]</f>
        <v>142198.66</v>
      </c>
      <c r="M60">
        <f>IF(Procurement_kpi_Analysis[[#This Row],[Delivery_Date]]="","",Procurement_kpi_Analysis[[#This Row],[Delivery_Date]]-Procurement_kpi_Analysis[[#This Row],[Order_Date]])</f>
        <v>16</v>
      </c>
      <c r="N60" s="2">
        <f>Procurement_kpi_Analysis[[#This Row],[Defective_Units]]/Procurement_kpi_Analysis[[#This Row],[Quantity]]</f>
        <v>2.5032092426187421E-2</v>
      </c>
      <c r="O60" s="2">
        <f>(Procurement_kpi_Analysis[[#This Row],[Unit_Price]]-Procurement_kpi_Analysis[[#This Row],[Negotiated_Price]])*Procurement_kpi_Analysis[[#This Row],[Quantity]]</f>
        <v>3412.0199999999963</v>
      </c>
      <c r="P60" s="2">
        <f>Procurement_kpi_Analysis[[#This Row],[Total Savings]]/Procurement_kpi_Analysis[[#This Row],[Total Spend]]</f>
        <v>2.399474087871149E-2</v>
      </c>
      <c r="Q60" s="2" t="str">
        <f>IF(Procurement_kpi_Analysis[[#This Row],[Lead Time]]&lt;=14,"On Time","Late")</f>
        <v>Late</v>
      </c>
      <c r="R60" s="2">
        <f>Procurement_kpi_Analysis[[#This Row],[Unit_Price]]*Procurement_kpi_Analysis[[#This Row],[Quantity]]</f>
        <v>145610.68</v>
      </c>
      <c r="S60" s="2">
        <f>IF(Procurement_kpi_Analysis[[#This Row],[Compliance]]="Yes",1,0)</f>
        <v>1</v>
      </c>
      <c r="T60" s="2">
        <f>IF(Procurement_kpi_Analysis[[#This Row],[Compliance]]="No",1,0)</f>
        <v>0</v>
      </c>
    </row>
    <row r="61" spans="1:20" x14ac:dyDescent="0.3">
      <c r="A61" t="s">
        <v>86</v>
      </c>
      <c r="B61" t="s">
        <v>12</v>
      </c>
      <c r="C61" s="1">
        <v>45153</v>
      </c>
      <c r="D61" s="1">
        <v>45154</v>
      </c>
      <c r="E61" t="s">
        <v>24</v>
      </c>
      <c r="F61" t="s">
        <v>18</v>
      </c>
      <c r="G61">
        <v>1892</v>
      </c>
      <c r="H61">
        <v>32.99</v>
      </c>
      <c r="I61">
        <v>28.81</v>
      </c>
      <c r="J61">
        <v>35</v>
      </c>
      <c r="K61" t="s">
        <v>15</v>
      </c>
      <c r="L61">
        <f>Procurement_kpi_Analysis[[#This Row],[Quantity]]*Procurement_kpi_Analysis[[#This Row],[Negotiated_Price]]</f>
        <v>54508.52</v>
      </c>
      <c r="M61">
        <f>IF(Procurement_kpi_Analysis[[#This Row],[Delivery_Date]]="","",Procurement_kpi_Analysis[[#This Row],[Delivery_Date]]-Procurement_kpi_Analysis[[#This Row],[Order_Date]])</f>
        <v>1</v>
      </c>
      <c r="N61" s="2">
        <f>Procurement_kpi_Analysis[[#This Row],[Defective_Units]]/Procurement_kpi_Analysis[[#This Row],[Quantity]]</f>
        <v>1.849894291754757E-2</v>
      </c>
      <c r="O61" s="2">
        <f>(Procurement_kpi_Analysis[[#This Row],[Unit_Price]]-Procurement_kpi_Analysis[[#This Row],[Negotiated_Price]])*Procurement_kpi_Analysis[[#This Row],[Quantity]]</f>
        <v>7908.5600000000059</v>
      </c>
      <c r="P61" s="2">
        <f>Procurement_kpi_Analysis[[#This Row],[Total Savings]]/Procurement_kpi_Analysis[[#This Row],[Total Spend]]</f>
        <v>0.1450885109337037</v>
      </c>
      <c r="Q61" s="2" t="str">
        <f>IF(Procurement_kpi_Analysis[[#This Row],[Lead Time]]&lt;=14,"On Time","Late")</f>
        <v>On Time</v>
      </c>
      <c r="R61" s="2">
        <f>Procurement_kpi_Analysis[[#This Row],[Unit_Price]]*Procurement_kpi_Analysis[[#This Row],[Quantity]]</f>
        <v>62417.08</v>
      </c>
      <c r="S61" s="2">
        <f>IF(Procurement_kpi_Analysis[[#This Row],[Compliance]]="Yes",1,0)</f>
        <v>1</v>
      </c>
      <c r="T61" s="2">
        <f>IF(Procurement_kpi_Analysis[[#This Row],[Compliance]]="No",1,0)</f>
        <v>0</v>
      </c>
    </row>
    <row r="62" spans="1:20" x14ac:dyDescent="0.3">
      <c r="A62" t="s">
        <v>87</v>
      </c>
      <c r="B62" t="s">
        <v>29</v>
      </c>
      <c r="C62" s="1">
        <v>44758</v>
      </c>
      <c r="D62" s="1">
        <v>44774</v>
      </c>
      <c r="E62" t="s">
        <v>24</v>
      </c>
      <c r="F62" t="s">
        <v>18</v>
      </c>
      <c r="G62">
        <v>696</v>
      </c>
      <c r="H62">
        <v>99.59</v>
      </c>
      <c r="I62">
        <v>90.18</v>
      </c>
      <c r="J62">
        <v>25</v>
      </c>
      <c r="K62" t="s">
        <v>15</v>
      </c>
      <c r="L62">
        <f>Procurement_kpi_Analysis[[#This Row],[Quantity]]*Procurement_kpi_Analysis[[#This Row],[Negotiated_Price]]</f>
        <v>62765.280000000006</v>
      </c>
      <c r="M62">
        <f>IF(Procurement_kpi_Analysis[[#This Row],[Delivery_Date]]="","",Procurement_kpi_Analysis[[#This Row],[Delivery_Date]]-Procurement_kpi_Analysis[[#This Row],[Order_Date]])</f>
        <v>16</v>
      </c>
      <c r="N62" s="2">
        <f>Procurement_kpi_Analysis[[#This Row],[Defective_Units]]/Procurement_kpi_Analysis[[#This Row],[Quantity]]</f>
        <v>3.5919540229885055E-2</v>
      </c>
      <c r="O62" s="2">
        <f>(Procurement_kpi_Analysis[[#This Row],[Unit_Price]]-Procurement_kpi_Analysis[[#This Row],[Negotiated_Price]])*Procurement_kpi_Analysis[[#This Row],[Quantity]]</f>
        <v>6549.3599999999979</v>
      </c>
      <c r="P62" s="2">
        <f>Procurement_kpi_Analysis[[#This Row],[Total Savings]]/Procurement_kpi_Analysis[[#This Row],[Total Spend]]</f>
        <v>0.10434686183189172</v>
      </c>
      <c r="Q62" s="2" t="str">
        <f>IF(Procurement_kpi_Analysis[[#This Row],[Lead Time]]&lt;=14,"On Time","Late")</f>
        <v>Late</v>
      </c>
      <c r="R62" s="2">
        <f>Procurement_kpi_Analysis[[#This Row],[Unit_Price]]*Procurement_kpi_Analysis[[#This Row],[Quantity]]</f>
        <v>69314.64</v>
      </c>
      <c r="S62" s="2">
        <f>IF(Procurement_kpi_Analysis[[#This Row],[Compliance]]="Yes",1,0)</f>
        <v>1</v>
      </c>
      <c r="T62" s="2">
        <f>IF(Procurement_kpi_Analysis[[#This Row],[Compliance]]="No",1,0)</f>
        <v>0</v>
      </c>
    </row>
    <row r="63" spans="1:20" x14ac:dyDescent="0.3">
      <c r="A63" t="s">
        <v>88</v>
      </c>
      <c r="B63" t="s">
        <v>17</v>
      </c>
      <c r="C63" s="1">
        <v>45283</v>
      </c>
      <c r="D63" s="1">
        <v>45294</v>
      </c>
      <c r="E63" t="s">
        <v>21</v>
      </c>
      <c r="F63" t="s">
        <v>33</v>
      </c>
      <c r="G63">
        <v>70</v>
      </c>
      <c r="H63">
        <v>12.37</v>
      </c>
      <c r="I63">
        <v>11.04</v>
      </c>
      <c r="J63">
        <v>10</v>
      </c>
      <c r="K63" t="s">
        <v>15</v>
      </c>
      <c r="L63">
        <f>Procurement_kpi_Analysis[[#This Row],[Quantity]]*Procurement_kpi_Analysis[[#This Row],[Negotiated_Price]]</f>
        <v>772.8</v>
      </c>
      <c r="M63">
        <f>IF(Procurement_kpi_Analysis[[#This Row],[Delivery_Date]]="","",Procurement_kpi_Analysis[[#This Row],[Delivery_Date]]-Procurement_kpi_Analysis[[#This Row],[Order_Date]])</f>
        <v>11</v>
      </c>
      <c r="N63" s="2">
        <f>Procurement_kpi_Analysis[[#This Row],[Defective_Units]]/Procurement_kpi_Analysis[[#This Row],[Quantity]]</f>
        <v>0.14285714285714285</v>
      </c>
      <c r="O63" s="2">
        <f>(Procurement_kpi_Analysis[[#This Row],[Unit_Price]]-Procurement_kpi_Analysis[[#This Row],[Negotiated_Price]])*Procurement_kpi_Analysis[[#This Row],[Quantity]]</f>
        <v>93.100000000000009</v>
      </c>
      <c r="P63" s="2">
        <f>Procurement_kpi_Analysis[[#This Row],[Total Savings]]/Procurement_kpi_Analysis[[#This Row],[Total Spend]]</f>
        <v>0.12047101449275364</v>
      </c>
      <c r="Q63" s="2" t="str">
        <f>IF(Procurement_kpi_Analysis[[#This Row],[Lead Time]]&lt;=14,"On Time","Late")</f>
        <v>On Time</v>
      </c>
      <c r="R63" s="2">
        <f>Procurement_kpi_Analysis[[#This Row],[Unit_Price]]*Procurement_kpi_Analysis[[#This Row],[Quantity]]</f>
        <v>865.9</v>
      </c>
      <c r="S63" s="2">
        <f>IF(Procurement_kpi_Analysis[[#This Row],[Compliance]]="Yes",1,0)</f>
        <v>1</v>
      </c>
      <c r="T63" s="2">
        <f>IF(Procurement_kpi_Analysis[[#This Row],[Compliance]]="No",1,0)</f>
        <v>0</v>
      </c>
    </row>
    <row r="64" spans="1:20" x14ac:dyDescent="0.3">
      <c r="A64" t="s">
        <v>89</v>
      </c>
      <c r="B64" t="s">
        <v>20</v>
      </c>
      <c r="C64" s="1">
        <v>44633</v>
      </c>
      <c r="D64" s="1">
        <v>44635</v>
      </c>
      <c r="E64" t="s">
        <v>26</v>
      </c>
      <c r="F64" t="s">
        <v>18</v>
      </c>
      <c r="G64">
        <v>890</v>
      </c>
      <c r="H64">
        <v>98.26</v>
      </c>
      <c r="I64">
        <v>93.14</v>
      </c>
      <c r="J64">
        <v>49</v>
      </c>
      <c r="K64" t="s">
        <v>15</v>
      </c>
      <c r="L64">
        <f>Procurement_kpi_Analysis[[#This Row],[Quantity]]*Procurement_kpi_Analysis[[#This Row],[Negotiated_Price]]</f>
        <v>82894.600000000006</v>
      </c>
      <c r="M64">
        <f>IF(Procurement_kpi_Analysis[[#This Row],[Delivery_Date]]="","",Procurement_kpi_Analysis[[#This Row],[Delivery_Date]]-Procurement_kpi_Analysis[[#This Row],[Order_Date]])</f>
        <v>2</v>
      </c>
      <c r="N64" s="2">
        <f>Procurement_kpi_Analysis[[#This Row],[Defective_Units]]/Procurement_kpi_Analysis[[#This Row],[Quantity]]</f>
        <v>5.5056179775280899E-2</v>
      </c>
      <c r="O64" s="2">
        <f>(Procurement_kpi_Analysis[[#This Row],[Unit_Price]]-Procurement_kpi_Analysis[[#This Row],[Negotiated_Price]])*Procurement_kpi_Analysis[[#This Row],[Quantity]]</f>
        <v>4556.8000000000038</v>
      </c>
      <c r="P64" s="2">
        <f>Procurement_kpi_Analysis[[#This Row],[Total Savings]]/Procurement_kpi_Analysis[[#This Row],[Total Spend]]</f>
        <v>5.4971011380717243E-2</v>
      </c>
      <c r="Q64" s="2" t="str">
        <f>IF(Procurement_kpi_Analysis[[#This Row],[Lead Time]]&lt;=14,"On Time","Late")</f>
        <v>On Time</v>
      </c>
      <c r="R64" s="2">
        <f>Procurement_kpi_Analysis[[#This Row],[Unit_Price]]*Procurement_kpi_Analysis[[#This Row],[Quantity]]</f>
        <v>87451.400000000009</v>
      </c>
      <c r="S64" s="2">
        <f>IF(Procurement_kpi_Analysis[[#This Row],[Compliance]]="Yes",1,0)</f>
        <v>1</v>
      </c>
      <c r="T64" s="2">
        <f>IF(Procurement_kpi_Analysis[[#This Row],[Compliance]]="No",1,0)</f>
        <v>0</v>
      </c>
    </row>
    <row r="65" spans="1:20" x14ac:dyDescent="0.3">
      <c r="A65" t="s">
        <v>90</v>
      </c>
      <c r="B65" t="s">
        <v>12</v>
      </c>
      <c r="C65" s="1">
        <v>44608</v>
      </c>
      <c r="D65" s="1">
        <v>44624</v>
      </c>
      <c r="E65" t="s">
        <v>21</v>
      </c>
      <c r="F65" t="s">
        <v>18</v>
      </c>
      <c r="G65">
        <v>216</v>
      </c>
      <c r="H65">
        <v>13.95</v>
      </c>
      <c r="I65">
        <v>12.31</v>
      </c>
      <c r="J65">
        <v>5</v>
      </c>
      <c r="K65" t="s">
        <v>15</v>
      </c>
      <c r="L65">
        <f>Procurement_kpi_Analysis[[#This Row],[Quantity]]*Procurement_kpi_Analysis[[#This Row],[Negotiated_Price]]</f>
        <v>2658.96</v>
      </c>
      <c r="M65">
        <f>IF(Procurement_kpi_Analysis[[#This Row],[Delivery_Date]]="","",Procurement_kpi_Analysis[[#This Row],[Delivery_Date]]-Procurement_kpi_Analysis[[#This Row],[Order_Date]])</f>
        <v>16</v>
      </c>
      <c r="N65" s="2">
        <f>Procurement_kpi_Analysis[[#This Row],[Defective_Units]]/Procurement_kpi_Analysis[[#This Row],[Quantity]]</f>
        <v>2.3148148148148147E-2</v>
      </c>
      <c r="O65" s="2">
        <f>(Procurement_kpi_Analysis[[#This Row],[Unit_Price]]-Procurement_kpi_Analysis[[#This Row],[Negotiated_Price]])*Procurement_kpi_Analysis[[#This Row],[Quantity]]</f>
        <v>354.23999999999972</v>
      </c>
      <c r="P65" s="2">
        <f>Procurement_kpi_Analysis[[#This Row],[Total Savings]]/Procurement_kpi_Analysis[[#This Row],[Total Spend]]</f>
        <v>0.13322502030869202</v>
      </c>
      <c r="Q65" s="2" t="str">
        <f>IF(Procurement_kpi_Analysis[[#This Row],[Lead Time]]&lt;=14,"On Time","Late")</f>
        <v>Late</v>
      </c>
      <c r="R65" s="2">
        <f>Procurement_kpi_Analysis[[#This Row],[Unit_Price]]*Procurement_kpi_Analysis[[#This Row],[Quantity]]</f>
        <v>3013.2</v>
      </c>
      <c r="S65" s="2">
        <f>IF(Procurement_kpi_Analysis[[#This Row],[Compliance]]="Yes",1,0)</f>
        <v>1</v>
      </c>
      <c r="T65" s="2">
        <f>IF(Procurement_kpi_Analysis[[#This Row],[Compliance]]="No",1,0)</f>
        <v>0</v>
      </c>
    </row>
    <row r="66" spans="1:20" x14ac:dyDescent="0.3">
      <c r="A66" t="s">
        <v>91</v>
      </c>
      <c r="B66" t="s">
        <v>17</v>
      </c>
      <c r="C66" s="1">
        <v>45239</v>
      </c>
      <c r="D66" s="1">
        <v>45242</v>
      </c>
      <c r="E66" t="s">
        <v>24</v>
      </c>
      <c r="F66" t="s">
        <v>18</v>
      </c>
      <c r="G66">
        <v>1347</v>
      </c>
      <c r="H66">
        <v>100.13</v>
      </c>
      <c r="I66">
        <v>94.3</v>
      </c>
      <c r="J66">
        <v>200</v>
      </c>
      <c r="K66" t="s">
        <v>15</v>
      </c>
      <c r="L66">
        <f>Procurement_kpi_Analysis[[#This Row],[Quantity]]*Procurement_kpi_Analysis[[#This Row],[Negotiated_Price]]</f>
        <v>127022.09999999999</v>
      </c>
      <c r="M66">
        <f>IF(Procurement_kpi_Analysis[[#This Row],[Delivery_Date]]="","",Procurement_kpi_Analysis[[#This Row],[Delivery_Date]]-Procurement_kpi_Analysis[[#This Row],[Order_Date]])</f>
        <v>3</v>
      </c>
      <c r="N66" s="2">
        <f>Procurement_kpi_Analysis[[#This Row],[Defective_Units]]/Procurement_kpi_Analysis[[#This Row],[Quantity]]</f>
        <v>0.14847809948032664</v>
      </c>
      <c r="O66" s="2">
        <f>(Procurement_kpi_Analysis[[#This Row],[Unit_Price]]-Procurement_kpi_Analysis[[#This Row],[Negotiated_Price]])*Procurement_kpi_Analysis[[#This Row],[Quantity]]</f>
        <v>7853.0099999999975</v>
      </c>
      <c r="P66" s="2">
        <f>Procurement_kpi_Analysis[[#This Row],[Total Savings]]/Procurement_kpi_Analysis[[#This Row],[Total Spend]]</f>
        <v>6.1823966065747596E-2</v>
      </c>
      <c r="Q66" s="2" t="str">
        <f>IF(Procurement_kpi_Analysis[[#This Row],[Lead Time]]&lt;=14,"On Time","Late")</f>
        <v>On Time</v>
      </c>
      <c r="R66" s="2">
        <f>Procurement_kpi_Analysis[[#This Row],[Unit_Price]]*Procurement_kpi_Analysis[[#This Row],[Quantity]]</f>
        <v>134875.10999999999</v>
      </c>
      <c r="S66" s="2">
        <f>IF(Procurement_kpi_Analysis[[#This Row],[Compliance]]="Yes",1,0)</f>
        <v>1</v>
      </c>
      <c r="T66" s="2">
        <f>IF(Procurement_kpi_Analysis[[#This Row],[Compliance]]="No",1,0)</f>
        <v>0</v>
      </c>
    </row>
    <row r="67" spans="1:20" x14ac:dyDescent="0.3">
      <c r="A67" t="s">
        <v>92</v>
      </c>
      <c r="B67" t="s">
        <v>20</v>
      </c>
      <c r="C67" s="1">
        <v>44795</v>
      </c>
      <c r="D67" s="1">
        <v>44798</v>
      </c>
      <c r="E67" t="s">
        <v>13</v>
      </c>
      <c r="F67" t="s">
        <v>33</v>
      </c>
      <c r="G67">
        <v>437</v>
      </c>
      <c r="H67">
        <v>59.51</v>
      </c>
      <c r="I67">
        <v>56.45</v>
      </c>
      <c r="J67">
        <v>25</v>
      </c>
      <c r="K67" t="s">
        <v>27</v>
      </c>
      <c r="L67">
        <f>Procurement_kpi_Analysis[[#This Row],[Quantity]]*Procurement_kpi_Analysis[[#This Row],[Negotiated_Price]]</f>
        <v>24668.65</v>
      </c>
      <c r="M67">
        <f>IF(Procurement_kpi_Analysis[[#This Row],[Delivery_Date]]="","",Procurement_kpi_Analysis[[#This Row],[Delivery_Date]]-Procurement_kpi_Analysis[[#This Row],[Order_Date]])</f>
        <v>3</v>
      </c>
      <c r="N67" s="2">
        <f>Procurement_kpi_Analysis[[#This Row],[Defective_Units]]/Procurement_kpi_Analysis[[#This Row],[Quantity]]</f>
        <v>5.7208237986270026E-2</v>
      </c>
      <c r="O67" s="2">
        <f>(Procurement_kpi_Analysis[[#This Row],[Unit_Price]]-Procurement_kpi_Analysis[[#This Row],[Negotiated_Price]])*Procurement_kpi_Analysis[[#This Row],[Quantity]]</f>
        <v>1337.219999999998</v>
      </c>
      <c r="P67" s="2">
        <f>Procurement_kpi_Analysis[[#This Row],[Total Savings]]/Procurement_kpi_Analysis[[#This Row],[Total Spend]]</f>
        <v>5.4207263064658902E-2</v>
      </c>
      <c r="Q67" s="2" t="str">
        <f>IF(Procurement_kpi_Analysis[[#This Row],[Lead Time]]&lt;=14,"On Time","Late")</f>
        <v>On Time</v>
      </c>
      <c r="R67" s="2">
        <f>Procurement_kpi_Analysis[[#This Row],[Unit_Price]]*Procurement_kpi_Analysis[[#This Row],[Quantity]]</f>
        <v>26005.87</v>
      </c>
      <c r="S67" s="2">
        <f>IF(Procurement_kpi_Analysis[[#This Row],[Compliance]]="Yes",1,0)</f>
        <v>0</v>
      </c>
      <c r="T67" s="2">
        <f>IF(Procurement_kpi_Analysis[[#This Row],[Compliance]]="No",1,0)</f>
        <v>1</v>
      </c>
    </row>
    <row r="68" spans="1:20" x14ac:dyDescent="0.3">
      <c r="A68" t="s">
        <v>93</v>
      </c>
      <c r="B68" t="s">
        <v>12</v>
      </c>
      <c r="C68" s="1">
        <v>44858</v>
      </c>
      <c r="D68" s="1">
        <v>44860</v>
      </c>
      <c r="E68" t="s">
        <v>39</v>
      </c>
      <c r="F68" t="s">
        <v>18</v>
      </c>
      <c r="G68">
        <v>650</v>
      </c>
      <c r="H68">
        <v>103.84</v>
      </c>
      <c r="I68">
        <v>88.28</v>
      </c>
      <c r="J68">
        <v>12</v>
      </c>
      <c r="K68" t="s">
        <v>15</v>
      </c>
      <c r="L68">
        <f>Procurement_kpi_Analysis[[#This Row],[Quantity]]*Procurement_kpi_Analysis[[#This Row],[Negotiated_Price]]</f>
        <v>57382</v>
      </c>
      <c r="M68">
        <f>IF(Procurement_kpi_Analysis[[#This Row],[Delivery_Date]]="","",Procurement_kpi_Analysis[[#This Row],[Delivery_Date]]-Procurement_kpi_Analysis[[#This Row],[Order_Date]])</f>
        <v>2</v>
      </c>
      <c r="N68" s="2">
        <f>Procurement_kpi_Analysis[[#This Row],[Defective_Units]]/Procurement_kpi_Analysis[[#This Row],[Quantity]]</f>
        <v>1.8461538461538463E-2</v>
      </c>
      <c r="O68" s="2">
        <f>(Procurement_kpi_Analysis[[#This Row],[Unit_Price]]-Procurement_kpi_Analysis[[#This Row],[Negotiated_Price]])*Procurement_kpi_Analysis[[#This Row],[Quantity]]</f>
        <v>10114.000000000002</v>
      </c>
      <c r="P68" s="2">
        <f>Procurement_kpi_Analysis[[#This Row],[Total Savings]]/Procurement_kpi_Analysis[[#This Row],[Total Spend]]</f>
        <v>0.17625736293611241</v>
      </c>
      <c r="Q68" s="2" t="str">
        <f>IF(Procurement_kpi_Analysis[[#This Row],[Lead Time]]&lt;=14,"On Time","Late")</f>
        <v>On Time</v>
      </c>
      <c r="R68" s="2">
        <f>Procurement_kpi_Analysis[[#This Row],[Unit_Price]]*Procurement_kpi_Analysis[[#This Row],[Quantity]]</f>
        <v>67496</v>
      </c>
      <c r="S68" s="2">
        <f>IF(Procurement_kpi_Analysis[[#This Row],[Compliance]]="Yes",1,0)</f>
        <v>1</v>
      </c>
      <c r="T68" s="2">
        <f>IF(Procurement_kpi_Analysis[[#This Row],[Compliance]]="No",1,0)</f>
        <v>0</v>
      </c>
    </row>
    <row r="69" spans="1:20" x14ac:dyDescent="0.3">
      <c r="A69" t="s">
        <v>94</v>
      </c>
      <c r="B69" t="s">
        <v>23</v>
      </c>
      <c r="C69" s="1">
        <v>44643</v>
      </c>
      <c r="D69" s="1">
        <v>44662</v>
      </c>
      <c r="E69" t="s">
        <v>13</v>
      </c>
      <c r="F69" t="s">
        <v>18</v>
      </c>
      <c r="G69">
        <v>365</v>
      </c>
      <c r="H69">
        <v>16.809999999999999</v>
      </c>
      <c r="I69">
        <v>15.41</v>
      </c>
      <c r="J69">
        <v>38</v>
      </c>
      <c r="K69" t="s">
        <v>15</v>
      </c>
      <c r="L69">
        <f>Procurement_kpi_Analysis[[#This Row],[Quantity]]*Procurement_kpi_Analysis[[#This Row],[Negotiated_Price]]</f>
        <v>5624.65</v>
      </c>
      <c r="M69">
        <f>IF(Procurement_kpi_Analysis[[#This Row],[Delivery_Date]]="","",Procurement_kpi_Analysis[[#This Row],[Delivery_Date]]-Procurement_kpi_Analysis[[#This Row],[Order_Date]])</f>
        <v>19</v>
      </c>
      <c r="N69" s="2">
        <f>Procurement_kpi_Analysis[[#This Row],[Defective_Units]]/Procurement_kpi_Analysis[[#This Row],[Quantity]]</f>
        <v>0.10410958904109589</v>
      </c>
      <c r="O69" s="2">
        <f>(Procurement_kpi_Analysis[[#This Row],[Unit_Price]]-Procurement_kpi_Analysis[[#This Row],[Negotiated_Price]])*Procurement_kpi_Analysis[[#This Row],[Quantity]]</f>
        <v>510.99999999999949</v>
      </c>
      <c r="P69" s="2">
        <f>Procurement_kpi_Analysis[[#This Row],[Total Savings]]/Procurement_kpi_Analysis[[#This Row],[Total Spend]]</f>
        <v>9.0850097339389924E-2</v>
      </c>
      <c r="Q69" s="2" t="str">
        <f>IF(Procurement_kpi_Analysis[[#This Row],[Lead Time]]&lt;=14,"On Time","Late")</f>
        <v>Late</v>
      </c>
      <c r="R69" s="2">
        <f>Procurement_kpi_Analysis[[#This Row],[Unit_Price]]*Procurement_kpi_Analysis[[#This Row],[Quantity]]</f>
        <v>6135.65</v>
      </c>
      <c r="S69" s="2">
        <f>IF(Procurement_kpi_Analysis[[#This Row],[Compliance]]="Yes",1,0)</f>
        <v>1</v>
      </c>
      <c r="T69" s="2">
        <f>IF(Procurement_kpi_Analysis[[#This Row],[Compliance]]="No",1,0)</f>
        <v>0</v>
      </c>
    </row>
    <row r="70" spans="1:20" x14ac:dyDescent="0.3">
      <c r="A70" t="s">
        <v>95</v>
      </c>
      <c r="B70" t="s">
        <v>29</v>
      </c>
      <c r="C70" s="1">
        <v>44800</v>
      </c>
      <c r="D70" s="1"/>
      <c r="E70" t="s">
        <v>26</v>
      </c>
      <c r="F70" t="s">
        <v>14</v>
      </c>
      <c r="G70">
        <v>63</v>
      </c>
      <c r="H70">
        <v>61.94</v>
      </c>
      <c r="I70">
        <v>53.8</v>
      </c>
      <c r="J70">
        <v>0</v>
      </c>
      <c r="K70" t="s">
        <v>15</v>
      </c>
      <c r="L70">
        <f>Procurement_kpi_Analysis[[#This Row],[Quantity]]*Procurement_kpi_Analysis[[#This Row],[Negotiated_Price]]</f>
        <v>3389.3999999999996</v>
      </c>
      <c r="M70" t="str">
        <f>IF(Procurement_kpi_Analysis[[#This Row],[Delivery_Date]]="","",Procurement_kpi_Analysis[[#This Row],[Delivery_Date]]-Procurement_kpi_Analysis[[#This Row],[Order_Date]])</f>
        <v/>
      </c>
      <c r="N70" s="2">
        <f>Procurement_kpi_Analysis[[#This Row],[Defective_Units]]/Procurement_kpi_Analysis[[#This Row],[Quantity]]</f>
        <v>0</v>
      </c>
      <c r="O70" s="2">
        <f>(Procurement_kpi_Analysis[[#This Row],[Unit_Price]]-Procurement_kpi_Analysis[[#This Row],[Negotiated_Price]])*Procurement_kpi_Analysis[[#This Row],[Quantity]]</f>
        <v>512.82000000000005</v>
      </c>
      <c r="P70" s="2">
        <f>Procurement_kpi_Analysis[[#This Row],[Total Savings]]/Procurement_kpi_Analysis[[#This Row],[Total Spend]]</f>
        <v>0.15130111524163573</v>
      </c>
      <c r="Q70" s="2" t="str">
        <f>IF(Procurement_kpi_Analysis[[#This Row],[Lead Time]]&lt;=14,"On Time","Late")</f>
        <v>Late</v>
      </c>
      <c r="R70" s="2">
        <f>Procurement_kpi_Analysis[[#This Row],[Unit_Price]]*Procurement_kpi_Analysis[[#This Row],[Quantity]]</f>
        <v>3902.22</v>
      </c>
      <c r="S70" s="2">
        <f>IF(Procurement_kpi_Analysis[[#This Row],[Compliance]]="Yes",1,0)</f>
        <v>1</v>
      </c>
      <c r="T70" s="2">
        <f>IF(Procurement_kpi_Analysis[[#This Row],[Compliance]]="No",1,0)</f>
        <v>0</v>
      </c>
    </row>
    <row r="71" spans="1:20" x14ac:dyDescent="0.3">
      <c r="A71" t="s">
        <v>96</v>
      </c>
      <c r="B71" t="s">
        <v>12</v>
      </c>
      <c r="C71" s="1">
        <v>44665</v>
      </c>
      <c r="D71" s="1">
        <v>44673</v>
      </c>
      <c r="E71" t="s">
        <v>21</v>
      </c>
      <c r="F71" t="s">
        <v>18</v>
      </c>
      <c r="G71">
        <v>291</v>
      </c>
      <c r="H71">
        <v>98.7</v>
      </c>
      <c r="I71">
        <v>87.02</v>
      </c>
      <c r="J71">
        <v>9</v>
      </c>
      <c r="K71" t="s">
        <v>15</v>
      </c>
      <c r="L71">
        <f>Procurement_kpi_Analysis[[#This Row],[Quantity]]*Procurement_kpi_Analysis[[#This Row],[Negotiated_Price]]</f>
        <v>25322.82</v>
      </c>
      <c r="M71">
        <f>IF(Procurement_kpi_Analysis[[#This Row],[Delivery_Date]]="","",Procurement_kpi_Analysis[[#This Row],[Delivery_Date]]-Procurement_kpi_Analysis[[#This Row],[Order_Date]])</f>
        <v>8</v>
      </c>
      <c r="N71" s="2">
        <f>Procurement_kpi_Analysis[[#This Row],[Defective_Units]]/Procurement_kpi_Analysis[[#This Row],[Quantity]]</f>
        <v>3.0927835051546393E-2</v>
      </c>
      <c r="O71" s="2">
        <f>(Procurement_kpi_Analysis[[#This Row],[Unit_Price]]-Procurement_kpi_Analysis[[#This Row],[Negotiated_Price]])*Procurement_kpi_Analysis[[#This Row],[Quantity]]</f>
        <v>3398.8800000000019</v>
      </c>
      <c r="P71" s="2">
        <f>Procurement_kpi_Analysis[[#This Row],[Total Savings]]/Procurement_kpi_Analysis[[#This Row],[Total Spend]]</f>
        <v>0.13422201792691343</v>
      </c>
      <c r="Q71" s="2" t="str">
        <f>IF(Procurement_kpi_Analysis[[#This Row],[Lead Time]]&lt;=14,"On Time","Late")</f>
        <v>On Time</v>
      </c>
      <c r="R71" s="2">
        <f>Procurement_kpi_Analysis[[#This Row],[Unit_Price]]*Procurement_kpi_Analysis[[#This Row],[Quantity]]</f>
        <v>28721.7</v>
      </c>
      <c r="S71" s="2">
        <f>IF(Procurement_kpi_Analysis[[#This Row],[Compliance]]="Yes",1,0)</f>
        <v>1</v>
      </c>
      <c r="T71" s="2">
        <f>IF(Procurement_kpi_Analysis[[#This Row],[Compliance]]="No",1,0)</f>
        <v>0</v>
      </c>
    </row>
    <row r="72" spans="1:20" x14ac:dyDescent="0.3">
      <c r="A72" t="s">
        <v>97</v>
      </c>
      <c r="B72" t="s">
        <v>12</v>
      </c>
      <c r="C72" s="1">
        <v>44951</v>
      </c>
      <c r="D72" s="1">
        <v>44965</v>
      </c>
      <c r="E72" t="s">
        <v>21</v>
      </c>
      <c r="F72" t="s">
        <v>14</v>
      </c>
      <c r="G72">
        <v>826</v>
      </c>
      <c r="H72">
        <v>60.5</v>
      </c>
      <c r="I72">
        <v>57.18</v>
      </c>
      <c r="J72">
        <v>18</v>
      </c>
      <c r="K72" t="s">
        <v>15</v>
      </c>
      <c r="L72">
        <f>Procurement_kpi_Analysis[[#This Row],[Quantity]]*Procurement_kpi_Analysis[[#This Row],[Negotiated_Price]]</f>
        <v>47230.68</v>
      </c>
      <c r="M72">
        <f>IF(Procurement_kpi_Analysis[[#This Row],[Delivery_Date]]="","",Procurement_kpi_Analysis[[#This Row],[Delivery_Date]]-Procurement_kpi_Analysis[[#This Row],[Order_Date]])</f>
        <v>14</v>
      </c>
      <c r="N72" s="2">
        <f>Procurement_kpi_Analysis[[#This Row],[Defective_Units]]/Procurement_kpi_Analysis[[#This Row],[Quantity]]</f>
        <v>2.1791767554479417E-2</v>
      </c>
      <c r="O72" s="2">
        <f>(Procurement_kpi_Analysis[[#This Row],[Unit_Price]]-Procurement_kpi_Analysis[[#This Row],[Negotiated_Price]])*Procurement_kpi_Analysis[[#This Row],[Quantity]]</f>
        <v>2742.32</v>
      </c>
      <c r="P72" s="2">
        <f>Procurement_kpi_Analysis[[#This Row],[Total Savings]]/Procurement_kpi_Analysis[[#This Row],[Total Spend]]</f>
        <v>5.8062259531304658E-2</v>
      </c>
      <c r="Q72" s="2" t="str">
        <f>IF(Procurement_kpi_Analysis[[#This Row],[Lead Time]]&lt;=14,"On Time","Late")</f>
        <v>On Time</v>
      </c>
      <c r="R72" s="2">
        <f>Procurement_kpi_Analysis[[#This Row],[Unit_Price]]*Procurement_kpi_Analysis[[#This Row],[Quantity]]</f>
        <v>49973</v>
      </c>
      <c r="S72" s="2">
        <f>IF(Procurement_kpi_Analysis[[#This Row],[Compliance]]="Yes",1,0)</f>
        <v>1</v>
      </c>
      <c r="T72" s="2">
        <f>IF(Procurement_kpi_Analysis[[#This Row],[Compliance]]="No",1,0)</f>
        <v>0</v>
      </c>
    </row>
    <row r="73" spans="1:20" x14ac:dyDescent="0.3">
      <c r="A73" t="s">
        <v>98</v>
      </c>
      <c r="B73" t="s">
        <v>17</v>
      </c>
      <c r="C73" s="1">
        <v>44846</v>
      </c>
      <c r="D73" s="1">
        <v>44866</v>
      </c>
      <c r="E73" t="s">
        <v>39</v>
      </c>
      <c r="F73" t="s">
        <v>35</v>
      </c>
      <c r="G73">
        <v>1419</v>
      </c>
      <c r="H73">
        <v>69.64</v>
      </c>
      <c r="I73">
        <v>59.28</v>
      </c>
      <c r="J73">
        <v>194</v>
      </c>
      <c r="K73" t="s">
        <v>15</v>
      </c>
      <c r="L73">
        <f>Procurement_kpi_Analysis[[#This Row],[Quantity]]*Procurement_kpi_Analysis[[#This Row],[Negotiated_Price]]</f>
        <v>84118.32</v>
      </c>
      <c r="M73">
        <f>IF(Procurement_kpi_Analysis[[#This Row],[Delivery_Date]]="","",Procurement_kpi_Analysis[[#This Row],[Delivery_Date]]-Procurement_kpi_Analysis[[#This Row],[Order_Date]])</f>
        <v>20</v>
      </c>
      <c r="N73" s="2">
        <f>Procurement_kpi_Analysis[[#This Row],[Defective_Units]]/Procurement_kpi_Analysis[[#This Row],[Quantity]]</f>
        <v>0.13671599718111346</v>
      </c>
      <c r="O73" s="2">
        <f>(Procurement_kpi_Analysis[[#This Row],[Unit_Price]]-Procurement_kpi_Analysis[[#This Row],[Negotiated_Price]])*Procurement_kpi_Analysis[[#This Row],[Quantity]]</f>
        <v>14700.839999999998</v>
      </c>
      <c r="P73" s="2">
        <f>Procurement_kpi_Analysis[[#This Row],[Total Savings]]/Procurement_kpi_Analysis[[#This Row],[Total Spend]]</f>
        <v>0.17476383265856946</v>
      </c>
      <c r="Q73" s="2" t="str">
        <f>IF(Procurement_kpi_Analysis[[#This Row],[Lead Time]]&lt;=14,"On Time","Late")</f>
        <v>Late</v>
      </c>
      <c r="R73" s="2">
        <f>Procurement_kpi_Analysis[[#This Row],[Unit_Price]]*Procurement_kpi_Analysis[[#This Row],[Quantity]]</f>
        <v>98819.16</v>
      </c>
      <c r="S73" s="2">
        <f>IF(Procurement_kpi_Analysis[[#This Row],[Compliance]]="Yes",1,0)</f>
        <v>1</v>
      </c>
      <c r="T73" s="2">
        <f>IF(Procurement_kpi_Analysis[[#This Row],[Compliance]]="No",1,0)</f>
        <v>0</v>
      </c>
    </row>
    <row r="74" spans="1:20" x14ac:dyDescent="0.3">
      <c r="A74" t="s">
        <v>99</v>
      </c>
      <c r="B74" t="s">
        <v>20</v>
      </c>
      <c r="C74" s="1">
        <v>45026</v>
      </c>
      <c r="D74" s="1">
        <v>45043</v>
      </c>
      <c r="E74" t="s">
        <v>13</v>
      </c>
      <c r="F74" t="s">
        <v>18</v>
      </c>
      <c r="G74">
        <v>614</v>
      </c>
      <c r="H74">
        <v>78.06</v>
      </c>
      <c r="I74">
        <v>73.95</v>
      </c>
      <c r="J74">
        <v>40</v>
      </c>
      <c r="K74" t="s">
        <v>15</v>
      </c>
      <c r="L74">
        <f>Procurement_kpi_Analysis[[#This Row],[Quantity]]*Procurement_kpi_Analysis[[#This Row],[Negotiated_Price]]</f>
        <v>45405.3</v>
      </c>
      <c r="M74">
        <f>IF(Procurement_kpi_Analysis[[#This Row],[Delivery_Date]]="","",Procurement_kpi_Analysis[[#This Row],[Delivery_Date]]-Procurement_kpi_Analysis[[#This Row],[Order_Date]])</f>
        <v>17</v>
      </c>
      <c r="N74" s="2">
        <f>Procurement_kpi_Analysis[[#This Row],[Defective_Units]]/Procurement_kpi_Analysis[[#This Row],[Quantity]]</f>
        <v>6.5146579804560262E-2</v>
      </c>
      <c r="O74" s="2">
        <f>(Procurement_kpi_Analysis[[#This Row],[Unit_Price]]-Procurement_kpi_Analysis[[#This Row],[Negotiated_Price]])*Procurement_kpi_Analysis[[#This Row],[Quantity]]</f>
        <v>2523.5399999999995</v>
      </c>
      <c r="P74" s="2">
        <f>Procurement_kpi_Analysis[[#This Row],[Total Savings]]/Procurement_kpi_Analysis[[#This Row],[Total Spend]]</f>
        <v>5.5578093306288018E-2</v>
      </c>
      <c r="Q74" s="2" t="str">
        <f>IF(Procurement_kpi_Analysis[[#This Row],[Lead Time]]&lt;=14,"On Time","Late")</f>
        <v>Late</v>
      </c>
      <c r="R74" s="2">
        <f>Procurement_kpi_Analysis[[#This Row],[Unit_Price]]*Procurement_kpi_Analysis[[#This Row],[Quantity]]</f>
        <v>47928.840000000004</v>
      </c>
      <c r="S74" s="2">
        <f>IF(Procurement_kpi_Analysis[[#This Row],[Compliance]]="Yes",1,0)</f>
        <v>1</v>
      </c>
      <c r="T74" s="2">
        <f>IF(Procurement_kpi_Analysis[[#This Row],[Compliance]]="No",1,0)</f>
        <v>0</v>
      </c>
    </row>
    <row r="75" spans="1:20" x14ac:dyDescent="0.3">
      <c r="A75" t="s">
        <v>100</v>
      </c>
      <c r="B75" t="s">
        <v>12</v>
      </c>
      <c r="C75" s="1">
        <v>45212</v>
      </c>
      <c r="D75" s="1">
        <v>45227</v>
      </c>
      <c r="E75" t="s">
        <v>39</v>
      </c>
      <c r="F75" t="s">
        <v>18</v>
      </c>
      <c r="G75">
        <v>947</v>
      </c>
      <c r="H75">
        <v>56.25</v>
      </c>
      <c r="I75">
        <v>54.25</v>
      </c>
      <c r="J75">
        <v>19</v>
      </c>
      <c r="K75" t="s">
        <v>15</v>
      </c>
      <c r="L75">
        <f>Procurement_kpi_Analysis[[#This Row],[Quantity]]*Procurement_kpi_Analysis[[#This Row],[Negotiated_Price]]</f>
        <v>51374.75</v>
      </c>
      <c r="M75">
        <f>IF(Procurement_kpi_Analysis[[#This Row],[Delivery_Date]]="","",Procurement_kpi_Analysis[[#This Row],[Delivery_Date]]-Procurement_kpi_Analysis[[#This Row],[Order_Date]])</f>
        <v>15</v>
      </c>
      <c r="N75" s="2">
        <f>Procurement_kpi_Analysis[[#This Row],[Defective_Units]]/Procurement_kpi_Analysis[[#This Row],[Quantity]]</f>
        <v>2.0063357972544878E-2</v>
      </c>
      <c r="O75" s="2">
        <f>(Procurement_kpi_Analysis[[#This Row],[Unit_Price]]-Procurement_kpi_Analysis[[#This Row],[Negotiated_Price]])*Procurement_kpi_Analysis[[#This Row],[Quantity]]</f>
        <v>1894</v>
      </c>
      <c r="P75" s="2">
        <f>Procurement_kpi_Analysis[[#This Row],[Total Savings]]/Procurement_kpi_Analysis[[#This Row],[Total Spend]]</f>
        <v>3.6866359447004608E-2</v>
      </c>
      <c r="Q75" s="2" t="str">
        <f>IF(Procurement_kpi_Analysis[[#This Row],[Lead Time]]&lt;=14,"On Time","Late")</f>
        <v>Late</v>
      </c>
      <c r="R75" s="2">
        <f>Procurement_kpi_Analysis[[#This Row],[Unit_Price]]*Procurement_kpi_Analysis[[#This Row],[Quantity]]</f>
        <v>53268.75</v>
      </c>
      <c r="S75" s="2">
        <f>IF(Procurement_kpi_Analysis[[#This Row],[Compliance]]="Yes",1,0)</f>
        <v>1</v>
      </c>
      <c r="T75" s="2">
        <f>IF(Procurement_kpi_Analysis[[#This Row],[Compliance]]="No",1,0)</f>
        <v>0</v>
      </c>
    </row>
    <row r="76" spans="1:20" x14ac:dyDescent="0.3">
      <c r="A76" t="s">
        <v>101</v>
      </c>
      <c r="B76" t="s">
        <v>29</v>
      </c>
      <c r="C76" s="1">
        <v>44935</v>
      </c>
      <c r="D76" s="1">
        <v>44954</v>
      </c>
      <c r="E76" t="s">
        <v>26</v>
      </c>
      <c r="F76" t="s">
        <v>18</v>
      </c>
      <c r="G76">
        <v>1413</v>
      </c>
      <c r="H76">
        <v>70.47</v>
      </c>
      <c r="I76">
        <v>69.650000000000006</v>
      </c>
      <c r="J76">
        <v>0</v>
      </c>
      <c r="K76" t="s">
        <v>15</v>
      </c>
      <c r="L76">
        <f>Procurement_kpi_Analysis[[#This Row],[Quantity]]*Procurement_kpi_Analysis[[#This Row],[Negotiated_Price]]</f>
        <v>98415.450000000012</v>
      </c>
      <c r="M76">
        <f>IF(Procurement_kpi_Analysis[[#This Row],[Delivery_Date]]="","",Procurement_kpi_Analysis[[#This Row],[Delivery_Date]]-Procurement_kpi_Analysis[[#This Row],[Order_Date]])</f>
        <v>19</v>
      </c>
      <c r="N76" s="2">
        <f>Procurement_kpi_Analysis[[#This Row],[Defective_Units]]/Procurement_kpi_Analysis[[#This Row],[Quantity]]</f>
        <v>0</v>
      </c>
      <c r="O76" s="2">
        <f>(Procurement_kpi_Analysis[[#This Row],[Unit_Price]]-Procurement_kpi_Analysis[[#This Row],[Negotiated_Price]])*Procurement_kpi_Analysis[[#This Row],[Quantity]]</f>
        <v>1158.6599999999903</v>
      </c>
      <c r="P76" s="2">
        <f>Procurement_kpi_Analysis[[#This Row],[Total Savings]]/Procurement_kpi_Analysis[[#This Row],[Total Spend]]</f>
        <v>1.1773151471643834E-2</v>
      </c>
      <c r="Q76" s="2" t="str">
        <f>IF(Procurement_kpi_Analysis[[#This Row],[Lead Time]]&lt;=14,"On Time","Late")</f>
        <v>Late</v>
      </c>
      <c r="R76" s="2">
        <f>Procurement_kpi_Analysis[[#This Row],[Unit_Price]]*Procurement_kpi_Analysis[[#This Row],[Quantity]]</f>
        <v>99574.11</v>
      </c>
      <c r="S76" s="2">
        <f>IF(Procurement_kpi_Analysis[[#This Row],[Compliance]]="Yes",1,0)</f>
        <v>1</v>
      </c>
      <c r="T76" s="2">
        <f>IF(Procurement_kpi_Analysis[[#This Row],[Compliance]]="No",1,0)</f>
        <v>0</v>
      </c>
    </row>
    <row r="77" spans="1:20" x14ac:dyDescent="0.3">
      <c r="A77" t="s">
        <v>102</v>
      </c>
      <c r="B77" t="s">
        <v>12</v>
      </c>
      <c r="C77" s="1">
        <v>44728</v>
      </c>
      <c r="D77" s="1"/>
      <c r="E77" t="s">
        <v>13</v>
      </c>
      <c r="F77" t="s">
        <v>33</v>
      </c>
      <c r="G77">
        <v>141</v>
      </c>
      <c r="H77">
        <v>64.150000000000006</v>
      </c>
      <c r="I77">
        <v>58.32</v>
      </c>
      <c r="J77">
        <v>0</v>
      </c>
      <c r="K77" t="s">
        <v>15</v>
      </c>
      <c r="L77">
        <f>Procurement_kpi_Analysis[[#This Row],[Quantity]]*Procurement_kpi_Analysis[[#This Row],[Negotiated_Price]]</f>
        <v>8223.1200000000008</v>
      </c>
      <c r="M77" t="str">
        <f>IF(Procurement_kpi_Analysis[[#This Row],[Delivery_Date]]="","",Procurement_kpi_Analysis[[#This Row],[Delivery_Date]]-Procurement_kpi_Analysis[[#This Row],[Order_Date]])</f>
        <v/>
      </c>
      <c r="N77" s="2">
        <f>Procurement_kpi_Analysis[[#This Row],[Defective_Units]]/Procurement_kpi_Analysis[[#This Row],[Quantity]]</f>
        <v>0</v>
      </c>
      <c r="O77" s="2">
        <f>(Procurement_kpi_Analysis[[#This Row],[Unit_Price]]-Procurement_kpi_Analysis[[#This Row],[Negotiated_Price]])*Procurement_kpi_Analysis[[#This Row],[Quantity]]</f>
        <v>822.03000000000077</v>
      </c>
      <c r="P77" s="2">
        <f>Procurement_kpi_Analysis[[#This Row],[Total Savings]]/Procurement_kpi_Analysis[[#This Row],[Total Spend]]</f>
        <v>9.996570644718801E-2</v>
      </c>
      <c r="Q77" s="2" t="str">
        <f>IF(Procurement_kpi_Analysis[[#This Row],[Lead Time]]&lt;=14,"On Time","Late")</f>
        <v>Late</v>
      </c>
      <c r="R77" s="2">
        <f>Procurement_kpi_Analysis[[#This Row],[Unit_Price]]*Procurement_kpi_Analysis[[#This Row],[Quantity]]</f>
        <v>9045.1500000000015</v>
      </c>
      <c r="S77" s="2">
        <f>IF(Procurement_kpi_Analysis[[#This Row],[Compliance]]="Yes",1,0)</f>
        <v>1</v>
      </c>
      <c r="T77" s="2">
        <f>IF(Procurement_kpi_Analysis[[#This Row],[Compliance]]="No",1,0)</f>
        <v>0</v>
      </c>
    </row>
    <row r="78" spans="1:20" x14ac:dyDescent="0.3">
      <c r="A78" t="s">
        <v>103</v>
      </c>
      <c r="B78" t="s">
        <v>12</v>
      </c>
      <c r="C78" s="1">
        <v>44941</v>
      </c>
      <c r="D78" s="1">
        <v>44961</v>
      </c>
      <c r="E78" t="s">
        <v>13</v>
      </c>
      <c r="F78" t="s">
        <v>18</v>
      </c>
      <c r="G78">
        <v>1440</v>
      </c>
      <c r="H78">
        <v>96.57</v>
      </c>
      <c r="I78">
        <v>83.87</v>
      </c>
      <c r="J78">
        <v>36</v>
      </c>
      <c r="K78" t="s">
        <v>15</v>
      </c>
      <c r="L78">
        <f>Procurement_kpi_Analysis[[#This Row],[Quantity]]*Procurement_kpi_Analysis[[#This Row],[Negotiated_Price]]</f>
        <v>120772.8</v>
      </c>
      <c r="M78">
        <f>IF(Procurement_kpi_Analysis[[#This Row],[Delivery_Date]]="","",Procurement_kpi_Analysis[[#This Row],[Delivery_Date]]-Procurement_kpi_Analysis[[#This Row],[Order_Date]])</f>
        <v>20</v>
      </c>
      <c r="N78" s="2">
        <f>Procurement_kpi_Analysis[[#This Row],[Defective_Units]]/Procurement_kpi_Analysis[[#This Row],[Quantity]]</f>
        <v>2.5000000000000001E-2</v>
      </c>
      <c r="O78" s="2">
        <f>(Procurement_kpi_Analysis[[#This Row],[Unit_Price]]-Procurement_kpi_Analysis[[#This Row],[Negotiated_Price]])*Procurement_kpi_Analysis[[#This Row],[Quantity]]</f>
        <v>18287.999999999985</v>
      </c>
      <c r="P78" s="2">
        <f>Procurement_kpi_Analysis[[#This Row],[Total Savings]]/Procurement_kpi_Analysis[[#This Row],[Total Spend]]</f>
        <v>0.15142482413258601</v>
      </c>
      <c r="Q78" s="2" t="str">
        <f>IF(Procurement_kpi_Analysis[[#This Row],[Lead Time]]&lt;=14,"On Time","Late")</f>
        <v>Late</v>
      </c>
      <c r="R78" s="2">
        <f>Procurement_kpi_Analysis[[#This Row],[Unit_Price]]*Procurement_kpi_Analysis[[#This Row],[Quantity]]</f>
        <v>139060.79999999999</v>
      </c>
      <c r="S78" s="2">
        <f>IF(Procurement_kpi_Analysis[[#This Row],[Compliance]]="Yes",1,0)</f>
        <v>1</v>
      </c>
      <c r="T78" s="2">
        <f>IF(Procurement_kpi_Analysis[[#This Row],[Compliance]]="No",1,0)</f>
        <v>0</v>
      </c>
    </row>
    <row r="79" spans="1:20" x14ac:dyDescent="0.3">
      <c r="A79" t="s">
        <v>104</v>
      </c>
      <c r="B79" t="s">
        <v>17</v>
      </c>
      <c r="C79" s="1">
        <v>44925</v>
      </c>
      <c r="D79" s="1">
        <v>44929</v>
      </c>
      <c r="E79" t="s">
        <v>26</v>
      </c>
      <c r="F79" t="s">
        <v>18</v>
      </c>
      <c r="G79">
        <v>1005</v>
      </c>
      <c r="H79">
        <v>14.87</v>
      </c>
      <c r="I79">
        <v>12.79</v>
      </c>
      <c r="J79">
        <v>0</v>
      </c>
      <c r="K79" t="s">
        <v>27</v>
      </c>
      <c r="L79">
        <f>Procurement_kpi_Analysis[[#This Row],[Quantity]]*Procurement_kpi_Analysis[[#This Row],[Negotiated_Price]]</f>
        <v>12853.949999999999</v>
      </c>
      <c r="M79">
        <f>IF(Procurement_kpi_Analysis[[#This Row],[Delivery_Date]]="","",Procurement_kpi_Analysis[[#This Row],[Delivery_Date]]-Procurement_kpi_Analysis[[#This Row],[Order_Date]])</f>
        <v>4</v>
      </c>
      <c r="N79" s="2">
        <f>Procurement_kpi_Analysis[[#This Row],[Defective_Units]]/Procurement_kpi_Analysis[[#This Row],[Quantity]]</f>
        <v>0</v>
      </c>
      <c r="O79" s="2">
        <f>(Procurement_kpi_Analysis[[#This Row],[Unit_Price]]-Procurement_kpi_Analysis[[#This Row],[Negotiated_Price]])*Procurement_kpi_Analysis[[#This Row],[Quantity]]</f>
        <v>2090.4</v>
      </c>
      <c r="P79" s="2">
        <f>Procurement_kpi_Analysis[[#This Row],[Total Savings]]/Procurement_kpi_Analysis[[#This Row],[Total Spend]]</f>
        <v>0.16262705238467554</v>
      </c>
      <c r="Q79" s="2" t="str">
        <f>IF(Procurement_kpi_Analysis[[#This Row],[Lead Time]]&lt;=14,"On Time","Late")</f>
        <v>On Time</v>
      </c>
      <c r="R79" s="2">
        <f>Procurement_kpi_Analysis[[#This Row],[Unit_Price]]*Procurement_kpi_Analysis[[#This Row],[Quantity]]</f>
        <v>14944.349999999999</v>
      </c>
      <c r="S79" s="2">
        <f>IF(Procurement_kpi_Analysis[[#This Row],[Compliance]]="Yes",1,0)</f>
        <v>0</v>
      </c>
      <c r="T79" s="2">
        <f>IF(Procurement_kpi_Analysis[[#This Row],[Compliance]]="No",1,0)</f>
        <v>1</v>
      </c>
    </row>
    <row r="80" spans="1:20" x14ac:dyDescent="0.3">
      <c r="A80" t="s">
        <v>105</v>
      </c>
      <c r="B80" t="s">
        <v>12</v>
      </c>
      <c r="C80" s="1">
        <v>44776</v>
      </c>
      <c r="D80" s="1"/>
      <c r="E80" t="s">
        <v>21</v>
      </c>
      <c r="F80" t="s">
        <v>18</v>
      </c>
      <c r="G80">
        <v>1528</v>
      </c>
      <c r="H80">
        <v>36.520000000000003</v>
      </c>
      <c r="I80">
        <v>33</v>
      </c>
      <c r="J80">
        <v>31</v>
      </c>
      <c r="K80" t="s">
        <v>27</v>
      </c>
      <c r="L80">
        <f>Procurement_kpi_Analysis[[#This Row],[Quantity]]*Procurement_kpi_Analysis[[#This Row],[Negotiated_Price]]</f>
        <v>50424</v>
      </c>
      <c r="M80" t="str">
        <f>IF(Procurement_kpi_Analysis[[#This Row],[Delivery_Date]]="","",Procurement_kpi_Analysis[[#This Row],[Delivery_Date]]-Procurement_kpi_Analysis[[#This Row],[Order_Date]])</f>
        <v/>
      </c>
      <c r="N80" s="2">
        <f>Procurement_kpi_Analysis[[#This Row],[Defective_Units]]/Procurement_kpi_Analysis[[#This Row],[Quantity]]</f>
        <v>2.0287958115183247E-2</v>
      </c>
      <c r="O80" s="2">
        <f>(Procurement_kpi_Analysis[[#This Row],[Unit_Price]]-Procurement_kpi_Analysis[[#This Row],[Negotiated_Price]])*Procurement_kpi_Analysis[[#This Row],[Quantity]]</f>
        <v>5378.5600000000049</v>
      </c>
      <c r="P80" s="2">
        <f>Procurement_kpi_Analysis[[#This Row],[Total Savings]]/Procurement_kpi_Analysis[[#This Row],[Total Spend]]</f>
        <v>0.10666666666666677</v>
      </c>
      <c r="Q80" s="2" t="str">
        <f>IF(Procurement_kpi_Analysis[[#This Row],[Lead Time]]&lt;=14,"On Time","Late")</f>
        <v>Late</v>
      </c>
      <c r="R80" s="2">
        <f>Procurement_kpi_Analysis[[#This Row],[Unit_Price]]*Procurement_kpi_Analysis[[#This Row],[Quantity]]</f>
        <v>55802.560000000005</v>
      </c>
      <c r="S80" s="2">
        <f>IF(Procurement_kpi_Analysis[[#This Row],[Compliance]]="Yes",1,0)</f>
        <v>0</v>
      </c>
      <c r="T80" s="2">
        <f>IF(Procurement_kpi_Analysis[[#This Row],[Compliance]]="No",1,0)</f>
        <v>1</v>
      </c>
    </row>
    <row r="81" spans="1:20" x14ac:dyDescent="0.3">
      <c r="A81" t="s">
        <v>106</v>
      </c>
      <c r="B81" t="s">
        <v>20</v>
      </c>
      <c r="C81" s="1">
        <v>45248</v>
      </c>
      <c r="D81" s="1">
        <v>45255</v>
      </c>
      <c r="E81" t="s">
        <v>21</v>
      </c>
      <c r="F81" t="s">
        <v>18</v>
      </c>
      <c r="G81">
        <v>1501</v>
      </c>
      <c r="H81">
        <v>106.05</v>
      </c>
      <c r="I81">
        <v>100.99</v>
      </c>
      <c r="J81">
        <v>77</v>
      </c>
      <c r="K81" t="s">
        <v>27</v>
      </c>
      <c r="L81">
        <f>Procurement_kpi_Analysis[[#This Row],[Quantity]]*Procurement_kpi_Analysis[[#This Row],[Negotiated_Price]]</f>
        <v>151585.99</v>
      </c>
      <c r="M81">
        <f>IF(Procurement_kpi_Analysis[[#This Row],[Delivery_Date]]="","",Procurement_kpi_Analysis[[#This Row],[Delivery_Date]]-Procurement_kpi_Analysis[[#This Row],[Order_Date]])</f>
        <v>7</v>
      </c>
      <c r="N81" s="2">
        <f>Procurement_kpi_Analysis[[#This Row],[Defective_Units]]/Procurement_kpi_Analysis[[#This Row],[Quantity]]</f>
        <v>5.1299133910726186E-2</v>
      </c>
      <c r="O81" s="2">
        <f>(Procurement_kpi_Analysis[[#This Row],[Unit_Price]]-Procurement_kpi_Analysis[[#This Row],[Negotiated_Price]])*Procurement_kpi_Analysis[[#This Row],[Quantity]]</f>
        <v>7595.0600000000031</v>
      </c>
      <c r="P81" s="2">
        <f>Procurement_kpi_Analysis[[#This Row],[Total Savings]]/Procurement_kpi_Analysis[[#This Row],[Total Spend]]</f>
        <v>5.0103970690167365E-2</v>
      </c>
      <c r="Q81" s="2" t="str">
        <f>IF(Procurement_kpi_Analysis[[#This Row],[Lead Time]]&lt;=14,"On Time","Late")</f>
        <v>On Time</v>
      </c>
      <c r="R81" s="2">
        <f>Procurement_kpi_Analysis[[#This Row],[Unit_Price]]*Procurement_kpi_Analysis[[#This Row],[Quantity]]</f>
        <v>159181.04999999999</v>
      </c>
      <c r="S81" s="2">
        <f>IF(Procurement_kpi_Analysis[[#This Row],[Compliance]]="Yes",1,0)</f>
        <v>0</v>
      </c>
      <c r="T81" s="2">
        <f>IF(Procurement_kpi_Analysis[[#This Row],[Compliance]]="No",1,0)</f>
        <v>1</v>
      </c>
    </row>
    <row r="82" spans="1:20" x14ac:dyDescent="0.3">
      <c r="A82" t="s">
        <v>107</v>
      </c>
      <c r="B82" t="s">
        <v>17</v>
      </c>
      <c r="C82" s="1">
        <v>44835</v>
      </c>
      <c r="D82" s="1">
        <v>44838</v>
      </c>
      <c r="E82" t="s">
        <v>24</v>
      </c>
      <c r="F82" t="s">
        <v>18</v>
      </c>
      <c r="G82">
        <v>558</v>
      </c>
      <c r="H82">
        <v>94.18</v>
      </c>
      <c r="I82">
        <v>81.400000000000006</v>
      </c>
      <c r="J82">
        <v>0</v>
      </c>
      <c r="K82" t="s">
        <v>27</v>
      </c>
      <c r="L82">
        <f>Procurement_kpi_Analysis[[#This Row],[Quantity]]*Procurement_kpi_Analysis[[#This Row],[Negotiated_Price]]</f>
        <v>45421.200000000004</v>
      </c>
      <c r="M82">
        <f>IF(Procurement_kpi_Analysis[[#This Row],[Delivery_Date]]="","",Procurement_kpi_Analysis[[#This Row],[Delivery_Date]]-Procurement_kpi_Analysis[[#This Row],[Order_Date]])</f>
        <v>3</v>
      </c>
      <c r="N82" s="2">
        <f>Procurement_kpi_Analysis[[#This Row],[Defective_Units]]/Procurement_kpi_Analysis[[#This Row],[Quantity]]</f>
        <v>0</v>
      </c>
      <c r="O82" s="2">
        <f>(Procurement_kpi_Analysis[[#This Row],[Unit_Price]]-Procurement_kpi_Analysis[[#This Row],[Negotiated_Price]])*Procurement_kpi_Analysis[[#This Row],[Quantity]]</f>
        <v>7131.2400000000007</v>
      </c>
      <c r="P82" s="2">
        <f>Procurement_kpi_Analysis[[#This Row],[Total Savings]]/Procurement_kpi_Analysis[[#This Row],[Total Spend]]</f>
        <v>0.15700245700245699</v>
      </c>
      <c r="Q82" s="2" t="str">
        <f>IF(Procurement_kpi_Analysis[[#This Row],[Lead Time]]&lt;=14,"On Time","Late")</f>
        <v>On Time</v>
      </c>
      <c r="R82" s="2">
        <f>Procurement_kpi_Analysis[[#This Row],[Unit_Price]]*Procurement_kpi_Analysis[[#This Row],[Quantity]]</f>
        <v>52552.44</v>
      </c>
      <c r="S82" s="2">
        <f>IF(Procurement_kpi_Analysis[[#This Row],[Compliance]]="Yes",1,0)</f>
        <v>0</v>
      </c>
      <c r="T82" s="2">
        <f>IF(Procurement_kpi_Analysis[[#This Row],[Compliance]]="No",1,0)</f>
        <v>1</v>
      </c>
    </row>
    <row r="83" spans="1:20" x14ac:dyDescent="0.3">
      <c r="A83" t="s">
        <v>108</v>
      </c>
      <c r="B83" t="s">
        <v>23</v>
      </c>
      <c r="C83" s="1">
        <v>45280</v>
      </c>
      <c r="D83" s="1">
        <v>45286</v>
      </c>
      <c r="E83" t="s">
        <v>21</v>
      </c>
      <c r="F83" t="s">
        <v>18</v>
      </c>
      <c r="G83">
        <v>825</v>
      </c>
      <c r="H83">
        <v>56.88</v>
      </c>
      <c r="I83">
        <v>50.84</v>
      </c>
      <c r="J83">
        <v>0</v>
      </c>
      <c r="K83" t="s">
        <v>15</v>
      </c>
      <c r="L83">
        <f>Procurement_kpi_Analysis[[#This Row],[Quantity]]*Procurement_kpi_Analysis[[#This Row],[Negotiated_Price]]</f>
        <v>41943</v>
      </c>
      <c r="M83">
        <f>IF(Procurement_kpi_Analysis[[#This Row],[Delivery_Date]]="","",Procurement_kpi_Analysis[[#This Row],[Delivery_Date]]-Procurement_kpi_Analysis[[#This Row],[Order_Date]])</f>
        <v>6</v>
      </c>
      <c r="N83" s="2">
        <f>Procurement_kpi_Analysis[[#This Row],[Defective_Units]]/Procurement_kpi_Analysis[[#This Row],[Quantity]]</f>
        <v>0</v>
      </c>
      <c r="O83" s="2">
        <f>(Procurement_kpi_Analysis[[#This Row],[Unit_Price]]-Procurement_kpi_Analysis[[#This Row],[Negotiated_Price]])*Procurement_kpi_Analysis[[#This Row],[Quantity]]</f>
        <v>4982.9999999999991</v>
      </c>
      <c r="P83" s="2">
        <f>Procurement_kpi_Analysis[[#This Row],[Total Savings]]/Procurement_kpi_Analysis[[#This Row],[Total Spend]]</f>
        <v>0.11880409126671909</v>
      </c>
      <c r="Q83" s="2" t="str">
        <f>IF(Procurement_kpi_Analysis[[#This Row],[Lead Time]]&lt;=14,"On Time","Late")</f>
        <v>On Time</v>
      </c>
      <c r="R83" s="2">
        <f>Procurement_kpi_Analysis[[#This Row],[Unit_Price]]*Procurement_kpi_Analysis[[#This Row],[Quantity]]</f>
        <v>46926</v>
      </c>
      <c r="S83" s="2">
        <f>IF(Procurement_kpi_Analysis[[#This Row],[Compliance]]="Yes",1,0)</f>
        <v>1</v>
      </c>
      <c r="T83" s="2">
        <f>IF(Procurement_kpi_Analysis[[#This Row],[Compliance]]="No",1,0)</f>
        <v>0</v>
      </c>
    </row>
    <row r="84" spans="1:20" x14ac:dyDescent="0.3">
      <c r="A84" t="s">
        <v>109</v>
      </c>
      <c r="B84" t="s">
        <v>23</v>
      </c>
      <c r="C84" s="1">
        <v>45261</v>
      </c>
      <c r="D84" s="1">
        <v>45267</v>
      </c>
      <c r="E84" t="s">
        <v>39</v>
      </c>
      <c r="F84" t="s">
        <v>14</v>
      </c>
      <c r="G84">
        <v>84</v>
      </c>
      <c r="H84">
        <v>73.38</v>
      </c>
      <c r="I84">
        <v>71.42</v>
      </c>
      <c r="J84">
        <v>9</v>
      </c>
      <c r="K84" t="s">
        <v>15</v>
      </c>
      <c r="L84">
        <f>Procurement_kpi_Analysis[[#This Row],[Quantity]]*Procurement_kpi_Analysis[[#This Row],[Negotiated_Price]]</f>
        <v>5999.28</v>
      </c>
      <c r="M84">
        <f>IF(Procurement_kpi_Analysis[[#This Row],[Delivery_Date]]="","",Procurement_kpi_Analysis[[#This Row],[Delivery_Date]]-Procurement_kpi_Analysis[[#This Row],[Order_Date]])</f>
        <v>6</v>
      </c>
      <c r="N84" s="2">
        <f>Procurement_kpi_Analysis[[#This Row],[Defective_Units]]/Procurement_kpi_Analysis[[#This Row],[Quantity]]</f>
        <v>0.10714285714285714</v>
      </c>
      <c r="O84" s="2">
        <f>(Procurement_kpi_Analysis[[#This Row],[Unit_Price]]-Procurement_kpi_Analysis[[#This Row],[Negotiated_Price]])*Procurement_kpi_Analysis[[#This Row],[Quantity]]</f>
        <v>164.63999999999947</v>
      </c>
      <c r="P84" s="2">
        <f>Procurement_kpi_Analysis[[#This Row],[Total Savings]]/Procurement_kpi_Analysis[[#This Row],[Total Spend]]</f>
        <v>2.7443293195183335E-2</v>
      </c>
      <c r="Q84" s="2" t="str">
        <f>IF(Procurement_kpi_Analysis[[#This Row],[Lead Time]]&lt;=14,"On Time","Late")</f>
        <v>On Time</v>
      </c>
      <c r="R84" s="2">
        <f>Procurement_kpi_Analysis[[#This Row],[Unit_Price]]*Procurement_kpi_Analysis[[#This Row],[Quantity]]</f>
        <v>6163.92</v>
      </c>
      <c r="S84" s="2">
        <f>IF(Procurement_kpi_Analysis[[#This Row],[Compliance]]="Yes",1,0)</f>
        <v>1</v>
      </c>
      <c r="T84" s="2">
        <f>IF(Procurement_kpi_Analysis[[#This Row],[Compliance]]="No",1,0)</f>
        <v>0</v>
      </c>
    </row>
    <row r="85" spans="1:20" x14ac:dyDescent="0.3">
      <c r="A85" t="s">
        <v>110</v>
      </c>
      <c r="B85" t="s">
        <v>17</v>
      </c>
      <c r="C85" s="1">
        <v>45225</v>
      </c>
      <c r="D85" s="1">
        <v>45240</v>
      </c>
      <c r="E85" t="s">
        <v>26</v>
      </c>
      <c r="F85" t="s">
        <v>18</v>
      </c>
      <c r="G85">
        <v>255</v>
      </c>
      <c r="H85">
        <v>38.64</v>
      </c>
      <c r="I85">
        <v>33.590000000000003</v>
      </c>
      <c r="J85">
        <v>27</v>
      </c>
      <c r="K85" t="s">
        <v>27</v>
      </c>
      <c r="L85">
        <f>Procurement_kpi_Analysis[[#This Row],[Quantity]]*Procurement_kpi_Analysis[[#This Row],[Negotiated_Price]]</f>
        <v>8565.4500000000007</v>
      </c>
      <c r="M85">
        <f>IF(Procurement_kpi_Analysis[[#This Row],[Delivery_Date]]="","",Procurement_kpi_Analysis[[#This Row],[Delivery_Date]]-Procurement_kpi_Analysis[[#This Row],[Order_Date]])</f>
        <v>15</v>
      </c>
      <c r="N85" s="2">
        <f>Procurement_kpi_Analysis[[#This Row],[Defective_Units]]/Procurement_kpi_Analysis[[#This Row],[Quantity]]</f>
        <v>0.10588235294117647</v>
      </c>
      <c r="O85" s="2">
        <f>(Procurement_kpi_Analysis[[#This Row],[Unit_Price]]-Procurement_kpi_Analysis[[#This Row],[Negotiated_Price]])*Procurement_kpi_Analysis[[#This Row],[Quantity]]</f>
        <v>1287.7499999999993</v>
      </c>
      <c r="P85" s="2">
        <f>Procurement_kpi_Analysis[[#This Row],[Total Savings]]/Procurement_kpi_Analysis[[#This Row],[Total Spend]]</f>
        <v>0.15034236379874955</v>
      </c>
      <c r="Q85" s="2" t="str">
        <f>IF(Procurement_kpi_Analysis[[#This Row],[Lead Time]]&lt;=14,"On Time","Late")</f>
        <v>Late</v>
      </c>
      <c r="R85" s="2">
        <f>Procurement_kpi_Analysis[[#This Row],[Unit_Price]]*Procurement_kpi_Analysis[[#This Row],[Quantity]]</f>
        <v>9853.2000000000007</v>
      </c>
      <c r="S85" s="2">
        <f>IF(Procurement_kpi_Analysis[[#This Row],[Compliance]]="Yes",1,0)</f>
        <v>0</v>
      </c>
      <c r="T85" s="2">
        <f>IF(Procurement_kpi_Analysis[[#This Row],[Compliance]]="No",1,0)</f>
        <v>1</v>
      </c>
    </row>
    <row r="86" spans="1:20" x14ac:dyDescent="0.3">
      <c r="A86" t="s">
        <v>111</v>
      </c>
      <c r="B86" t="s">
        <v>20</v>
      </c>
      <c r="C86" s="1">
        <v>44635</v>
      </c>
      <c r="D86" s="1">
        <v>44651</v>
      </c>
      <c r="E86" t="s">
        <v>21</v>
      </c>
      <c r="F86" t="s">
        <v>18</v>
      </c>
      <c r="G86">
        <v>1154</v>
      </c>
      <c r="H86">
        <v>27.2</v>
      </c>
      <c r="I86">
        <v>26.07</v>
      </c>
      <c r="J86">
        <v>58</v>
      </c>
      <c r="K86" t="s">
        <v>15</v>
      </c>
      <c r="L86">
        <f>Procurement_kpi_Analysis[[#This Row],[Quantity]]*Procurement_kpi_Analysis[[#This Row],[Negotiated_Price]]</f>
        <v>30084.78</v>
      </c>
      <c r="M86">
        <f>IF(Procurement_kpi_Analysis[[#This Row],[Delivery_Date]]="","",Procurement_kpi_Analysis[[#This Row],[Delivery_Date]]-Procurement_kpi_Analysis[[#This Row],[Order_Date]])</f>
        <v>16</v>
      </c>
      <c r="N86" s="2">
        <f>Procurement_kpi_Analysis[[#This Row],[Defective_Units]]/Procurement_kpi_Analysis[[#This Row],[Quantity]]</f>
        <v>5.0259965337954939E-2</v>
      </c>
      <c r="O86" s="2">
        <f>(Procurement_kpi_Analysis[[#This Row],[Unit_Price]]-Procurement_kpi_Analysis[[#This Row],[Negotiated_Price]])*Procurement_kpi_Analysis[[#This Row],[Quantity]]</f>
        <v>1304.0199999999988</v>
      </c>
      <c r="P86" s="2">
        <f>Procurement_kpi_Analysis[[#This Row],[Total Savings]]/Procurement_kpi_Analysis[[#This Row],[Total Spend]]</f>
        <v>4.3344840813195208E-2</v>
      </c>
      <c r="Q86" s="2" t="str">
        <f>IF(Procurement_kpi_Analysis[[#This Row],[Lead Time]]&lt;=14,"On Time","Late")</f>
        <v>Late</v>
      </c>
      <c r="R86" s="2">
        <f>Procurement_kpi_Analysis[[#This Row],[Unit_Price]]*Procurement_kpi_Analysis[[#This Row],[Quantity]]</f>
        <v>31388.799999999999</v>
      </c>
      <c r="S86" s="2">
        <f>IF(Procurement_kpi_Analysis[[#This Row],[Compliance]]="Yes",1,0)</f>
        <v>1</v>
      </c>
      <c r="T86" s="2">
        <f>IF(Procurement_kpi_Analysis[[#This Row],[Compliance]]="No",1,0)</f>
        <v>0</v>
      </c>
    </row>
    <row r="87" spans="1:20" x14ac:dyDescent="0.3">
      <c r="A87" t="s">
        <v>112</v>
      </c>
      <c r="B87" t="s">
        <v>17</v>
      </c>
      <c r="C87" s="1">
        <v>45185</v>
      </c>
      <c r="D87" s="1">
        <v>45193</v>
      </c>
      <c r="E87" t="s">
        <v>13</v>
      </c>
      <c r="F87" t="s">
        <v>18</v>
      </c>
      <c r="G87">
        <v>1635</v>
      </c>
      <c r="H87">
        <v>56.91</v>
      </c>
      <c r="I87">
        <v>54.37</v>
      </c>
      <c r="J87">
        <v>262</v>
      </c>
      <c r="K87" t="s">
        <v>27</v>
      </c>
      <c r="L87">
        <f>Procurement_kpi_Analysis[[#This Row],[Quantity]]*Procurement_kpi_Analysis[[#This Row],[Negotiated_Price]]</f>
        <v>88894.95</v>
      </c>
      <c r="M87">
        <f>IF(Procurement_kpi_Analysis[[#This Row],[Delivery_Date]]="","",Procurement_kpi_Analysis[[#This Row],[Delivery_Date]]-Procurement_kpi_Analysis[[#This Row],[Order_Date]])</f>
        <v>8</v>
      </c>
      <c r="N87" s="2">
        <f>Procurement_kpi_Analysis[[#This Row],[Defective_Units]]/Procurement_kpi_Analysis[[#This Row],[Quantity]]</f>
        <v>0.1602446483180428</v>
      </c>
      <c r="O87" s="2">
        <f>(Procurement_kpi_Analysis[[#This Row],[Unit_Price]]-Procurement_kpi_Analysis[[#This Row],[Negotiated_Price]])*Procurement_kpi_Analysis[[#This Row],[Quantity]]</f>
        <v>4152.8999999999987</v>
      </c>
      <c r="P87" s="2">
        <f>Procurement_kpi_Analysis[[#This Row],[Total Savings]]/Procurement_kpi_Analysis[[#This Row],[Total Spend]]</f>
        <v>4.6716939488688602E-2</v>
      </c>
      <c r="Q87" s="2" t="str">
        <f>IF(Procurement_kpi_Analysis[[#This Row],[Lead Time]]&lt;=14,"On Time","Late")</f>
        <v>On Time</v>
      </c>
      <c r="R87" s="2">
        <f>Procurement_kpi_Analysis[[#This Row],[Unit_Price]]*Procurement_kpi_Analysis[[#This Row],[Quantity]]</f>
        <v>93047.849999999991</v>
      </c>
      <c r="S87" s="2">
        <f>IF(Procurement_kpi_Analysis[[#This Row],[Compliance]]="Yes",1,0)</f>
        <v>0</v>
      </c>
      <c r="T87" s="2">
        <f>IF(Procurement_kpi_Analysis[[#This Row],[Compliance]]="No",1,0)</f>
        <v>1</v>
      </c>
    </row>
    <row r="88" spans="1:20" x14ac:dyDescent="0.3">
      <c r="A88" t="s">
        <v>113</v>
      </c>
      <c r="B88" t="s">
        <v>17</v>
      </c>
      <c r="C88" s="1">
        <v>45212</v>
      </c>
      <c r="D88" s="1">
        <v>45222</v>
      </c>
      <c r="E88" t="s">
        <v>26</v>
      </c>
      <c r="F88" t="s">
        <v>18</v>
      </c>
      <c r="G88">
        <v>1945</v>
      </c>
      <c r="H88">
        <v>46.19</v>
      </c>
      <c r="I88">
        <v>40.119999999999997</v>
      </c>
      <c r="J88">
        <v>278</v>
      </c>
      <c r="K88" t="s">
        <v>27</v>
      </c>
      <c r="L88">
        <f>Procurement_kpi_Analysis[[#This Row],[Quantity]]*Procurement_kpi_Analysis[[#This Row],[Negotiated_Price]]</f>
        <v>78033.399999999994</v>
      </c>
      <c r="M88">
        <f>IF(Procurement_kpi_Analysis[[#This Row],[Delivery_Date]]="","",Procurement_kpi_Analysis[[#This Row],[Delivery_Date]]-Procurement_kpi_Analysis[[#This Row],[Order_Date]])</f>
        <v>10</v>
      </c>
      <c r="N88" s="2">
        <f>Procurement_kpi_Analysis[[#This Row],[Defective_Units]]/Procurement_kpi_Analysis[[#This Row],[Quantity]]</f>
        <v>0.14293059125964011</v>
      </c>
      <c r="O88" s="2">
        <f>(Procurement_kpi_Analysis[[#This Row],[Unit_Price]]-Procurement_kpi_Analysis[[#This Row],[Negotiated_Price]])*Procurement_kpi_Analysis[[#This Row],[Quantity]]</f>
        <v>11806.150000000001</v>
      </c>
      <c r="P88" s="2">
        <f>Procurement_kpi_Analysis[[#This Row],[Total Savings]]/Procurement_kpi_Analysis[[#This Row],[Total Spend]]</f>
        <v>0.15129611166500501</v>
      </c>
      <c r="Q88" s="2" t="str">
        <f>IF(Procurement_kpi_Analysis[[#This Row],[Lead Time]]&lt;=14,"On Time","Late")</f>
        <v>On Time</v>
      </c>
      <c r="R88" s="2">
        <f>Procurement_kpi_Analysis[[#This Row],[Unit_Price]]*Procurement_kpi_Analysis[[#This Row],[Quantity]]</f>
        <v>89839.549999999988</v>
      </c>
      <c r="S88" s="2">
        <f>IF(Procurement_kpi_Analysis[[#This Row],[Compliance]]="Yes",1,0)</f>
        <v>0</v>
      </c>
      <c r="T88" s="2">
        <f>IF(Procurement_kpi_Analysis[[#This Row],[Compliance]]="No",1,0)</f>
        <v>1</v>
      </c>
    </row>
    <row r="89" spans="1:20" x14ac:dyDescent="0.3">
      <c r="A89" t="s">
        <v>114</v>
      </c>
      <c r="B89" t="s">
        <v>17</v>
      </c>
      <c r="C89" s="1">
        <v>44737</v>
      </c>
      <c r="D89" s="1">
        <v>44752</v>
      </c>
      <c r="E89" t="s">
        <v>21</v>
      </c>
      <c r="F89" t="s">
        <v>33</v>
      </c>
      <c r="G89">
        <v>1461</v>
      </c>
      <c r="H89">
        <v>64.09</v>
      </c>
      <c r="I89">
        <v>63.39</v>
      </c>
      <c r="J89">
        <v>228</v>
      </c>
      <c r="K89" t="s">
        <v>27</v>
      </c>
      <c r="L89">
        <f>Procurement_kpi_Analysis[[#This Row],[Quantity]]*Procurement_kpi_Analysis[[#This Row],[Negotiated_Price]]</f>
        <v>92612.79</v>
      </c>
      <c r="M89">
        <f>IF(Procurement_kpi_Analysis[[#This Row],[Delivery_Date]]="","",Procurement_kpi_Analysis[[#This Row],[Delivery_Date]]-Procurement_kpi_Analysis[[#This Row],[Order_Date]])</f>
        <v>15</v>
      </c>
      <c r="N89" s="2">
        <f>Procurement_kpi_Analysis[[#This Row],[Defective_Units]]/Procurement_kpi_Analysis[[#This Row],[Quantity]]</f>
        <v>0.15605749486652978</v>
      </c>
      <c r="O89" s="2">
        <f>(Procurement_kpi_Analysis[[#This Row],[Unit_Price]]-Procurement_kpi_Analysis[[#This Row],[Negotiated_Price]])*Procurement_kpi_Analysis[[#This Row],[Quantity]]</f>
        <v>1022.7000000000041</v>
      </c>
      <c r="P89" s="2">
        <f>Procurement_kpi_Analysis[[#This Row],[Total Savings]]/Procurement_kpi_Analysis[[#This Row],[Total Spend]]</f>
        <v>1.1042751222590359E-2</v>
      </c>
      <c r="Q89" s="2" t="str">
        <f>IF(Procurement_kpi_Analysis[[#This Row],[Lead Time]]&lt;=14,"On Time","Late")</f>
        <v>Late</v>
      </c>
      <c r="R89" s="2">
        <f>Procurement_kpi_Analysis[[#This Row],[Unit_Price]]*Procurement_kpi_Analysis[[#This Row],[Quantity]]</f>
        <v>93635.49</v>
      </c>
      <c r="S89" s="2">
        <f>IF(Procurement_kpi_Analysis[[#This Row],[Compliance]]="Yes",1,0)</f>
        <v>0</v>
      </c>
      <c r="T89" s="2">
        <f>IF(Procurement_kpi_Analysis[[#This Row],[Compliance]]="No",1,0)</f>
        <v>1</v>
      </c>
    </row>
    <row r="90" spans="1:20" x14ac:dyDescent="0.3">
      <c r="A90" t="s">
        <v>115</v>
      </c>
      <c r="B90" t="s">
        <v>17</v>
      </c>
      <c r="C90" s="1">
        <v>45108</v>
      </c>
      <c r="D90" s="1">
        <v>45116</v>
      </c>
      <c r="E90" t="s">
        <v>39</v>
      </c>
      <c r="F90" t="s">
        <v>18</v>
      </c>
      <c r="G90">
        <v>1075</v>
      </c>
      <c r="H90">
        <v>18.53</v>
      </c>
      <c r="I90">
        <v>16.12</v>
      </c>
      <c r="J90">
        <v>147</v>
      </c>
      <c r="K90" t="s">
        <v>15</v>
      </c>
      <c r="L90">
        <f>Procurement_kpi_Analysis[[#This Row],[Quantity]]*Procurement_kpi_Analysis[[#This Row],[Negotiated_Price]]</f>
        <v>17329</v>
      </c>
      <c r="M90">
        <f>IF(Procurement_kpi_Analysis[[#This Row],[Delivery_Date]]="","",Procurement_kpi_Analysis[[#This Row],[Delivery_Date]]-Procurement_kpi_Analysis[[#This Row],[Order_Date]])</f>
        <v>8</v>
      </c>
      <c r="N90" s="2">
        <f>Procurement_kpi_Analysis[[#This Row],[Defective_Units]]/Procurement_kpi_Analysis[[#This Row],[Quantity]]</f>
        <v>0.13674418604651162</v>
      </c>
      <c r="O90" s="2">
        <f>(Procurement_kpi_Analysis[[#This Row],[Unit_Price]]-Procurement_kpi_Analysis[[#This Row],[Negotiated_Price]])*Procurement_kpi_Analysis[[#This Row],[Quantity]]</f>
        <v>2590.75</v>
      </c>
      <c r="P90" s="2">
        <f>Procurement_kpi_Analysis[[#This Row],[Total Savings]]/Procurement_kpi_Analysis[[#This Row],[Total Spend]]</f>
        <v>0.14950372208436724</v>
      </c>
      <c r="Q90" s="2" t="str">
        <f>IF(Procurement_kpi_Analysis[[#This Row],[Lead Time]]&lt;=14,"On Time","Late")</f>
        <v>On Time</v>
      </c>
      <c r="R90" s="2">
        <f>Procurement_kpi_Analysis[[#This Row],[Unit_Price]]*Procurement_kpi_Analysis[[#This Row],[Quantity]]</f>
        <v>19919.75</v>
      </c>
      <c r="S90" s="2">
        <f>IF(Procurement_kpi_Analysis[[#This Row],[Compliance]]="Yes",1,0)</f>
        <v>1</v>
      </c>
      <c r="T90" s="2">
        <f>IF(Procurement_kpi_Analysis[[#This Row],[Compliance]]="No",1,0)</f>
        <v>0</v>
      </c>
    </row>
    <row r="91" spans="1:20" x14ac:dyDescent="0.3">
      <c r="A91" t="s">
        <v>116</v>
      </c>
      <c r="B91" t="s">
        <v>12</v>
      </c>
      <c r="C91" s="1">
        <v>44812</v>
      </c>
      <c r="D91" s="1"/>
      <c r="E91" t="s">
        <v>24</v>
      </c>
      <c r="F91" t="s">
        <v>18</v>
      </c>
      <c r="G91">
        <v>1071</v>
      </c>
      <c r="H91">
        <v>101.6</v>
      </c>
      <c r="I91">
        <v>93.91</v>
      </c>
      <c r="J91">
        <v>25</v>
      </c>
      <c r="K91" t="s">
        <v>15</v>
      </c>
      <c r="L91">
        <f>Procurement_kpi_Analysis[[#This Row],[Quantity]]*Procurement_kpi_Analysis[[#This Row],[Negotiated_Price]]</f>
        <v>100577.61</v>
      </c>
      <c r="M91" t="str">
        <f>IF(Procurement_kpi_Analysis[[#This Row],[Delivery_Date]]="","",Procurement_kpi_Analysis[[#This Row],[Delivery_Date]]-Procurement_kpi_Analysis[[#This Row],[Order_Date]])</f>
        <v/>
      </c>
      <c r="N91" s="2">
        <f>Procurement_kpi_Analysis[[#This Row],[Defective_Units]]/Procurement_kpi_Analysis[[#This Row],[Quantity]]</f>
        <v>2.3342670401493931E-2</v>
      </c>
      <c r="O91" s="2">
        <f>(Procurement_kpi_Analysis[[#This Row],[Unit_Price]]-Procurement_kpi_Analysis[[#This Row],[Negotiated_Price]])*Procurement_kpi_Analysis[[#This Row],[Quantity]]</f>
        <v>8235.989999999998</v>
      </c>
      <c r="P91" s="2">
        <f>Procurement_kpi_Analysis[[#This Row],[Total Savings]]/Procurement_kpi_Analysis[[#This Row],[Total Spend]]</f>
        <v>8.1886913001810224E-2</v>
      </c>
      <c r="Q91" s="2" t="str">
        <f>IF(Procurement_kpi_Analysis[[#This Row],[Lead Time]]&lt;=14,"On Time","Late")</f>
        <v>Late</v>
      </c>
      <c r="R91" s="2">
        <f>Procurement_kpi_Analysis[[#This Row],[Unit_Price]]*Procurement_kpi_Analysis[[#This Row],[Quantity]]</f>
        <v>108813.59999999999</v>
      </c>
      <c r="S91" s="2">
        <f>IF(Procurement_kpi_Analysis[[#This Row],[Compliance]]="Yes",1,0)</f>
        <v>1</v>
      </c>
      <c r="T91" s="2">
        <f>IF(Procurement_kpi_Analysis[[#This Row],[Compliance]]="No",1,0)</f>
        <v>0</v>
      </c>
    </row>
    <row r="92" spans="1:20" x14ac:dyDescent="0.3">
      <c r="A92" t="s">
        <v>117</v>
      </c>
      <c r="B92" t="s">
        <v>29</v>
      </c>
      <c r="C92" s="1">
        <v>44729</v>
      </c>
      <c r="D92" s="1">
        <v>44748</v>
      </c>
      <c r="E92" t="s">
        <v>24</v>
      </c>
      <c r="F92" t="s">
        <v>35</v>
      </c>
      <c r="G92">
        <v>1463</v>
      </c>
      <c r="H92">
        <v>101.23</v>
      </c>
      <c r="I92">
        <v>86.17</v>
      </c>
      <c r="J92">
        <v>43</v>
      </c>
      <c r="K92" t="s">
        <v>15</v>
      </c>
      <c r="L92">
        <f>Procurement_kpi_Analysis[[#This Row],[Quantity]]*Procurement_kpi_Analysis[[#This Row],[Negotiated_Price]]</f>
        <v>126066.71</v>
      </c>
      <c r="M92">
        <f>IF(Procurement_kpi_Analysis[[#This Row],[Delivery_Date]]="","",Procurement_kpi_Analysis[[#This Row],[Delivery_Date]]-Procurement_kpi_Analysis[[#This Row],[Order_Date]])</f>
        <v>19</v>
      </c>
      <c r="N92" s="2">
        <f>Procurement_kpi_Analysis[[#This Row],[Defective_Units]]/Procurement_kpi_Analysis[[#This Row],[Quantity]]</f>
        <v>2.939166097060834E-2</v>
      </c>
      <c r="O92" s="2">
        <f>(Procurement_kpi_Analysis[[#This Row],[Unit_Price]]-Procurement_kpi_Analysis[[#This Row],[Negotiated_Price]])*Procurement_kpi_Analysis[[#This Row],[Quantity]]</f>
        <v>22032.780000000002</v>
      </c>
      <c r="P92" s="2">
        <f>Procurement_kpi_Analysis[[#This Row],[Total Savings]]/Procurement_kpi_Analysis[[#This Row],[Total Spend]]</f>
        <v>0.17477080190321459</v>
      </c>
      <c r="Q92" s="2" t="str">
        <f>IF(Procurement_kpi_Analysis[[#This Row],[Lead Time]]&lt;=14,"On Time","Late")</f>
        <v>Late</v>
      </c>
      <c r="R92" s="2">
        <f>Procurement_kpi_Analysis[[#This Row],[Unit_Price]]*Procurement_kpi_Analysis[[#This Row],[Quantity]]</f>
        <v>148099.49000000002</v>
      </c>
      <c r="S92" s="2">
        <f>IF(Procurement_kpi_Analysis[[#This Row],[Compliance]]="Yes",1,0)</f>
        <v>1</v>
      </c>
      <c r="T92" s="2">
        <f>IF(Procurement_kpi_Analysis[[#This Row],[Compliance]]="No",1,0)</f>
        <v>0</v>
      </c>
    </row>
    <row r="93" spans="1:20" x14ac:dyDescent="0.3">
      <c r="A93" t="s">
        <v>118</v>
      </c>
      <c r="B93" t="s">
        <v>23</v>
      </c>
      <c r="C93" s="1">
        <v>45035</v>
      </c>
      <c r="D93" s="1">
        <v>45042</v>
      </c>
      <c r="E93" t="s">
        <v>26</v>
      </c>
      <c r="F93" t="s">
        <v>18</v>
      </c>
      <c r="G93">
        <v>615</v>
      </c>
      <c r="H93">
        <v>78.3</v>
      </c>
      <c r="I93">
        <v>73.680000000000007</v>
      </c>
      <c r="J93">
        <v>69</v>
      </c>
      <c r="K93" t="s">
        <v>15</v>
      </c>
      <c r="L93">
        <f>Procurement_kpi_Analysis[[#This Row],[Quantity]]*Procurement_kpi_Analysis[[#This Row],[Negotiated_Price]]</f>
        <v>45313.200000000004</v>
      </c>
      <c r="M93">
        <f>IF(Procurement_kpi_Analysis[[#This Row],[Delivery_Date]]="","",Procurement_kpi_Analysis[[#This Row],[Delivery_Date]]-Procurement_kpi_Analysis[[#This Row],[Order_Date]])</f>
        <v>7</v>
      </c>
      <c r="N93" s="2">
        <f>Procurement_kpi_Analysis[[#This Row],[Defective_Units]]/Procurement_kpi_Analysis[[#This Row],[Quantity]]</f>
        <v>0.11219512195121951</v>
      </c>
      <c r="O93" s="2">
        <f>(Procurement_kpi_Analysis[[#This Row],[Unit_Price]]-Procurement_kpi_Analysis[[#This Row],[Negotiated_Price]])*Procurement_kpi_Analysis[[#This Row],[Quantity]]</f>
        <v>2841.2999999999943</v>
      </c>
      <c r="P93" s="2">
        <f>Procurement_kpi_Analysis[[#This Row],[Total Savings]]/Procurement_kpi_Analysis[[#This Row],[Total Spend]]</f>
        <v>6.2703583061889112E-2</v>
      </c>
      <c r="Q93" s="2" t="str">
        <f>IF(Procurement_kpi_Analysis[[#This Row],[Lead Time]]&lt;=14,"On Time","Late")</f>
        <v>On Time</v>
      </c>
      <c r="R93" s="2">
        <f>Procurement_kpi_Analysis[[#This Row],[Unit_Price]]*Procurement_kpi_Analysis[[#This Row],[Quantity]]</f>
        <v>48154.5</v>
      </c>
      <c r="S93" s="2">
        <f>IF(Procurement_kpi_Analysis[[#This Row],[Compliance]]="Yes",1,0)</f>
        <v>1</v>
      </c>
      <c r="T93" s="2">
        <f>IF(Procurement_kpi_Analysis[[#This Row],[Compliance]]="No",1,0)</f>
        <v>0</v>
      </c>
    </row>
    <row r="94" spans="1:20" x14ac:dyDescent="0.3">
      <c r="A94" t="s">
        <v>119</v>
      </c>
      <c r="B94" t="s">
        <v>20</v>
      </c>
      <c r="C94" s="1">
        <v>44950</v>
      </c>
      <c r="D94" s="1">
        <v>44968</v>
      </c>
      <c r="E94" t="s">
        <v>39</v>
      </c>
      <c r="F94" t="s">
        <v>18</v>
      </c>
      <c r="G94">
        <v>1179</v>
      </c>
      <c r="H94">
        <v>61.74</v>
      </c>
      <c r="I94">
        <v>56.28</v>
      </c>
      <c r="J94">
        <v>0</v>
      </c>
      <c r="K94" t="s">
        <v>15</v>
      </c>
      <c r="L94">
        <f>Procurement_kpi_Analysis[[#This Row],[Quantity]]*Procurement_kpi_Analysis[[#This Row],[Negotiated_Price]]</f>
        <v>66354.12</v>
      </c>
      <c r="M94">
        <f>IF(Procurement_kpi_Analysis[[#This Row],[Delivery_Date]]="","",Procurement_kpi_Analysis[[#This Row],[Delivery_Date]]-Procurement_kpi_Analysis[[#This Row],[Order_Date]])</f>
        <v>18</v>
      </c>
      <c r="N94" s="2">
        <f>Procurement_kpi_Analysis[[#This Row],[Defective_Units]]/Procurement_kpi_Analysis[[#This Row],[Quantity]]</f>
        <v>0</v>
      </c>
      <c r="O94" s="2">
        <f>(Procurement_kpi_Analysis[[#This Row],[Unit_Price]]-Procurement_kpi_Analysis[[#This Row],[Negotiated_Price]])*Procurement_kpi_Analysis[[#This Row],[Quantity]]</f>
        <v>6437.3400000000011</v>
      </c>
      <c r="P94" s="2">
        <f>Procurement_kpi_Analysis[[#This Row],[Total Savings]]/Procurement_kpi_Analysis[[#This Row],[Total Spend]]</f>
        <v>9.7014925373134345E-2</v>
      </c>
      <c r="Q94" s="2" t="str">
        <f>IF(Procurement_kpi_Analysis[[#This Row],[Lead Time]]&lt;=14,"On Time","Late")</f>
        <v>Late</v>
      </c>
      <c r="R94" s="2">
        <f>Procurement_kpi_Analysis[[#This Row],[Unit_Price]]*Procurement_kpi_Analysis[[#This Row],[Quantity]]</f>
        <v>72791.460000000006</v>
      </c>
      <c r="S94" s="2">
        <f>IF(Procurement_kpi_Analysis[[#This Row],[Compliance]]="Yes",1,0)</f>
        <v>1</v>
      </c>
      <c r="T94" s="2">
        <f>IF(Procurement_kpi_Analysis[[#This Row],[Compliance]]="No",1,0)</f>
        <v>0</v>
      </c>
    </row>
    <row r="95" spans="1:20" x14ac:dyDescent="0.3">
      <c r="A95" t="s">
        <v>120</v>
      </c>
      <c r="B95" t="s">
        <v>12</v>
      </c>
      <c r="C95" s="1">
        <v>44838</v>
      </c>
      <c r="D95" s="1">
        <v>44843</v>
      </c>
      <c r="E95" t="s">
        <v>39</v>
      </c>
      <c r="F95" t="s">
        <v>33</v>
      </c>
      <c r="G95">
        <v>1845</v>
      </c>
      <c r="H95">
        <v>39.56</v>
      </c>
      <c r="I95">
        <v>37.630000000000003</v>
      </c>
      <c r="J95">
        <v>45</v>
      </c>
      <c r="K95" t="s">
        <v>15</v>
      </c>
      <c r="L95">
        <f>Procurement_kpi_Analysis[[#This Row],[Quantity]]*Procurement_kpi_Analysis[[#This Row],[Negotiated_Price]]</f>
        <v>69427.350000000006</v>
      </c>
      <c r="M95">
        <f>IF(Procurement_kpi_Analysis[[#This Row],[Delivery_Date]]="","",Procurement_kpi_Analysis[[#This Row],[Delivery_Date]]-Procurement_kpi_Analysis[[#This Row],[Order_Date]])</f>
        <v>5</v>
      </c>
      <c r="N95" s="2">
        <f>Procurement_kpi_Analysis[[#This Row],[Defective_Units]]/Procurement_kpi_Analysis[[#This Row],[Quantity]]</f>
        <v>2.4390243902439025E-2</v>
      </c>
      <c r="O95" s="2">
        <f>(Procurement_kpi_Analysis[[#This Row],[Unit_Price]]-Procurement_kpi_Analysis[[#This Row],[Negotiated_Price]])*Procurement_kpi_Analysis[[#This Row],[Quantity]]</f>
        <v>3560.8499999999995</v>
      </c>
      <c r="P95" s="2">
        <f>Procurement_kpi_Analysis[[#This Row],[Total Savings]]/Procurement_kpi_Analysis[[#This Row],[Total Spend]]</f>
        <v>5.128886526707413E-2</v>
      </c>
      <c r="Q95" s="2" t="str">
        <f>IF(Procurement_kpi_Analysis[[#This Row],[Lead Time]]&lt;=14,"On Time","Late")</f>
        <v>On Time</v>
      </c>
      <c r="R95" s="2">
        <f>Procurement_kpi_Analysis[[#This Row],[Unit_Price]]*Procurement_kpi_Analysis[[#This Row],[Quantity]]</f>
        <v>72988.2</v>
      </c>
      <c r="S95" s="2">
        <f>IF(Procurement_kpi_Analysis[[#This Row],[Compliance]]="Yes",1,0)</f>
        <v>1</v>
      </c>
      <c r="T95" s="2">
        <f>IF(Procurement_kpi_Analysis[[#This Row],[Compliance]]="No",1,0)</f>
        <v>0</v>
      </c>
    </row>
    <row r="96" spans="1:20" x14ac:dyDescent="0.3">
      <c r="A96" t="s">
        <v>121</v>
      </c>
      <c r="B96" t="s">
        <v>23</v>
      </c>
      <c r="C96" s="1">
        <v>45217</v>
      </c>
      <c r="D96" s="1"/>
      <c r="E96" t="s">
        <v>39</v>
      </c>
      <c r="F96" t="s">
        <v>14</v>
      </c>
      <c r="G96">
        <v>1895</v>
      </c>
      <c r="H96">
        <v>91.98</v>
      </c>
      <c r="I96">
        <v>86.27</v>
      </c>
      <c r="J96">
        <v>170</v>
      </c>
      <c r="K96" t="s">
        <v>15</v>
      </c>
      <c r="L96">
        <f>Procurement_kpi_Analysis[[#This Row],[Quantity]]*Procurement_kpi_Analysis[[#This Row],[Negotiated_Price]]</f>
        <v>163481.65</v>
      </c>
      <c r="M96" t="str">
        <f>IF(Procurement_kpi_Analysis[[#This Row],[Delivery_Date]]="","",Procurement_kpi_Analysis[[#This Row],[Delivery_Date]]-Procurement_kpi_Analysis[[#This Row],[Order_Date]])</f>
        <v/>
      </c>
      <c r="N96" s="2">
        <f>Procurement_kpi_Analysis[[#This Row],[Defective_Units]]/Procurement_kpi_Analysis[[#This Row],[Quantity]]</f>
        <v>8.9709762532981532E-2</v>
      </c>
      <c r="O96" s="2">
        <f>(Procurement_kpi_Analysis[[#This Row],[Unit_Price]]-Procurement_kpi_Analysis[[#This Row],[Negotiated_Price]])*Procurement_kpi_Analysis[[#This Row],[Quantity]]</f>
        <v>10820.450000000015</v>
      </c>
      <c r="P96" s="2">
        <f>Procurement_kpi_Analysis[[#This Row],[Total Savings]]/Procurement_kpi_Analysis[[#This Row],[Total Spend]]</f>
        <v>6.6187550712878268E-2</v>
      </c>
      <c r="Q96" s="2" t="str">
        <f>IF(Procurement_kpi_Analysis[[#This Row],[Lead Time]]&lt;=14,"On Time","Late")</f>
        <v>Late</v>
      </c>
      <c r="R96" s="2">
        <f>Procurement_kpi_Analysis[[#This Row],[Unit_Price]]*Procurement_kpi_Analysis[[#This Row],[Quantity]]</f>
        <v>174302.1</v>
      </c>
      <c r="S96" s="2">
        <f>IF(Procurement_kpi_Analysis[[#This Row],[Compliance]]="Yes",1,0)</f>
        <v>1</v>
      </c>
      <c r="T96" s="2">
        <f>IF(Procurement_kpi_Analysis[[#This Row],[Compliance]]="No",1,0)</f>
        <v>0</v>
      </c>
    </row>
    <row r="97" spans="1:20" x14ac:dyDescent="0.3">
      <c r="A97" t="s">
        <v>122</v>
      </c>
      <c r="B97" t="s">
        <v>29</v>
      </c>
      <c r="C97" s="1">
        <v>45266</v>
      </c>
      <c r="D97" s="1">
        <v>45269</v>
      </c>
      <c r="E97" t="s">
        <v>21</v>
      </c>
      <c r="F97" t="s">
        <v>33</v>
      </c>
      <c r="G97">
        <v>1550</v>
      </c>
      <c r="H97">
        <v>79.86</v>
      </c>
      <c r="I97">
        <v>69.569999999999993</v>
      </c>
      <c r="J97">
        <v>32</v>
      </c>
      <c r="K97" t="s">
        <v>27</v>
      </c>
      <c r="L97">
        <f>Procurement_kpi_Analysis[[#This Row],[Quantity]]*Procurement_kpi_Analysis[[#This Row],[Negotiated_Price]]</f>
        <v>107833.49999999999</v>
      </c>
      <c r="M97">
        <f>IF(Procurement_kpi_Analysis[[#This Row],[Delivery_Date]]="","",Procurement_kpi_Analysis[[#This Row],[Delivery_Date]]-Procurement_kpi_Analysis[[#This Row],[Order_Date]])</f>
        <v>3</v>
      </c>
      <c r="N97" s="2">
        <f>Procurement_kpi_Analysis[[#This Row],[Defective_Units]]/Procurement_kpi_Analysis[[#This Row],[Quantity]]</f>
        <v>2.0645161290322581E-2</v>
      </c>
      <c r="O97" s="2">
        <f>(Procurement_kpi_Analysis[[#This Row],[Unit_Price]]-Procurement_kpi_Analysis[[#This Row],[Negotiated_Price]])*Procurement_kpi_Analysis[[#This Row],[Quantity]]</f>
        <v>15949.500000000009</v>
      </c>
      <c r="P97" s="2">
        <f>Procurement_kpi_Analysis[[#This Row],[Total Savings]]/Procurement_kpi_Analysis[[#This Row],[Total Spend]]</f>
        <v>0.14790858128503676</v>
      </c>
      <c r="Q97" s="2" t="str">
        <f>IF(Procurement_kpi_Analysis[[#This Row],[Lead Time]]&lt;=14,"On Time","Late")</f>
        <v>On Time</v>
      </c>
      <c r="R97" s="2">
        <f>Procurement_kpi_Analysis[[#This Row],[Unit_Price]]*Procurement_kpi_Analysis[[#This Row],[Quantity]]</f>
        <v>123783</v>
      </c>
      <c r="S97" s="2">
        <f>IF(Procurement_kpi_Analysis[[#This Row],[Compliance]]="Yes",1,0)</f>
        <v>0</v>
      </c>
      <c r="T97" s="2">
        <f>IF(Procurement_kpi_Analysis[[#This Row],[Compliance]]="No",1,0)</f>
        <v>1</v>
      </c>
    </row>
    <row r="98" spans="1:20" x14ac:dyDescent="0.3">
      <c r="A98" t="s">
        <v>123</v>
      </c>
      <c r="B98" t="s">
        <v>17</v>
      </c>
      <c r="C98" s="1">
        <v>45132</v>
      </c>
      <c r="D98" s="1">
        <v>45142</v>
      </c>
      <c r="E98" t="s">
        <v>24</v>
      </c>
      <c r="F98" t="s">
        <v>18</v>
      </c>
      <c r="G98">
        <v>752</v>
      </c>
      <c r="H98">
        <v>26.85</v>
      </c>
      <c r="I98">
        <v>24.37</v>
      </c>
      <c r="J98">
        <v>0</v>
      </c>
      <c r="K98" t="s">
        <v>27</v>
      </c>
      <c r="L98">
        <f>Procurement_kpi_Analysis[[#This Row],[Quantity]]*Procurement_kpi_Analysis[[#This Row],[Negotiated_Price]]</f>
        <v>18326.240000000002</v>
      </c>
      <c r="M98">
        <f>IF(Procurement_kpi_Analysis[[#This Row],[Delivery_Date]]="","",Procurement_kpi_Analysis[[#This Row],[Delivery_Date]]-Procurement_kpi_Analysis[[#This Row],[Order_Date]])</f>
        <v>10</v>
      </c>
      <c r="N98" s="2">
        <f>Procurement_kpi_Analysis[[#This Row],[Defective_Units]]/Procurement_kpi_Analysis[[#This Row],[Quantity]]</f>
        <v>0</v>
      </c>
      <c r="O98" s="2">
        <f>(Procurement_kpi_Analysis[[#This Row],[Unit_Price]]-Procurement_kpi_Analysis[[#This Row],[Negotiated_Price]])*Procurement_kpi_Analysis[[#This Row],[Quantity]]</f>
        <v>1864.9600000000003</v>
      </c>
      <c r="P98" s="2">
        <f>Procurement_kpi_Analysis[[#This Row],[Total Savings]]/Procurement_kpi_Analysis[[#This Row],[Total Spend]]</f>
        <v>0.10176446450553961</v>
      </c>
      <c r="Q98" s="2" t="str">
        <f>IF(Procurement_kpi_Analysis[[#This Row],[Lead Time]]&lt;=14,"On Time","Late")</f>
        <v>On Time</v>
      </c>
      <c r="R98" s="2">
        <f>Procurement_kpi_Analysis[[#This Row],[Unit_Price]]*Procurement_kpi_Analysis[[#This Row],[Quantity]]</f>
        <v>20191.2</v>
      </c>
      <c r="S98" s="2">
        <f>IF(Procurement_kpi_Analysis[[#This Row],[Compliance]]="Yes",1,0)</f>
        <v>0</v>
      </c>
      <c r="T98" s="2">
        <f>IF(Procurement_kpi_Analysis[[#This Row],[Compliance]]="No",1,0)</f>
        <v>1</v>
      </c>
    </row>
    <row r="99" spans="1:20" x14ac:dyDescent="0.3">
      <c r="A99" t="s">
        <v>124</v>
      </c>
      <c r="B99" t="s">
        <v>29</v>
      </c>
      <c r="C99" s="1">
        <v>44786</v>
      </c>
      <c r="D99" s="1">
        <v>44805</v>
      </c>
      <c r="E99" t="s">
        <v>39</v>
      </c>
      <c r="F99" t="s">
        <v>18</v>
      </c>
      <c r="G99">
        <v>451</v>
      </c>
      <c r="H99">
        <v>95.2</v>
      </c>
      <c r="I99">
        <v>90.07</v>
      </c>
      <c r="J99">
        <v>21</v>
      </c>
      <c r="K99" t="s">
        <v>15</v>
      </c>
      <c r="L99">
        <f>Procurement_kpi_Analysis[[#This Row],[Quantity]]*Procurement_kpi_Analysis[[#This Row],[Negotiated_Price]]</f>
        <v>40621.57</v>
      </c>
      <c r="M99">
        <f>IF(Procurement_kpi_Analysis[[#This Row],[Delivery_Date]]="","",Procurement_kpi_Analysis[[#This Row],[Delivery_Date]]-Procurement_kpi_Analysis[[#This Row],[Order_Date]])</f>
        <v>19</v>
      </c>
      <c r="N99" s="2">
        <f>Procurement_kpi_Analysis[[#This Row],[Defective_Units]]/Procurement_kpi_Analysis[[#This Row],[Quantity]]</f>
        <v>4.6563192904656318E-2</v>
      </c>
      <c r="O99" s="2">
        <f>(Procurement_kpi_Analysis[[#This Row],[Unit_Price]]-Procurement_kpi_Analysis[[#This Row],[Negotiated_Price]])*Procurement_kpi_Analysis[[#This Row],[Quantity]]</f>
        <v>2313.6300000000042</v>
      </c>
      <c r="P99" s="2">
        <f>Procurement_kpi_Analysis[[#This Row],[Total Savings]]/Procurement_kpi_Analysis[[#This Row],[Total Spend]]</f>
        <v>5.6955701121350163E-2</v>
      </c>
      <c r="Q99" s="2" t="str">
        <f>IF(Procurement_kpi_Analysis[[#This Row],[Lead Time]]&lt;=14,"On Time","Late")</f>
        <v>Late</v>
      </c>
      <c r="R99" s="2">
        <f>Procurement_kpi_Analysis[[#This Row],[Unit_Price]]*Procurement_kpi_Analysis[[#This Row],[Quantity]]</f>
        <v>42935.200000000004</v>
      </c>
      <c r="S99" s="2">
        <f>IF(Procurement_kpi_Analysis[[#This Row],[Compliance]]="Yes",1,0)</f>
        <v>1</v>
      </c>
      <c r="T99" s="2">
        <f>IF(Procurement_kpi_Analysis[[#This Row],[Compliance]]="No",1,0)</f>
        <v>0</v>
      </c>
    </row>
    <row r="100" spans="1:20" x14ac:dyDescent="0.3">
      <c r="A100" t="s">
        <v>125</v>
      </c>
      <c r="B100" t="s">
        <v>23</v>
      </c>
      <c r="C100" s="1">
        <v>45263</v>
      </c>
      <c r="D100" s="1"/>
      <c r="E100" t="s">
        <v>13</v>
      </c>
      <c r="F100" t="s">
        <v>18</v>
      </c>
      <c r="G100">
        <v>779</v>
      </c>
      <c r="H100">
        <v>93.69</v>
      </c>
      <c r="I100">
        <v>90.92</v>
      </c>
      <c r="J100">
        <v>66</v>
      </c>
      <c r="K100" t="s">
        <v>15</v>
      </c>
      <c r="L100">
        <f>Procurement_kpi_Analysis[[#This Row],[Quantity]]*Procurement_kpi_Analysis[[#This Row],[Negotiated_Price]]</f>
        <v>70826.680000000008</v>
      </c>
      <c r="M100" t="str">
        <f>IF(Procurement_kpi_Analysis[[#This Row],[Delivery_Date]]="","",Procurement_kpi_Analysis[[#This Row],[Delivery_Date]]-Procurement_kpi_Analysis[[#This Row],[Order_Date]])</f>
        <v/>
      </c>
      <c r="N100" s="2">
        <f>Procurement_kpi_Analysis[[#This Row],[Defective_Units]]/Procurement_kpi_Analysis[[#This Row],[Quantity]]</f>
        <v>8.4724005134788186E-2</v>
      </c>
      <c r="O100" s="2">
        <f>(Procurement_kpi_Analysis[[#This Row],[Unit_Price]]-Procurement_kpi_Analysis[[#This Row],[Negotiated_Price]])*Procurement_kpi_Analysis[[#This Row],[Quantity]]</f>
        <v>2157.8299999999967</v>
      </c>
      <c r="P100" s="2">
        <f>Procurement_kpi_Analysis[[#This Row],[Total Savings]]/Procurement_kpi_Analysis[[#This Row],[Total Spend]]</f>
        <v>3.0466344038715305E-2</v>
      </c>
      <c r="Q100" s="2" t="str">
        <f>IF(Procurement_kpi_Analysis[[#This Row],[Lead Time]]&lt;=14,"On Time","Late")</f>
        <v>Late</v>
      </c>
      <c r="R100" s="2">
        <f>Procurement_kpi_Analysis[[#This Row],[Unit_Price]]*Procurement_kpi_Analysis[[#This Row],[Quantity]]</f>
        <v>72984.509999999995</v>
      </c>
      <c r="S100" s="2">
        <f>IF(Procurement_kpi_Analysis[[#This Row],[Compliance]]="Yes",1,0)</f>
        <v>1</v>
      </c>
      <c r="T100" s="2">
        <f>IF(Procurement_kpi_Analysis[[#This Row],[Compliance]]="No",1,0)</f>
        <v>0</v>
      </c>
    </row>
    <row r="101" spans="1:20" x14ac:dyDescent="0.3">
      <c r="A101" t="s">
        <v>126</v>
      </c>
      <c r="B101" t="s">
        <v>23</v>
      </c>
      <c r="C101" s="1">
        <v>44894</v>
      </c>
      <c r="D101" s="1">
        <v>44909</v>
      </c>
      <c r="E101" t="s">
        <v>21</v>
      </c>
      <c r="F101" t="s">
        <v>35</v>
      </c>
      <c r="G101">
        <v>1629</v>
      </c>
      <c r="H101">
        <v>100.26</v>
      </c>
      <c r="I101">
        <v>86.44</v>
      </c>
      <c r="J101">
        <v>187</v>
      </c>
      <c r="K101" t="s">
        <v>27</v>
      </c>
      <c r="L101">
        <f>Procurement_kpi_Analysis[[#This Row],[Quantity]]*Procurement_kpi_Analysis[[#This Row],[Negotiated_Price]]</f>
        <v>140810.76</v>
      </c>
      <c r="M101">
        <f>IF(Procurement_kpi_Analysis[[#This Row],[Delivery_Date]]="","",Procurement_kpi_Analysis[[#This Row],[Delivery_Date]]-Procurement_kpi_Analysis[[#This Row],[Order_Date]])</f>
        <v>15</v>
      </c>
      <c r="N101" s="2">
        <f>Procurement_kpi_Analysis[[#This Row],[Defective_Units]]/Procurement_kpi_Analysis[[#This Row],[Quantity]]</f>
        <v>0.11479435236341314</v>
      </c>
      <c r="O101" s="2">
        <f>(Procurement_kpi_Analysis[[#This Row],[Unit_Price]]-Procurement_kpi_Analysis[[#This Row],[Negotiated_Price]])*Procurement_kpi_Analysis[[#This Row],[Quantity]]</f>
        <v>22512.780000000013</v>
      </c>
      <c r="P101" s="2">
        <f>Procurement_kpi_Analysis[[#This Row],[Total Savings]]/Procurement_kpi_Analysis[[#This Row],[Total Spend]]</f>
        <v>0.15987968533086541</v>
      </c>
      <c r="Q101" s="2" t="str">
        <f>IF(Procurement_kpi_Analysis[[#This Row],[Lead Time]]&lt;=14,"On Time","Late")</f>
        <v>Late</v>
      </c>
      <c r="R101" s="2">
        <f>Procurement_kpi_Analysis[[#This Row],[Unit_Price]]*Procurement_kpi_Analysis[[#This Row],[Quantity]]</f>
        <v>163323.54</v>
      </c>
      <c r="S101" s="2">
        <f>IF(Procurement_kpi_Analysis[[#This Row],[Compliance]]="Yes",1,0)</f>
        <v>0</v>
      </c>
      <c r="T101" s="2">
        <f>IF(Procurement_kpi_Analysis[[#This Row],[Compliance]]="No",1,0)</f>
        <v>1</v>
      </c>
    </row>
    <row r="102" spans="1:20" x14ac:dyDescent="0.3">
      <c r="A102" t="s">
        <v>127</v>
      </c>
      <c r="B102" t="s">
        <v>12</v>
      </c>
      <c r="C102" s="1">
        <v>44619</v>
      </c>
      <c r="D102" s="1">
        <v>44614</v>
      </c>
      <c r="E102" t="s">
        <v>13</v>
      </c>
      <c r="F102" t="s">
        <v>18</v>
      </c>
      <c r="G102">
        <v>211</v>
      </c>
      <c r="H102">
        <v>75.69</v>
      </c>
      <c r="I102">
        <v>65.400000000000006</v>
      </c>
      <c r="J102">
        <v>2</v>
      </c>
      <c r="K102" t="s">
        <v>15</v>
      </c>
      <c r="L102">
        <f>Procurement_kpi_Analysis[[#This Row],[Quantity]]*Procurement_kpi_Analysis[[#This Row],[Negotiated_Price]]</f>
        <v>13799.400000000001</v>
      </c>
      <c r="M102">
        <f>IF(Procurement_kpi_Analysis[[#This Row],[Delivery_Date]]="","",Procurement_kpi_Analysis[[#This Row],[Delivery_Date]]-Procurement_kpi_Analysis[[#This Row],[Order_Date]])</f>
        <v>-5</v>
      </c>
      <c r="N102" s="2">
        <f>Procurement_kpi_Analysis[[#This Row],[Defective_Units]]/Procurement_kpi_Analysis[[#This Row],[Quantity]]</f>
        <v>9.4786729857819912E-3</v>
      </c>
      <c r="O102" s="2">
        <f>(Procurement_kpi_Analysis[[#This Row],[Unit_Price]]-Procurement_kpi_Analysis[[#This Row],[Negotiated_Price]])*Procurement_kpi_Analysis[[#This Row],[Quantity]]</f>
        <v>2171.1899999999982</v>
      </c>
      <c r="P102" s="2">
        <f>Procurement_kpi_Analysis[[#This Row],[Total Savings]]/Procurement_kpi_Analysis[[#This Row],[Total Spend]]</f>
        <v>0.15733944954128426</v>
      </c>
      <c r="Q102" s="2" t="str">
        <f>IF(Procurement_kpi_Analysis[[#This Row],[Lead Time]]&lt;=14,"On Time","Late")</f>
        <v>On Time</v>
      </c>
      <c r="R102" s="2">
        <f>Procurement_kpi_Analysis[[#This Row],[Unit_Price]]*Procurement_kpi_Analysis[[#This Row],[Quantity]]</f>
        <v>15970.59</v>
      </c>
      <c r="S102" s="2">
        <f>IF(Procurement_kpi_Analysis[[#This Row],[Compliance]]="Yes",1,0)</f>
        <v>1</v>
      </c>
      <c r="T102" s="2">
        <f>IF(Procurement_kpi_Analysis[[#This Row],[Compliance]]="No",1,0)</f>
        <v>0</v>
      </c>
    </row>
    <row r="103" spans="1:20" x14ac:dyDescent="0.3">
      <c r="A103" t="s">
        <v>128</v>
      </c>
      <c r="B103" t="s">
        <v>12</v>
      </c>
      <c r="C103" s="1">
        <v>44796</v>
      </c>
      <c r="D103" s="1"/>
      <c r="E103" t="s">
        <v>13</v>
      </c>
      <c r="F103" t="s">
        <v>18</v>
      </c>
      <c r="G103">
        <v>251</v>
      </c>
      <c r="H103">
        <v>67.489999999999995</v>
      </c>
      <c r="I103">
        <v>64.48</v>
      </c>
      <c r="J103">
        <v>2</v>
      </c>
      <c r="K103" t="s">
        <v>15</v>
      </c>
      <c r="L103">
        <f>Procurement_kpi_Analysis[[#This Row],[Quantity]]*Procurement_kpi_Analysis[[#This Row],[Negotiated_Price]]</f>
        <v>16184.480000000001</v>
      </c>
      <c r="M103" t="str">
        <f>IF(Procurement_kpi_Analysis[[#This Row],[Delivery_Date]]="","",Procurement_kpi_Analysis[[#This Row],[Delivery_Date]]-Procurement_kpi_Analysis[[#This Row],[Order_Date]])</f>
        <v/>
      </c>
      <c r="N103" s="2">
        <f>Procurement_kpi_Analysis[[#This Row],[Defective_Units]]/Procurement_kpi_Analysis[[#This Row],[Quantity]]</f>
        <v>7.9681274900398405E-3</v>
      </c>
      <c r="O103" s="2">
        <f>(Procurement_kpi_Analysis[[#This Row],[Unit_Price]]-Procurement_kpi_Analysis[[#This Row],[Negotiated_Price]])*Procurement_kpi_Analysis[[#This Row],[Quantity]]</f>
        <v>755.50999999999772</v>
      </c>
      <c r="P103" s="2">
        <f>Procurement_kpi_Analysis[[#This Row],[Total Savings]]/Procurement_kpi_Analysis[[#This Row],[Total Spend]]</f>
        <v>4.6681141439205813E-2</v>
      </c>
      <c r="Q103" s="2" t="str">
        <f>IF(Procurement_kpi_Analysis[[#This Row],[Lead Time]]&lt;=14,"On Time","Late")</f>
        <v>Late</v>
      </c>
      <c r="R103" s="2">
        <f>Procurement_kpi_Analysis[[#This Row],[Unit_Price]]*Procurement_kpi_Analysis[[#This Row],[Quantity]]</f>
        <v>16939.989999999998</v>
      </c>
      <c r="S103" s="2">
        <f>IF(Procurement_kpi_Analysis[[#This Row],[Compliance]]="Yes",1,0)</f>
        <v>1</v>
      </c>
      <c r="T103" s="2">
        <f>IF(Procurement_kpi_Analysis[[#This Row],[Compliance]]="No",1,0)</f>
        <v>0</v>
      </c>
    </row>
    <row r="104" spans="1:20" x14ac:dyDescent="0.3">
      <c r="A104" t="s">
        <v>129</v>
      </c>
      <c r="B104" t="s">
        <v>20</v>
      </c>
      <c r="C104" s="1">
        <v>44594</v>
      </c>
      <c r="D104" s="1">
        <v>44610</v>
      </c>
      <c r="E104" t="s">
        <v>26</v>
      </c>
      <c r="F104" t="s">
        <v>18</v>
      </c>
      <c r="G104">
        <v>1045</v>
      </c>
      <c r="H104">
        <v>47.88</v>
      </c>
      <c r="I104">
        <v>44.65</v>
      </c>
      <c r="J104">
        <v>69</v>
      </c>
      <c r="K104" t="s">
        <v>15</v>
      </c>
      <c r="L104">
        <f>Procurement_kpi_Analysis[[#This Row],[Quantity]]*Procurement_kpi_Analysis[[#This Row],[Negotiated_Price]]</f>
        <v>46659.25</v>
      </c>
      <c r="M104">
        <f>IF(Procurement_kpi_Analysis[[#This Row],[Delivery_Date]]="","",Procurement_kpi_Analysis[[#This Row],[Delivery_Date]]-Procurement_kpi_Analysis[[#This Row],[Order_Date]])</f>
        <v>16</v>
      </c>
      <c r="N104" s="2">
        <f>Procurement_kpi_Analysis[[#This Row],[Defective_Units]]/Procurement_kpi_Analysis[[#This Row],[Quantity]]</f>
        <v>6.6028708133971298E-2</v>
      </c>
      <c r="O104" s="2">
        <f>(Procurement_kpi_Analysis[[#This Row],[Unit_Price]]-Procurement_kpi_Analysis[[#This Row],[Negotiated_Price]])*Procurement_kpi_Analysis[[#This Row],[Quantity]]</f>
        <v>3375.350000000004</v>
      </c>
      <c r="P104" s="2">
        <f>Procurement_kpi_Analysis[[#This Row],[Total Savings]]/Procurement_kpi_Analysis[[#This Row],[Total Spend]]</f>
        <v>7.2340425531914984E-2</v>
      </c>
      <c r="Q104" s="2" t="str">
        <f>IF(Procurement_kpi_Analysis[[#This Row],[Lead Time]]&lt;=14,"On Time","Late")</f>
        <v>Late</v>
      </c>
      <c r="R104" s="2">
        <f>Procurement_kpi_Analysis[[#This Row],[Unit_Price]]*Procurement_kpi_Analysis[[#This Row],[Quantity]]</f>
        <v>50034.600000000006</v>
      </c>
      <c r="S104" s="2">
        <f>IF(Procurement_kpi_Analysis[[#This Row],[Compliance]]="Yes",1,0)</f>
        <v>1</v>
      </c>
      <c r="T104" s="2">
        <f>IF(Procurement_kpi_Analysis[[#This Row],[Compliance]]="No",1,0)</f>
        <v>0</v>
      </c>
    </row>
    <row r="105" spans="1:20" x14ac:dyDescent="0.3">
      <c r="A105" t="s">
        <v>130</v>
      </c>
      <c r="B105" t="s">
        <v>17</v>
      </c>
      <c r="C105" s="1">
        <v>44885</v>
      </c>
      <c r="D105" s="1">
        <v>44905</v>
      </c>
      <c r="E105" t="s">
        <v>21</v>
      </c>
      <c r="F105" t="s">
        <v>18</v>
      </c>
      <c r="G105">
        <v>319</v>
      </c>
      <c r="H105">
        <v>98.64</v>
      </c>
      <c r="I105">
        <v>89.15</v>
      </c>
      <c r="J105">
        <v>57</v>
      </c>
      <c r="K105" t="s">
        <v>15</v>
      </c>
      <c r="L105">
        <f>Procurement_kpi_Analysis[[#This Row],[Quantity]]*Procurement_kpi_Analysis[[#This Row],[Negotiated_Price]]</f>
        <v>28438.850000000002</v>
      </c>
      <c r="M105">
        <f>IF(Procurement_kpi_Analysis[[#This Row],[Delivery_Date]]="","",Procurement_kpi_Analysis[[#This Row],[Delivery_Date]]-Procurement_kpi_Analysis[[#This Row],[Order_Date]])</f>
        <v>20</v>
      </c>
      <c r="N105" s="2">
        <f>Procurement_kpi_Analysis[[#This Row],[Defective_Units]]/Procurement_kpi_Analysis[[#This Row],[Quantity]]</f>
        <v>0.17868338557993729</v>
      </c>
      <c r="O105" s="2">
        <f>(Procurement_kpi_Analysis[[#This Row],[Unit_Price]]-Procurement_kpi_Analysis[[#This Row],[Negotiated_Price]])*Procurement_kpi_Analysis[[#This Row],[Quantity]]</f>
        <v>3027.3099999999986</v>
      </c>
      <c r="P105" s="2">
        <f>Procurement_kpi_Analysis[[#This Row],[Total Savings]]/Procurement_kpi_Analysis[[#This Row],[Total Spend]]</f>
        <v>0.10644980370162642</v>
      </c>
      <c r="Q105" s="2" t="str">
        <f>IF(Procurement_kpi_Analysis[[#This Row],[Lead Time]]&lt;=14,"On Time","Late")</f>
        <v>Late</v>
      </c>
      <c r="R105" s="2">
        <f>Procurement_kpi_Analysis[[#This Row],[Unit_Price]]*Procurement_kpi_Analysis[[#This Row],[Quantity]]</f>
        <v>31466.16</v>
      </c>
      <c r="S105" s="2">
        <f>IF(Procurement_kpi_Analysis[[#This Row],[Compliance]]="Yes",1,0)</f>
        <v>1</v>
      </c>
      <c r="T105" s="2">
        <f>IF(Procurement_kpi_Analysis[[#This Row],[Compliance]]="No",1,0)</f>
        <v>0</v>
      </c>
    </row>
    <row r="106" spans="1:20" x14ac:dyDescent="0.3">
      <c r="A106" t="s">
        <v>131</v>
      </c>
      <c r="B106" t="s">
        <v>29</v>
      </c>
      <c r="C106" s="1">
        <v>44972</v>
      </c>
      <c r="D106" s="1">
        <v>44986</v>
      </c>
      <c r="E106" t="s">
        <v>13</v>
      </c>
      <c r="F106" t="s">
        <v>33</v>
      </c>
      <c r="G106">
        <v>1936</v>
      </c>
      <c r="H106">
        <v>93.66</v>
      </c>
      <c r="I106">
        <v>92.24</v>
      </c>
      <c r="J106">
        <v>58</v>
      </c>
      <c r="K106" t="s">
        <v>15</v>
      </c>
      <c r="L106">
        <f>Procurement_kpi_Analysis[[#This Row],[Quantity]]*Procurement_kpi_Analysis[[#This Row],[Negotiated_Price]]</f>
        <v>178576.63999999998</v>
      </c>
      <c r="M106">
        <f>IF(Procurement_kpi_Analysis[[#This Row],[Delivery_Date]]="","",Procurement_kpi_Analysis[[#This Row],[Delivery_Date]]-Procurement_kpi_Analysis[[#This Row],[Order_Date]])</f>
        <v>14</v>
      </c>
      <c r="N106" s="2">
        <f>Procurement_kpi_Analysis[[#This Row],[Defective_Units]]/Procurement_kpi_Analysis[[#This Row],[Quantity]]</f>
        <v>2.9958677685950414E-2</v>
      </c>
      <c r="O106" s="2">
        <f>(Procurement_kpi_Analysis[[#This Row],[Unit_Price]]-Procurement_kpi_Analysis[[#This Row],[Negotiated_Price]])*Procurement_kpi_Analysis[[#This Row],[Quantity]]</f>
        <v>2749.1200000000035</v>
      </c>
      <c r="P106" s="2">
        <f>Procurement_kpi_Analysis[[#This Row],[Total Savings]]/Procurement_kpi_Analysis[[#This Row],[Total Spend]]</f>
        <v>1.5394622723330463E-2</v>
      </c>
      <c r="Q106" s="2" t="str">
        <f>IF(Procurement_kpi_Analysis[[#This Row],[Lead Time]]&lt;=14,"On Time","Late")</f>
        <v>On Time</v>
      </c>
      <c r="R106" s="2">
        <f>Procurement_kpi_Analysis[[#This Row],[Unit_Price]]*Procurement_kpi_Analysis[[#This Row],[Quantity]]</f>
        <v>181325.75999999998</v>
      </c>
      <c r="S106" s="2">
        <f>IF(Procurement_kpi_Analysis[[#This Row],[Compliance]]="Yes",1,0)</f>
        <v>1</v>
      </c>
      <c r="T106" s="2">
        <f>IF(Procurement_kpi_Analysis[[#This Row],[Compliance]]="No",1,0)</f>
        <v>0</v>
      </c>
    </row>
    <row r="107" spans="1:20" x14ac:dyDescent="0.3">
      <c r="A107" t="s">
        <v>132</v>
      </c>
      <c r="B107" t="s">
        <v>17</v>
      </c>
      <c r="C107" s="1">
        <v>44836</v>
      </c>
      <c r="D107" s="1">
        <v>44856</v>
      </c>
      <c r="E107" t="s">
        <v>21</v>
      </c>
      <c r="F107" t="s">
        <v>14</v>
      </c>
      <c r="G107">
        <v>865</v>
      </c>
      <c r="H107">
        <v>14.7</v>
      </c>
      <c r="I107">
        <v>13.14</v>
      </c>
      <c r="J107">
        <v>135</v>
      </c>
      <c r="K107" t="s">
        <v>27</v>
      </c>
      <c r="L107">
        <f>Procurement_kpi_Analysis[[#This Row],[Quantity]]*Procurement_kpi_Analysis[[#This Row],[Negotiated_Price]]</f>
        <v>11366.1</v>
      </c>
      <c r="M107">
        <f>IF(Procurement_kpi_Analysis[[#This Row],[Delivery_Date]]="","",Procurement_kpi_Analysis[[#This Row],[Delivery_Date]]-Procurement_kpi_Analysis[[#This Row],[Order_Date]])</f>
        <v>20</v>
      </c>
      <c r="N107" s="2">
        <f>Procurement_kpi_Analysis[[#This Row],[Defective_Units]]/Procurement_kpi_Analysis[[#This Row],[Quantity]]</f>
        <v>0.15606936416184972</v>
      </c>
      <c r="O107" s="2">
        <f>(Procurement_kpi_Analysis[[#This Row],[Unit_Price]]-Procurement_kpi_Analysis[[#This Row],[Negotiated_Price]])*Procurement_kpi_Analysis[[#This Row],[Quantity]]</f>
        <v>1349.399999999999</v>
      </c>
      <c r="P107" s="2">
        <f>Procurement_kpi_Analysis[[#This Row],[Total Savings]]/Procurement_kpi_Analysis[[#This Row],[Total Spend]]</f>
        <v>0.11872146118721452</v>
      </c>
      <c r="Q107" s="2" t="str">
        <f>IF(Procurement_kpi_Analysis[[#This Row],[Lead Time]]&lt;=14,"On Time","Late")</f>
        <v>Late</v>
      </c>
      <c r="R107" s="2">
        <f>Procurement_kpi_Analysis[[#This Row],[Unit_Price]]*Procurement_kpi_Analysis[[#This Row],[Quantity]]</f>
        <v>12715.5</v>
      </c>
      <c r="S107" s="2">
        <f>IF(Procurement_kpi_Analysis[[#This Row],[Compliance]]="Yes",1,0)</f>
        <v>0</v>
      </c>
      <c r="T107" s="2">
        <f>IF(Procurement_kpi_Analysis[[#This Row],[Compliance]]="No",1,0)</f>
        <v>1</v>
      </c>
    </row>
    <row r="108" spans="1:20" x14ac:dyDescent="0.3">
      <c r="A108" t="s">
        <v>133</v>
      </c>
      <c r="B108" t="s">
        <v>29</v>
      </c>
      <c r="C108" s="1">
        <v>44629</v>
      </c>
      <c r="D108" s="1">
        <v>44632</v>
      </c>
      <c r="E108" t="s">
        <v>39</v>
      </c>
      <c r="F108" t="s">
        <v>18</v>
      </c>
      <c r="G108">
        <v>1344</v>
      </c>
      <c r="H108">
        <v>12.5</v>
      </c>
      <c r="I108">
        <v>10.87</v>
      </c>
      <c r="J108">
        <v>44</v>
      </c>
      <c r="K108" t="s">
        <v>15</v>
      </c>
      <c r="L108">
        <f>Procurement_kpi_Analysis[[#This Row],[Quantity]]*Procurement_kpi_Analysis[[#This Row],[Negotiated_Price]]</f>
        <v>14609.279999999999</v>
      </c>
      <c r="M108">
        <f>IF(Procurement_kpi_Analysis[[#This Row],[Delivery_Date]]="","",Procurement_kpi_Analysis[[#This Row],[Delivery_Date]]-Procurement_kpi_Analysis[[#This Row],[Order_Date]])</f>
        <v>3</v>
      </c>
      <c r="N108" s="2">
        <f>Procurement_kpi_Analysis[[#This Row],[Defective_Units]]/Procurement_kpi_Analysis[[#This Row],[Quantity]]</f>
        <v>3.273809523809524E-2</v>
      </c>
      <c r="O108" s="2">
        <f>(Procurement_kpi_Analysis[[#This Row],[Unit_Price]]-Procurement_kpi_Analysis[[#This Row],[Negotiated_Price]])*Procurement_kpi_Analysis[[#This Row],[Quantity]]</f>
        <v>2190.7200000000012</v>
      </c>
      <c r="P108" s="2">
        <f>Procurement_kpi_Analysis[[#This Row],[Total Savings]]/Procurement_kpi_Analysis[[#This Row],[Total Spend]]</f>
        <v>0.14995400183992649</v>
      </c>
      <c r="Q108" s="2" t="str">
        <f>IF(Procurement_kpi_Analysis[[#This Row],[Lead Time]]&lt;=14,"On Time","Late")</f>
        <v>On Time</v>
      </c>
      <c r="R108" s="2">
        <f>Procurement_kpi_Analysis[[#This Row],[Unit_Price]]*Procurement_kpi_Analysis[[#This Row],[Quantity]]</f>
        <v>16800</v>
      </c>
      <c r="S108" s="2">
        <f>IF(Procurement_kpi_Analysis[[#This Row],[Compliance]]="Yes",1,0)</f>
        <v>1</v>
      </c>
      <c r="T108" s="2">
        <f>IF(Procurement_kpi_Analysis[[#This Row],[Compliance]]="No",1,0)</f>
        <v>0</v>
      </c>
    </row>
    <row r="109" spans="1:20" x14ac:dyDescent="0.3">
      <c r="A109" t="s">
        <v>134</v>
      </c>
      <c r="B109" t="s">
        <v>17</v>
      </c>
      <c r="C109" s="1">
        <v>44778</v>
      </c>
      <c r="D109" s="1">
        <v>44797</v>
      </c>
      <c r="E109" t="s">
        <v>26</v>
      </c>
      <c r="F109" t="s">
        <v>35</v>
      </c>
      <c r="G109">
        <v>505</v>
      </c>
      <c r="H109">
        <v>45.42</v>
      </c>
      <c r="I109">
        <v>40.369999999999997</v>
      </c>
      <c r="J109">
        <v>62</v>
      </c>
      <c r="K109" t="s">
        <v>15</v>
      </c>
      <c r="L109">
        <f>Procurement_kpi_Analysis[[#This Row],[Quantity]]*Procurement_kpi_Analysis[[#This Row],[Negotiated_Price]]</f>
        <v>20386.849999999999</v>
      </c>
      <c r="M109">
        <f>IF(Procurement_kpi_Analysis[[#This Row],[Delivery_Date]]="","",Procurement_kpi_Analysis[[#This Row],[Delivery_Date]]-Procurement_kpi_Analysis[[#This Row],[Order_Date]])</f>
        <v>19</v>
      </c>
      <c r="N109" s="2">
        <f>Procurement_kpi_Analysis[[#This Row],[Defective_Units]]/Procurement_kpi_Analysis[[#This Row],[Quantity]]</f>
        <v>0.12277227722772277</v>
      </c>
      <c r="O109" s="2">
        <f>(Procurement_kpi_Analysis[[#This Row],[Unit_Price]]-Procurement_kpi_Analysis[[#This Row],[Negotiated_Price]])*Procurement_kpi_Analysis[[#This Row],[Quantity]]</f>
        <v>2550.2500000000023</v>
      </c>
      <c r="P109" s="2">
        <f>Procurement_kpi_Analysis[[#This Row],[Total Savings]]/Procurement_kpi_Analysis[[#This Row],[Total Spend]]</f>
        <v>0.12509289076046581</v>
      </c>
      <c r="Q109" s="2" t="str">
        <f>IF(Procurement_kpi_Analysis[[#This Row],[Lead Time]]&lt;=14,"On Time","Late")</f>
        <v>Late</v>
      </c>
      <c r="R109" s="2">
        <f>Procurement_kpi_Analysis[[#This Row],[Unit_Price]]*Procurement_kpi_Analysis[[#This Row],[Quantity]]</f>
        <v>22937.100000000002</v>
      </c>
      <c r="S109" s="2">
        <f>IF(Procurement_kpi_Analysis[[#This Row],[Compliance]]="Yes",1,0)</f>
        <v>1</v>
      </c>
      <c r="T109" s="2">
        <f>IF(Procurement_kpi_Analysis[[#This Row],[Compliance]]="No",1,0)</f>
        <v>0</v>
      </c>
    </row>
    <row r="110" spans="1:20" x14ac:dyDescent="0.3">
      <c r="A110" t="s">
        <v>135</v>
      </c>
      <c r="B110" t="s">
        <v>23</v>
      </c>
      <c r="C110" s="1">
        <v>45142</v>
      </c>
      <c r="D110" s="1">
        <v>45143</v>
      </c>
      <c r="E110" t="s">
        <v>24</v>
      </c>
      <c r="F110" t="s">
        <v>18</v>
      </c>
      <c r="G110">
        <v>1535</v>
      </c>
      <c r="H110">
        <v>90.83</v>
      </c>
      <c r="I110">
        <v>78.28</v>
      </c>
      <c r="J110">
        <v>151</v>
      </c>
      <c r="K110" t="s">
        <v>27</v>
      </c>
      <c r="L110">
        <f>Procurement_kpi_Analysis[[#This Row],[Quantity]]*Procurement_kpi_Analysis[[#This Row],[Negotiated_Price]]</f>
        <v>120159.8</v>
      </c>
      <c r="M110">
        <f>IF(Procurement_kpi_Analysis[[#This Row],[Delivery_Date]]="","",Procurement_kpi_Analysis[[#This Row],[Delivery_Date]]-Procurement_kpi_Analysis[[#This Row],[Order_Date]])</f>
        <v>1</v>
      </c>
      <c r="N110" s="2">
        <f>Procurement_kpi_Analysis[[#This Row],[Defective_Units]]/Procurement_kpi_Analysis[[#This Row],[Quantity]]</f>
        <v>9.8371335504885998E-2</v>
      </c>
      <c r="O110" s="2">
        <f>(Procurement_kpi_Analysis[[#This Row],[Unit_Price]]-Procurement_kpi_Analysis[[#This Row],[Negotiated_Price]])*Procurement_kpi_Analysis[[#This Row],[Quantity]]</f>
        <v>19264.249999999996</v>
      </c>
      <c r="P110" s="2">
        <f>Procurement_kpi_Analysis[[#This Row],[Total Savings]]/Procurement_kpi_Analysis[[#This Row],[Total Spend]]</f>
        <v>0.16032192130812464</v>
      </c>
      <c r="Q110" s="2" t="str">
        <f>IF(Procurement_kpi_Analysis[[#This Row],[Lead Time]]&lt;=14,"On Time","Late")</f>
        <v>On Time</v>
      </c>
      <c r="R110" s="2">
        <f>Procurement_kpi_Analysis[[#This Row],[Unit_Price]]*Procurement_kpi_Analysis[[#This Row],[Quantity]]</f>
        <v>139424.04999999999</v>
      </c>
      <c r="S110" s="2">
        <f>IF(Procurement_kpi_Analysis[[#This Row],[Compliance]]="Yes",1,0)</f>
        <v>0</v>
      </c>
      <c r="T110" s="2">
        <f>IF(Procurement_kpi_Analysis[[#This Row],[Compliance]]="No",1,0)</f>
        <v>1</v>
      </c>
    </row>
    <row r="111" spans="1:20" x14ac:dyDescent="0.3">
      <c r="A111" t="s">
        <v>136</v>
      </c>
      <c r="B111" t="s">
        <v>23</v>
      </c>
      <c r="C111" s="1">
        <v>44884</v>
      </c>
      <c r="D111" s="1"/>
      <c r="E111" t="s">
        <v>13</v>
      </c>
      <c r="F111" t="s">
        <v>18</v>
      </c>
      <c r="G111">
        <v>1800</v>
      </c>
      <c r="H111">
        <v>103.8</v>
      </c>
      <c r="I111">
        <v>96.27</v>
      </c>
      <c r="J111">
        <v>166</v>
      </c>
      <c r="K111" t="s">
        <v>15</v>
      </c>
      <c r="L111">
        <f>Procurement_kpi_Analysis[[#This Row],[Quantity]]*Procurement_kpi_Analysis[[#This Row],[Negotiated_Price]]</f>
        <v>173286</v>
      </c>
      <c r="M111" t="str">
        <f>IF(Procurement_kpi_Analysis[[#This Row],[Delivery_Date]]="","",Procurement_kpi_Analysis[[#This Row],[Delivery_Date]]-Procurement_kpi_Analysis[[#This Row],[Order_Date]])</f>
        <v/>
      </c>
      <c r="N111" s="2">
        <f>Procurement_kpi_Analysis[[#This Row],[Defective_Units]]/Procurement_kpi_Analysis[[#This Row],[Quantity]]</f>
        <v>9.2222222222222219E-2</v>
      </c>
      <c r="O111" s="2">
        <f>(Procurement_kpi_Analysis[[#This Row],[Unit_Price]]-Procurement_kpi_Analysis[[#This Row],[Negotiated_Price]])*Procurement_kpi_Analysis[[#This Row],[Quantity]]</f>
        <v>13554.000000000002</v>
      </c>
      <c r="P111" s="2">
        <f>Procurement_kpi_Analysis[[#This Row],[Total Savings]]/Procurement_kpi_Analysis[[#This Row],[Total Spend]]</f>
        <v>7.8217513244001252E-2</v>
      </c>
      <c r="Q111" s="2" t="str">
        <f>IF(Procurement_kpi_Analysis[[#This Row],[Lead Time]]&lt;=14,"On Time","Late")</f>
        <v>Late</v>
      </c>
      <c r="R111" s="2">
        <f>Procurement_kpi_Analysis[[#This Row],[Unit_Price]]*Procurement_kpi_Analysis[[#This Row],[Quantity]]</f>
        <v>186840</v>
      </c>
      <c r="S111" s="2">
        <f>IF(Procurement_kpi_Analysis[[#This Row],[Compliance]]="Yes",1,0)</f>
        <v>1</v>
      </c>
      <c r="T111" s="2">
        <f>IF(Procurement_kpi_Analysis[[#This Row],[Compliance]]="No",1,0)</f>
        <v>0</v>
      </c>
    </row>
    <row r="112" spans="1:20" x14ac:dyDescent="0.3">
      <c r="A112" t="s">
        <v>137</v>
      </c>
      <c r="B112" t="s">
        <v>17</v>
      </c>
      <c r="C112" s="1">
        <v>44779</v>
      </c>
      <c r="D112" s="1">
        <v>44788</v>
      </c>
      <c r="E112" t="s">
        <v>26</v>
      </c>
      <c r="F112" t="s">
        <v>35</v>
      </c>
      <c r="G112">
        <v>1325</v>
      </c>
      <c r="H112">
        <v>24.36</v>
      </c>
      <c r="I112">
        <v>22.75</v>
      </c>
      <c r="J112">
        <v>206</v>
      </c>
      <c r="K112" t="s">
        <v>15</v>
      </c>
      <c r="L112">
        <f>Procurement_kpi_Analysis[[#This Row],[Quantity]]*Procurement_kpi_Analysis[[#This Row],[Negotiated_Price]]</f>
        <v>30143.75</v>
      </c>
      <c r="M112">
        <f>IF(Procurement_kpi_Analysis[[#This Row],[Delivery_Date]]="","",Procurement_kpi_Analysis[[#This Row],[Delivery_Date]]-Procurement_kpi_Analysis[[#This Row],[Order_Date]])</f>
        <v>9</v>
      </c>
      <c r="N112" s="2">
        <f>Procurement_kpi_Analysis[[#This Row],[Defective_Units]]/Procurement_kpi_Analysis[[#This Row],[Quantity]]</f>
        <v>0.15547169811320755</v>
      </c>
      <c r="O112" s="2">
        <f>(Procurement_kpi_Analysis[[#This Row],[Unit_Price]]-Procurement_kpi_Analysis[[#This Row],[Negotiated_Price]])*Procurement_kpi_Analysis[[#This Row],[Quantity]]</f>
        <v>2133.2499999999991</v>
      </c>
      <c r="P112" s="2">
        <f>Procurement_kpi_Analysis[[#This Row],[Total Savings]]/Procurement_kpi_Analysis[[#This Row],[Total Spend]]</f>
        <v>7.0769230769230737E-2</v>
      </c>
      <c r="Q112" s="2" t="str">
        <f>IF(Procurement_kpi_Analysis[[#This Row],[Lead Time]]&lt;=14,"On Time","Late")</f>
        <v>On Time</v>
      </c>
      <c r="R112" s="2">
        <f>Procurement_kpi_Analysis[[#This Row],[Unit_Price]]*Procurement_kpi_Analysis[[#This Row],[Quantity]]</f>
        <v>32277</v>
      </c>
      <c r="S112" s="2">
        <f>IF(Procurement_kpi_Analysis[[#This Row],[Compliance]]="Yes",1,0)</f>
        <v>1</v>
      </c>
      <c r="T112" s="2">
        <f>IF(Procurement_kpi_Analysis[[#This Row],[Compliance]]="No",1,0)</f>
        <v>0</v>
      </c>
    </row>
    <row r="113" spans="1:20" x14ac:dyDescent="0.3">
      <c r="A113" t="s">
        <v>138</v>
      </c>
      <c r="B113" t="s">
        <v>20</v>
      </c>
      <c r="C113" s="1">
        <v>45233</v>
      </c>
      <c r="D113" s="1">
        <v>45239</v>
      </c>
      <c r="E113" t="s">
        <v>26</v>
      </c>
      <c r="F113" t="s">
        <v>18</v>
      </c>
      <c r="G113">
        <v>1066</v>
      </c>
      <c r="H113">
        <v>70.45</v>
      </c>
      <c r="I113">
        <v>65.88</v>
      </c>
      <c r="J113">
        <v>56</v>
      </c>
      <c r="K113" t="s">
        <v>27</v>
      </c>
      <c r="L113">
        <f>Procurement_kpi_Analysis[[#This Row],[Quantity]]*Procurement_kpi_Analysis[[#This Row],[Negotiated_Price]]</f>
        <v>70228.08</v>
      </c>
      <c r="M113">
        <f>IF(Procurement_kpi_Analysis[[#This Row],[Delivery_Date]]="","",Procurement_kpi_Analysis[[#This Row],[Delivery_Date]]-Procurement_kpi_Analysis[[#This Row],[Order_Date]])</f>
        <v>6</v>
      </c>
      <c r="N113" s="2">
        <f>Procurement_kpi_Analysis[[#This Row],[Defective_Units]]/Procurement_kpi_Analysis[[#This Row],[Quantity]]</f>
        <v>5.2532833020637902E-2</v>
      </c>
      <c r="O113" s="2">
        <f>(Procurement_kpi_Analysis[[#This Row],[Unit_Price]]-Procurement_kpi_Analysis[[#This Row],[Negotiated_Price]])*Procurement_kpi_Analysis[[#This Row],[Quantity]]</f>
        <v>4871.6200000000081</v>
      </c>
      <c r="P113" s="2">
        <f>Procurement_kpi_Analysis[[#This Row],[Total Savings]]/Procurement_kpi_Analysis[[#This Row],[Total Spend]]</f>
        <v>6.9368548876745706E-2</v>
      </c>
      <c r="Q113" s="2" t="str">
        <f>IF(Procurement_kpi_Analysis[[#This Row],[Lead Time]]&lt;=14,"On Time","Late")</f>
        <v>On Time</v>
      </c>
      <c r="R113" s="2">
        <f>Procurement_kpi_Analysis[[#This Row],[Unit_Price]]*Procurement_kpi_Analysis[[#This Row],[Quantity]]</f>
        <v>75099.7</v>
      </c>
      <c r="S113" s="2">
        <f>IF(Procurement_kpi_Analysis[[#This Row],[Compliance]]="Yes",1,0)</f>
        <v>0</v>
      </c>
      <c r="T113" s="2">
        <f>IF(Procurement_kpi_Analysis[[#This Row],[Compliance]]="No",1,0)</f>
        <v>1</v>
      </c>
    </row>
    <row r="114" spans="1:20" x14ac:dyDescent="0.3">
      <c r="A114" t="s">
        <v>139</v>
      </c>
      <c r="B114" t="s">
        <v>23</v>
      </c>
      <c r="C114" s="1">
        <v>45073</v>
      </c>
      <c r="D114" s="1">
        <v>45088</v>
      </c>
      <c r="E114" t="s">
        <v>26</v>
      </c>
      <c r="F114" t="s">
        <v>18</v>
      </c>
      <c r="G114">
        <v>1775</v>
      </c>
      <c r="H114">
        <v>47.82</v>
      </c>
      <c r="I114">
        <v>45.86</v>
      </c>
      <c r="J114">
        <v>180</v>
      </c>
      <c r="K114" t="s">
        <v>15</v>
      </c>
      <c r="L114">
        <f>Procurement_kpi_Analysis[[#This Row],[Quantity]]*Procurement_kpi_Analysis[[#This Row],[Negotiated_Price]]</f>
        <v>81401.5</v>
      </c>
      <c r="M114">
        <f>IF(Procurement_kpi_Analysis[[#This Row],[Delivery_Date]]="","",Procurement_kpi_Analysis[[#This Row],[Delivery_Date]]-Procurement_kpi_Analysis[[#This Row],[Order_Date]])</f>
        <v>15</v>
      </c>
      <c r="N114" s="2">
        <f>Procurement_kpi_Analysis[[#This Row],[Defective_Units]]/Procurement_kpi_Analysis[[#This Row],[Quantity]]</f>
        <v>0.10140845070422536</v>
      </c>
      <c r="O114" s="2">
        <f>(Procurement_kpi_Analysis[[#This Row],[Unit_Price]]-Procurement_kpi_Analysis[[#This Row],[Negotiated_Price]])*Procurement_kpi_Analysis[[#This Row],[Quantity]]</f>
        <v>3479.0000000000014</v>
      </c>
      <c r="P114" s="2">
        <f>Procurement_kpi_Analysis[[#This Row],[Total Savings]]/Procurement_kpi_Analysis[[#This Row],[Total Spend]]</f>
        <v>4.2738770170082881E-2</v>
      </c>
      <c r="Q114" s="2" t="str">
        <f>IF(Procurement_kpi_Analysis[[#This Row],[Lead Time]]&lt;=14,"On Time","Late")</f>
        <v>Late</v>
      </c>
      <c r="R114" s="2">
        <f>Procurement_kpi_Analysis[[#This Row],[Unit_Price]]*Procurement_kpi_Analysis[[#This Row],[Quantity]]</f>
        <v>84880.5</v>
      </c>
      <c r="S114" s="2">
        <f>IF(Procurement_kpi_Analysis[[#This Row],[Compliance]]="Yes",1,0)</f>
        <v>1</v>
      </c>
      <c r="T114" s="2">
        <f>IF(Procurement_kpi_Analysis[[#This Row],[Compliance]]="No",1,0)</f>
        <v>0</v>
      </c>
    </row>
    <row r="115" spans="1:20" x14ac:dyDescent="0.3">
      <c r="A115" t="s">
        <v>140</v>
      </c>
      <c r="B115" t="s">
        <v>20</v>
      </c>
      <c r="C115" s="1">
        <v>44967</v>
      </c>
      <c r="D115" s="1"/>
      <c r="E115" t="s">
        <v>26</v>
      </c>
      <c r="F115" t="s">
        <v>33</v>
      </c>
      <c r="G115">
        <v>345</v>
      </c>
      <c r="H115">
        <v>103.62</v>
      </c>
      <c r="I115">
        <v>98.09</v>
      </c>
      <c r="J115">
        <v>25</v>
      </c>
      <c r="K115" t="s">
        <v>27</v>
      </c>
      <c r="L115">
        <f>Procurement_kpi_Analysis[[#This Row],[Quantity]]*Procurement_kpi_Analysis[[#This Row],[Negotiated_Price]]</f>
        <v>33841.050000000003</v>
      </c>
      <c r="M115" t="str">
        <f>IF(Procurement_kpi_Analysis[[#This Row],[Delivery_Date]]="","",Procurement_kpi_Analysis[[#This Row],[Delivery_Date]]-Procurement_kpi_Analysis[[#This Row],[Order_Date]])</f>
        <v/>
      </c>
      <c r="N115" s="2">
        <f>Procurement_kpi_Analysis[[#This Row],[Defective_Units]]/Procurement_kpi_Analysis[[#This Row],[Quantity]]</f>
        <v>7.2463768115942032E-2</v>
      </c>
      <c r="O115" s="2">
        <f>(Procurement_kpi_Analysis[[#This Row],[Unit_Price]]-Procurement_kpi_Analysis[[#This Row],[Negotiated_Price]])*Procurement_kpi_Analysis[[#This Row],[Quantity]]</f>
        <v>1907.8500000000004</v>
      </c>
      <c r="P115" s="2">
        <f>Procurement_kpi_Analysis[[#This Row],[Total Savings]]/Procurement_kpi_Analysis[[#This Row],[Total Spend]]</f>
        <v>5.6376796819247635E-2</v>
      </c>
      <c r="Q115" s="2" t="str">
        <f>IF(Procurement_kpi_Analysis[[#This Row],[Lead Time]]&lt;=14,"On Time","Late")</f>
        <v>Late</v>
      </c>
      <c r="R115" s="2">
        <f>Procurement_kpi_Analysis[[#This Row],[Unit_Price]]*Procurement_kpi_Analysis[[#This Row],[Quantity]]</f>
        <v>35748.9</v>
      </c>
      <c r="S115" s="2">
        <f>IF(Procurement_kpi_Analysis[[#This Row],[Compliance]]="Yes",1,0)</f>
        <v>0</v>
      </c>
      <c r="T115" s="2">
        <f>IF(Procurement_kpi_Analysis[[#This Row],[Compliance]]="No",1,0)</f>
        <v>1</v>
      </c>
    </row>
    <row r="116" spans="1:20" x14ac:dyDescent="0.3">
      <c r="A116" t="s">
        <v>141</v>
      </c>
      <c r="B116" t="s">
        <v>23</v>
      </c>
      <c r="C116" s="1">
        <v>45220</v>
      </c>
      <c r="D116" s="1">
        <v>45239</v>
      </c>
      <c r="E116" t="s">
        <v>39</v>
      </c>
      <c r="F116" t="s">
        <v>18</v>
      </c>
      <c r="G116">
        <v>1798</v>
      </c>
      <c r="H116">
        <v>94.8</v>
      </c>
      <c r="I116">
        <v>91.83</v>
      </c>
      <c r="J116">
        <v>0</v>
      </c>
      <c r="K116" t="s">
        <v>15</v>
      </c>
      <c r="L116">
        <f>Procurement_kpi_Analysis[[#This Row],[Quantity]]*Procurement_kpi_Analysis[[#This Row],[Negotiated_Price]]</f>
        <v>165110.34</v>
      </c>
      <c r="M116">
        <f>IF(Procurement_kpi_Analysis[[#This Row],[Delivery_Date]]="","",Procurement_kpi_Analysis[[#This Row],[Delivery_Date]]-Procurement_kpi_Analysis[[#This Row],[Order_Date]])</f>
        <v>19</v>
      </c>
      <c r="N116" s="2">
        <f>Procurement_kpi_Analysis[[#This Row],[Defective_Units]]/Procurement_kpi_Analysis[[#This Row],[Quantity]]</f>
        <v>0</v>
      </c>
      <c r="O116" s="2">
        <f>(Procurement_kpi_Analysis[[#This Row],[Unit_Price]]-Procurement_kpi_Analysis[[#This Row],[Negotiated_Price]])*Procurement_kpi_Analysis[[#This Row],[Quantity]]</f>
        <v>5340.0599999999977</v>
      </c>
      <c r="P116" s="2">
        <f>Procurement_kpi_Analysis[[#This Row],[Total Savings]]/Procurement_kpi_Analysis[[#This Row],[Total Spend]]</f>
        <v>3.2342371773930075E-2</v>
      </c>
      <c r="Q116" s="2" t="str">
        <f>IF(Procurement_kpi_Analysis[[#This Row],[Lead Time]]&lt;=14,"On Time","Late")</f>
        <v>Late</v>
      </c>
      <c r="R116" s="2">
        <f>Procurement_kpi_Analysis[[#This Row],[Unit_Price]]*Procurement_kpi_Analysis[[#This Row],[Quantity]]</f>
        <v>170450.4</v>
      </c>
      <c r="S116" s="2">
        <f>IF(Procurement_kpi_Analysis[[#This Row],[Compliance]]="Yes",1,0)</f>
        <v>1</v>
      </c>
      <c r="T116" s="2">
        <f>IF(Procurement_kpi_Analysis[[#This Row],[Compliance]]="No",1,0)</f>
        <v>0</v>
      </c>
    </row>
    <row r="117" spans="1:20" x14ac:dyDescent="0.3">
      <c r="A117" t="s">
        <v>142</v>
      </c>
      <c r="B117" t="s">
        <v>12</v>
      </c>
      <c r="C117" s="1">
        <v>45031</v>
      </c>
      <c r="D117" s="1">
        <v>45047</v>
      </c>
      <c r="E117" t="s">
        <v>21</v>
      </c>
      <c r="F117" t="s">
        <v>18</v>
      </c>
      <c r="G117">
        <v>769</v>
      </c>
      <c r="H117">
        <v>91.86</v>
      </c>
      <c r="I117">
        <v>86.55</v>
      </c>
      <c r="J117">
        <v>17</v>
      </c>
      <c r="K117" t="s">
        <v>15</v>
      </c>
      <c r="L117">
        <f>Procurement_kpi_Analysis[[#This Row],[Quantity]]*Procurement_kpi_Analysis[[#This Row],[Negotiated_Price]]</f>
        <v>66556.95</v>
      </c>
      <c r="M117">
        <f>IF(Procurement_kpi_Analysis[[#This Row],[Delivery_Date]]="","",Procurement_kpi_Analysis[[#This Row],[Delivery_Date]]-Procurement_kpi_Analysis[[#This Row],[Order_Date]])</f>
        <v>16</v>
      </c>
      <c r="N117" s="2">
        <f>Procurement_kpi_Analysis[[#This Row],[Defective_Units]]/Procurement_kpi_Analysis[[#This Row],[Quantity]]</f>
        <v>2.2106631989596878E-2</v>
      </c>
      <c r="O117" s="2">
        <f>(Procurement_kpi_Analysis[[#This Row],[Unit_Price]]-Procurement_kpi_Analysis[[#This Row],[Negotiated_Price]])*Procurement_kpi_Analysis[[#This Row],[Quantity]]</f>
        <v>4083.3900000000017</v>
      </c>
      <c r="P117" s="2">
        <f>Procurement_kpi_Analysis[[#This Row],[Total Savings]]/Procurement_kpi_Analysis[[#This Row],[Total Spend]]</f>
        <v>6.1351819757365714E-2</v>
      </c>
      <c r="Q117" s="2" t="str">
        <f>IF(Procurement_kpi_Analysis[[#This Row],[Lead Time]]&lt;=14,"On Time","Late")</f>
        <v>Late</v>
      </c>
      <c r="R117" s="2">
        <f>Procurement_kpi_Analysis[[#This Row],[Unit_Price]]*Procurement_kpi_Analysis[[#This Row],[Quantity]]</f>
        <v>70640.34</v>
      </c>
      <c r="S117" s="2">
        <f>IF(Procurement_kpi_Analysis[[#This Row],[Compliance]]="Yes",1,0)</f>
        <v>1</v>
      </c>
      <c r="T117" s="2">
        <f>IF(Procurement_kpi_Analysis[[#This Row],[Compliance]]="No",1,0)</f>
        <v>0</v>
      </c>
    </row>
    <row r="118" spans="1:20" x14ac:dyDescent="0.3">
      <c r="A118" t="s">
        <v>143</v>
      </c>
      <c r="B118" t="s">
        <v>12</v>
      </c>
      <c r="C118" s="1">
        <v>44708</v>
      </c>
      <c r="D118" s="1"/>
      <c r="E118" t="s">
        <v>24</v>
      </c>
      <c r="F118" t="s">
        <v>18</v>
      </c>
      <c r="G118">
        <v>1822</v>
      </c>
      <c r="H118">
        <v>53.23</v>
      </c>
      <c r="I118">
        <v>47.49</v>
      </c>
      <c r="J118">
        <v>39</v>
      </c>
      <c r="K118" t="s">
        <v>15</v>
      </c>
      <c r="L118">
        <f>Procurement_kpi_Analysis[[#This Row],[Quantity]]*Procurement_kpi_Analysis[[#This Row],[Negotiated_Price]]</f>
        <v>86526.78</v>
      </c>
      <c r="M118" t="str">
        <f>IF(Procurement_kpi_Analysis[[#This Row],[Delivery_Date]]="","",Procurement_kpi_Analysis[[#This Row],[Delivery_Date]]-Procurement_kpi_Analysis[[#This Row],[Order_Date]])</f>
        <v/>
      </c>
      <c r="N118" s="2">
        <f>Procurement_kpi_Analysis[[#This Row],[Defective_Units]]/Procurement_kpi_Analysis[[#This Row],[Quantity]]</f>
        <v>2.1405049396267837E-2</v>
      </c>
      <c r="O118" s="2">
        <f>(Procurement_kpi_Analysis[[#This Row],[Unit_Price]]-Procurement_kpi_Analysis[[#This Row],[Negotiated_Price]])*Procurement_kpi_Analysis[[#This Row],[Quantity]]</f>
        <v>10458.279999999992</v>
      </c>
      <c r="P118" s="2">
        <f>Procurement_kpi_Analysis[[#This Row],[Total Savings]]/Procurement_kpi_Analysis[[#This Row],[Total Spend]]</f>
        <v>0.12086755106338166</v>
      </c>
      <c r="Q118" s="2" t="str">
        <f>IF(Procurement_kpi_Analysis[[#This Row],[Lead Time]]&lt;=14,"On Time","Late")</f>
        <v>Late</v>
      </c>
      <c r="R118" s="2">
        <f>Procurement_kpi_Analysis[[#This Row],[Unit_Price]]*Procurement_kpi_Analysis[[#This Row],[Quantity]]</f>
        <v>96985.06</v>
      </c>
      <c r="S118" s="2">
        <f>IF(Procurement_kpi_Analysis[[#This Row],[Compliance]]="Yes",1,0)</f>
        <v>1</v>
      </c>
      <c r="T118" s="2">
        <f>IF(Procurement_kpi_Analysis[[#This Row],[Compliance]]="No",1,0)</f>
        <v>0</v>
      </c>
    </row>
    <row r="119" spans="1:20" x14ac:dyDescent="0.3">
      <c r="A119" t="s">
        <v>144</v>
      </c>
      <c r="B119" t="s">
        <v>17</v>
      </c>
      <c r="C119" s="1">
        <v>44833</v>
      </c>
      <c r="D119" s="1">
        <v>44847</v>
      </c>
      <c r="E119" t="s">
        <v>24</v>
      </c>
      <c r="F119" t="s">
        <v>18</v>
      </c>
      <c r="G119">
        <v>387</v>
      </c>
      <c r="H119">
        <v>49.23</v>
      </c>
      <c r="I119">
        <v>45.41</v>
      </c>
      <c r="J119">
        <v>61</v>
      </c>
      <c r="K119" t="s">
        <v>15</v>
      </c>
      <c r="L119">
        <f>Procurement_kpi_Analysis[[#This Row],[Quantity]]*Procurement_kpi_Analysis[[#This Row],[Negotiated_Price]]</f>
        <v>17573.669999999998</v>
      </c>
      <c r="M119">
        <f>IF(Procurement_kpi_Analysis[[#This Row],[Delivery_Date]]="","",Procurement_kpi_Analysis[[#This Row],[Delivery_Date]]-Procurement_kpi_Analysis[[#This Row],[Order_Date]])</f>
        <v>14</v>
      </c>
      <c r="N119" s="2">
        <f>Procurement_kpi_Analysis[[#This Row],[Defective_Units]]/Procurement_kpi_Analysis[[#This Row],[Quantity]]</f>
        <v>0.15762273901808785</v>
      </c>
      <c r="O119" s="2">
        <f>(Procurement_kpi_Analysis[[#This Row],[Unit_Price]]-Procurement_kpi_Analysis[[#This Row],[Negotiated_Price]])*Procurement_kpi_Analysis[[#This Row],[Quantity]]</f>
        <v>1478.3400000000001</v>
      </c>
      <c r="P119" s="2">
        <f>Procurement_kpi_Analysis[[#This Row],[Total Savings]]/Procurement_kpi_Analysis[[#This Row],[Total Spend]]</f>
        <v>8.4122439991191386E-2</v>
      </c>
      <c r="Q119" s="2" t="str">
        <f>IF(Procurement_kpi_Analysis[[#This Row],[Lead Time]]&lt;=14,"On Time","Late")</f>
        <v>On Time</v>
      </c>
      <c r="R119" s="2">
        <f>Procurement_kpi_Analysis[[#This Row],[Unit_Price]]*Procurement_kpi_Analysis[[#This Row],[Quantity]]</f>
        <v>19052.009999999998</v>
      </c>
      <c r="S119" s="2">
        <f>IF(Procurement_kpi_Analysis[[#This Row],[Compliance]]="Yes",1,0)</f>
        <v>1</v>
      </c>
      <c r="T119" s="2">
        <f>IF(Procurement_kpi_Analysis[[#This Row],[Compliance]]="No",1,0)</f>
        <v>0</v>
      </c>
    </row>
    <row r="120" spans="1:20" x14ac:dyDescent="0.3">
      <c r="A120" t="s">
        <v>145</v>
      </c>
      <c r="B120" t="s">
        <v>29</v>
      </c>
      <c r="C120" s="1">
        <v>44704</v>
      </c>
      <c r="D120" s="1">
        <v>44708</v>
      </c>
      <c r="E120" t="s">
        <v>21</v>
      </c>
      <c r="F120" t="s">
        <v>18</v>
      </c>
      <c r="G120">
        <v>928</v>
      </c>
      <c r="H120">
        <v>35.299999999999997</v>
      </c>
      <c r="I120">
        <v>32.520000000000003</v>
      </c>
      <c r="J120">
        <v>26</v>
      </c>
      <c r="K120" t="s">
        <v>15</v>
      </c>
      <c r="L120">
        <f>Procurement_kpi_Analysis[[#This Row],[Quantity]]*Procurement_kpi_Analysis[[#This Row],[Negotiated_Price]]</f>
        <v>30178.560000000001</v>
      </c>
      <c r="M120">
        <f>IF(Procurement_kpi_Analysis[[#This Row],[Delivery_Date]]="","",Procurement_kpi_Analysis[[#This Row],[Delivery_Date]]-Procurement_kpi_Analysis[[#This Row],[Order_Date]])</f>
        <v>4</v>
      </c>
      <c r="N120" s="2">
        <f>Procurement_kpi_Analysis[[#This Row],[Defective_Units]]/Procurement_kpi_Analysis[[#This Row],[Quantity]]</f>
        <v>2.8017241379310345E-2</v>
      </c>
      <c r="O120" s="2">
        <f>(Procurement_kpi_Analysis[[#This Row],[Unit_Price]]-Procurement_kpi_Analysis[[#This Row],[Negotiated_Price]])*Procurement_kpi_Analysis[[#This Row],[Quantity]]</f>
        <v>2579.8399999999947</v>
      </c>
      <c r="P120" s="2">
        <f>Procurement_kpi_Analysis[[#This Row],[Total Savings]]/Procurement_kpi_Analysis[[#This Row],[Total Spend]]</f>
        <v>8.5485854858548399E-2</v>
      </c>
      <c r="Q120" s="2" t="str">
        <f>IF(Procurement_kpi_Analysis[[#This Row],[Lead Time]]&lt;=14,"On Time","Late")</f>
        <v>On Time</v>
      </c>
      <c r="R120" s="2">
        <f>Procurement_kpi_Analysis[[#This Row],[Unit_Price]]*Procurement_kpi_Analysis[[#This Row],[Quantity]]</f>
        <v>32758.399999999998</v>
      </c>
      <c r="S120" s="2">
        <f>IF(Procurement_kpi_Analysis[[#This Row],[Compliance]]="Yes",1,0)</f>
        <v>1</v>
      </c>
      <c r="T120" s="2">
        <f>IF(Procurement_kpi_Analysis[[#This Row],[Compliance]]="No",1,0)</f>
        <v>0</v>
      </c>
    </row>
    <row r="121" spans="1:20" x14ac:dyDescent="0.3">
      <c r="A121" t="s">
        <v>146</v>
      </c>
      <c r="B121" t="s">
        <v>12</v>
      </c>
      <c r="C121" s="1">
        <v>44814</v>
      </c>
      <c r="D121" s="1">
        <v>44825</v>
      </c>
      <c r="E121" t="s">
        <v>24</v>
      </c>
      <c r="F121" t="s">
        <v>33</v>
      </c>
      <c r="G121">
        <v>1126</v>
      </c>
      <c r="H121">
        <v>15.68</v>
      </c>
      <c r="I121">
        <v>14.97</v>
      </c>
      <c r="J121">
        <v>27</v>
      </c>
      <c r="K121" t="s">
        <v>15</v>
      </c>
      <c r="L121">
        <f>Procurement_kpi_Analysis[[#This Row],[Quantity]]*Procurement_kpi_Analysis[[#This Row],[Negotiated_Price]]</f>
        <v>16856.22</v>
      </c>
      <c r="M121">
        <f>IF(Procurement_kpi_Analysis[[#This Row],[Delivery_Date]]="","",Procurement_kpi_Analysis[[#This Row],[Delivery_Date]]-Procurement_kpi_Analysis[[#This Row],[Order_Date]])</f>
        <v>11</v>
      </c>
      <c r="N121" s="2">
        <f>Procurement_kpi_Analysis[[#This Row],[Defective_Units]]/Procurement_kpi_Analysis[[#This Row],[Quantity]]</f>
        <v>2.3978685612788632E-2</v>
      </c>
      <c r="O121" s="2">
        <f>(Procurement_kpi_Analysis[[#This Row],[Unit_Price]]-Procurement_kpi_Analysis[[#This Row],[Negotiated_Price]])*Procurement_kpi_Analysis[[#This Row],[Quantity]]</f>
        <v>799.45999999999901</v>
      </c>
      <c r="P121" s="2">
        <f>Procurement_kpi_Analysis[[#This Row],[Total Savings]]/Procurement_kpi_Analysis[[#This Row],[Total Spend]]</f>
        <v>4.7428189712758792E-2</v>
      </c>
      <c r="Q121" s="2" t="str">
        <f>IF(Procurement_kpi_Analysis[[#This Row],[Lead Time]]&lt;=14,"On Time","Late")</f>
        <v>On Time</v>
      </c>
      <c r="R121" s="2">
        <f>Procurement_kpi_Analysis[[#This Row],[Unit_Price]]*Procurement_kpi_Analysis[[#This Row],[Quantity]]</f>
        <v>17655.68</v>
      </c>
      <c r="S121" s="2">
        <f>IF(Procurement_kpi_Analysis[[#This Row],[Compliance]]="Yes",1,0)</f>
        <v>1</v>
      </c>
      <c r="T121" s="2">
        <f>IF(Procurement_kpi_Analysis[[#This Row],[Compliance]]="No",1,0)</f>
        <v>0</v>
      </c>
    </row>
    <row r="122" spans="1:20" x14ac:dyDescent="0.3">
      <c r="A122" t="s">
        <v>147</v>
      </c>
      <c r="B122" t="s">
        <v>23</v>
      </c>
      <c r="C122" s="1">
        <v>45136</v>
      </c>
      <c r="D122" s="1">
        <v>45152</v>
      </c>
      <c r="E122" t="s">
        <v>26</v>
      </c>
      <c r="F122" t="s">
        <v>14</v>
      </c>
      <c r="G122">
        <v>841</v>
      </c>
      <c r="H122">
        <v>95.73</v>
      </c>
      <c r="I122">
        <v>85.33</v>
      </c>
      <c r="J122">
        <v>81</v>
      </c>
      <c r="K122" t="s">
        <v>15</v>
      </c>
      <c r="L122">
        <f>Procurement_kpi_Analysis[[#This Row],[Quantity]]*Procurement_kpi_Analysis[[#This Row],[Negotiated_Price]]</f>
        <v>71762.53</v>
      </c>
      <c r="M122">
        <f>IF(Procurement_kpi_Analysis[[#This Row],[Delivery_Date]]="","",Procurement_kpi_Analysis[[#This Row],[Delivery_Date]]-Procurement_kpi_Analysis[[#This Row],[Order_Date]])</f>
        <v>16</v>
      </c>
      <c r="N122" s="2">
        <f>Procurement_kpi_Analysis[[#This Row],[Defective_Units]]/Procurement_kpi_Analysis[[#This Row],[Quantity]]</f>
        <v>9.631391200951249E-2</v>
      </c>
      <c r="O122" s="2">
        <f>(Procurement_kpi_Analysis[[#This Row],[Unit_Price]]-Procurement_kpi_Analysis[[#This Row],[Negotiated_Price]])*Procurement_kpi_Analysis[[#This Row],[Quantity]]</f>
        <v>8746.4000000000051</v>
      </c>
      <c r="P122" s="2">
        <f>Procurement_kpi_Analysis[[#This Row],[Total Savings]]/Procurement_kpi_Analysis[[#This Row],[Total Spend]]</f>
        <v>0.12187976092816133</v>
      </c>
      <c r="Q122" s="2" t="str">
        <f>IF(Procurement_kpi_Analysis[[#This Row],[Lead Time]]&lt;=14,"On Time","Late")</f>
        <v>Late</v>
      </c>
      <c r="R122" s="2">
        <f>Procurement_kpi_Analysis[[#This Row],[Unit_Price]]*Procurement_kpi_Analysis[[#This Row],[Quantity]]</f>
        <v>80508.930000000008</v>
      </c>
      <c r="S122" s="2">
        <f>IF(Procurement_kpi_Analysis[[#This Row],[Compliance]]="Yes",1,0)</f>
        <v>1</v>
      </c>
      <c r="T122" s="2">
        <f>IF(Procurement_kpi_Analysis[[#This Row],[Compliance]]="No",1,0)</f>
        <v>0</v>
      </c>
    </row>
    <row r="123" spans="1:20" x14ac:dyDescent="0.3">
      <c r="A123" t="s">
        <v>148</v>
      </c>
      <c r="B123" t="s">
        <v>23</v>
      </c>
      <c r="C123" s="1">
        <v>45113</v>
      </c>
      <c r="D123" s="1">
        <v>45126</v>
      </c>
      <c r="E123" t="s">
        <v>39</v>
      </c>
      <c r="F123" t="s">
        <v>18</v>
      </c>
      <c r="G123">
        <v>1995</v>
      </c>
      <c r="H123">
        <v>90.65</v>
      </c>
      <c r="I123">
        <v>77.75</v>
      </c>
      <c r="J123">
        <v>206</v>
      </c>
      <c r="K123" t="s">
        <v>15</v>
      </c>
      <c r="L123">
        <f>Procurement_kpi_Analysis[[#This Row],[Quantity]]*Procurement_kpi_Analysis[[#This Row],[Negotiated_Price]]</f>
        <v>155111.25</v>
      </c>
      <c r="M123">
        <f>IF(Procurement_kpi_Analysis[[#This Row],[Delivery_Date]]="","",Procurement_kpi_Analysis[[#This Row],[Delivery_Date]]-Procurement_kpi_Analysis[[#This Row],[Order_Date]])</f>
        <v>13</v>
      </c>
      <c r="N123" s="2">
        <f>Procurement_kpi_Analysis[[#This Row],[Defective_Units]]/Procurement_kpi_Analysis[[#This Row],[Quantity]]</f>
        <v>0.10325814536340852</v>
      </c>
      <c r="O123" s="2">
        <f>(Procurement_kpi_Analysis[[#This Row],[Unit_Price]]-Procurement_kpi_Analysis[[#This Row],[Negotiated_Price]])*Procurement_kpi_Analysis[[#This Row],[Quantity]]</f>
        <v>25735.500000000011</v>
      </c>
      <c r="P123" s="2">
        <f>Procurement_kpi_Analysis[[#This Row],[Total Savings]]/Procurement_kpi_Analysis[[#This Row],[Total Spend]]</f>
        <v>0.16591639871382644</v>
      </c>
      <c r="Q123" s="2" t="str">
        <f>IF(Procurement_kpi_Analysis[[#This Row],[Lead Time]]&lt;=14,"On Time","Late")</f>
        <v>On Time</v>
      </c>
      <c r="R123" s="2">
        <f>Procurement_kpi_Analysis[[#This Row],[Unit_Price]]*Procurement_kpi_Analysis[[#This Row],[Quantity]]</f>
        <v>180846.75</v>
      </c>
      <c r="S123" s="2">
        <f>IF(Procurement_kpi_Analysis[[#This Row],[Compliance]]="Yes",1,0)</f>
        <v>1</v>
      </c>
      <c r="T123" s="2">
        <f>IF(Procurement_kpi_Analysis[[#This Row],[Compliance]]="No",1,0)</f>
        <v>0</v>
      </c>
    </row>
    <row r="124" spans="1:20" x14ac:dyDescent="0.3">
      <c r="A124" t="s">
        <v>149</v>
      </c>
      <c r="B124" t="s">
        <v>12</v>
      </c>
      <c r="C124" s="1">
        <v>44831</v>
      </c>
      <c r="D124" s="1">
        <v>44849</v>
      </c>
      <c r="E124" t="s">
        <v>26</v>
      </c>
      <c r="F124" t="s">
        <v>18</v>
      </c>
      <c r="G124">
        <v>266</v>
      </c>
      <c r="H124">
        <v>103.97</v>
      </c>
      <c r="I124">
        <v>101.44</v>
      </c>
      <c r="J124">
        <v>6</v>
      </c>
      <c r="K124" t="s">
        <v>15</v>
      </c>
      <c r="L124">
        <f>Procurement_kpi_Analysis[[#This Row],[Quantity]]*Procurement_kpi_Analysis[[#This Row],[Negotiated_Price]]</f>
        <v>26983.040000000001</v>
      </c>
      <c r="M124">
        <f>IF(Procurement_kpi_Analysis[[#This Row],[Delivery_Date]]="","",Procurement_kpi_Analysis[[#This Row],[Delivery_Date]]-Procurement_kpi_Analysis[[#This Row],[Order_Date]])</f>
        <v>18</v>
      </c>
      <c r="N124" s="2">
        <f>Procurement_kpi_Analysis[[#This Row],[Defective_Units]]/Procurement_kpi_Analysis[[#This Row],[Quantity]]</f>
        <v>2.2556390977443608E-2</v>
      </c>
      <c r="O124" s="2">
        <f>(Procurement_kpi_Analysis[[#This Row],[Unit_Price]]-Procurement_kpi_Analysis[[#This Row],[Negotiated_Price]])*Procurement_kpi_Analysis[[#This Row],[Quantity]]</f>
        <v>672.98000000000025</v>
      </c>
      <c r="P124" s="2">
        <f>Procurement_kpi_Analysis[[#This Row],[Total Savings]]/Procurement_kpi_Analysis[[#This Row],[Total Spend]]</f>
        <v>2.4940851735015781E-2</v>
      </c>
      <c r="Q124" s="2" t="str">
        <f>IF(Procurement_kpi_Analysis[[#This Row],[Lead Time]]&lt;=14,"On Time","Late")</f>
        <v>Late</v>
      </c>
      <c r="R124" s="2">
        <f>Procurement_kpi_Analysis[[#This Row],[Unit_Price]]*Procurement_kpi_Analysis[[#This Row],[Quantity]]</f>
        <v>27656.02</v>
      </c>
      <c r="S124" s="2">
        <f>IF(Procurement_kpi_Analysis[[#This Row],[Compliance]]="Yes",1,0)</f>
        <v>1</v>
      </c>
      <c r="T124" s="2">
        <f>IF(Procurement_kpi_Analysis[[#This Row],[Compliance]]="No",1,0)</f>
        <v>0</v>
      </c>
    </row>
    <row r="125" spans="1:20" x14ac:dyDescent="0.3">
      <c r="A125" t="s">
        <v>150</v>
      </c>
      <c r="B125" t="s">
        <v>12</v>
      </c>
      <c r="C125" s="1">
        <v>45160</v>
      </c>
      <c r="D125" s="1">
        <v>45163</v>
      </c>
      <c r="E125" t="s">
        <v>26</v>
      </c>
      <c r="F125" t="s">
        <v>14</v>
      </c>
      <c r="G125">
        <v>813</v>
      </c>
      <c r="H125">
        <v>109.17</v>
      </c>
      <c r="I125">
        <v>107.39</v>
      </c>
      <c r="J125">
        <v>14</v>
      </c>
      <c r="K125" t="s">
        <v>15</v>
      </c>
      <c r="L125">
        <f>Procurement_kpi_Analysis[[#This Row],[Quantity]]*Procurement_kpi_Analysis[[#This Row],[Negotiated_Price]]</f>
        <v>87308.07</v>
      </c>
      <c r="M125">
        <f>IF(Procurement_kpi_Analysis[[#This Row],[Delivery_Date]]="","",Procurement_kpi_Analysis[[#This Row],[Delivery_Date]]-Procurement_kpi_Analysis[[#This Row],[Order_Date]])</f>
        <v>3</v>
      </c>
      <c r="N125" s="2">
        <f>Procurement_kpi_Analysis[[#This Row],[Defective_Units]]/Procurement_kpi_Analysis[[#This Row],[Quantity]]</f>
        <v>1.7220172201722016E-2</v>
      </c>
      <c r="O125" s="2">
        <f>(Procurement_kpi_Analysis[[#This Row],[Unit_Price]]-Procurement_kpi_Analysis[[#This Row],[Negotiated_Price]])*Procurement_kpi_Analysis[[#This Row],[Quantity]]</f>
        <v>1447.140000000001</v>
      </c>
      <c r="P125" s="2">
        <f>Procurement_kpi_Analysis[[#This Row],[Total Savings]]/Procurement_kpi_Analysis[[#This Row],[Total Spend]]</f>
        <v>1.6575100102430403E-2</v>
      </c>
      <c r="Q125" s="2" t="str">
        <f>IF(Procurement_kpi_Analysis[[#This Row],[Lead Time]]&lt;=14,"On Time","Late")</f>
        <v>On Time</v>
      </c>
      <c r="R125" s="2">
        <f>Procurement_kpi_Analysis[[#This Row],[Unit_Price]]*Procurement_kpi_Analysis[[#This Row],[Quantity]]</f>
        <v>88755.21</v>
      </c>
      <c r="S125" s="2">
        <f>IF(Procurement_kpi_Analysis[[#This Row],[Compliance]]="Yes",1,0)</f>
        <v>1</v>
      </c>
      <c r="T125" s="2">
        <f>IF(Procurement_kpi_Analysis[[#This Row],[Compliance]]="No",1,0)</f>
        <v>0</v>
      </c>
    </row>
    <row r="126" spans="1:20" x14ac:dyDescent="0.3">
      <c r="A126" t="s">
        <v>151</v>
      </c>
      <c r="B126" t="s">
        <v>29</v>
      </c>
      <c r="C126" s="1">
        <v>45000</v>
      </c>
      <c r="D126" s="1">
        <v>45011</v>
      </c>
      <c r="E126" t="s">
        <v>39</v>
      </c>
      <c r="F126" t="s">
        <v>18</v>
      </c>
      <c r="G126">
        <v>237</v>
      </c>
      <c r="H126">
        <v>64.19</v>
      </c>
      <c r="I126">
        <v>59.01</v>
      </c>
      <c r="J126">
        <v>7</v>
      </c>
      <c r="K126" t="s">
        <v>15</v>
      </c>
      <c r="L126">
        <f>Procurement_kpi_Analysis[[#This Row],[Quantity]]*Procurement_kpi_Analysis[[#This Row],[Negotiated_Price]]</f>
        <v>13985.369999999999</v>
      </c>
      <c r="M126">
        <f>IF(Procurement_kpi_Analysis[[#This Row],[Delivery_Date]]="","",Procurement_kpi_Analysis[[#This Row],[Delivery_Date]]-Procurement_kpi_Analysis[[#This Row],[Order_Date]])</f>
        <v>11</v>
      </c>
      <c r="N126" s="2">
        <f>Procurement_kpi_Analysis[[#This Row],[Defective_Units]]/Procurement_kpi_Analysis[[#This Row],[Quantity]]</f>
        <v>2.9535864978902954E-2</v>
      </c>
      <c r="O126" s="2">
        <f>(Procurement_kpi_Analysis[[#This Row],[Unit_Price]]-Procurement_kpi_Analysis[[#This Row],[Negotiated_Price]])*Procurement_kpi_Analysis[[#This Row],[Quantity]]</f>
        <v>1227.6599999999999</v>
      </c>
      <c r="P126" s="2">
        <f>Procurement_kpi_Analysis[[#This Row],[Total Savings]]/Procurement_kpi_Analysis[[#This Row],[Total Spend]]</f>
        <v>8.7781731909845784E-2</v>
      </c>
      <c r="Q126" s="2" t="str">
        <f>IF(Procurement_kpi_Analysis[[#This Row],[Lead Time]]&lt;=14,"On Time","Late")</f>
        <v>On Time</v>
      </c>
      <c r="R126" s="2">
        <f>Procurement_kpi_Analysis[[#This Row],[Unit_Price]]*Procurement_kpi_Analysis[[#This Row],[Quantity]]</f>
        <v>15213.029999999999</v>
      </c>
      <c r="S126" s="2">
        <f>IF(Procurement_kpi_Analysis[[#This Row],[Compliance]]="Yes",1,0)</f>
        <v>1</v>
      </c>
      <c r="T126" s="2">
        <f>IF(Procurement_kpi_Analysis[[#This Row],[Compliance]]="No",1,0)</f>
        <v>0</v>
      </c>
    </row>
    <row r="127" spans="1:20" x14ac:dyDescent="0.3">
      <c r="A127" t="s">
        <v>152</v>
      </c>
      <c r="B127" t="s">
        <v>12</v>
      </c>
      <c r="C127" s="1">
        <v>45159</v>
      </c>
      <c r="D127" s="1">
        <v>45172</v>
      </c>
      <c r="E127" t="s">
        <v>13</v>
      </c>
      <c r="F127" t="s">
        <v>14</v>
      </c>
      <c r="G127">
        <v>429</v>
      </c>
      <c r="H127">
        <v>86.73</v>
      </c>
      <c r="I127">
        <v>75.09</v>
      </c>
      <c r="J127">
        <v>9</v>
      </c>
      <c r="K127" t="s">
        <v>15</v>
      </c>
      <c r="L127">
        <f>Procurement_kpi_Analysis[[#This Row],[Quantity]]*Procurement_kpi_Analysis[[#This Row],[Negotiated_Price]]</f>
        <v>32213.61</v>
      </c>
      <c r="M127">
        <f>IF(Procurement_kpi_Analysis[[#This Row],[Delivery_Date]]="","",Procurement_kpi_Analysis[[#This Row],[Delivery_Date]]-Procurement_kpi_Analysis[[#This Row],[Order_Date]])</f>
        <v>13</v>
      </c>
      <c r="N127" s="2">
        <f>Procurement_kpi_Analysis[[#This Row],[Defective_Units]]/Procurement_kpi_Analysis[[#This Row],[Quantity]]</f>
        <v>2.097902097902098E-2</v>
      </c>
      <c r="O127" s="2">
        <f>(Procurement_kpi_Analysis[[#This Row],[Unit_Price]]-Procurement_kpi_Analysis[[#This Row],[Negotiated_Price]])*Procurement_kpi_Analysis[[#This Row],[Quantity]]</f>
        <v>4993.5600000000004</v>
      </c>
      <c r="P127" s="2">
        <f>Procurement_kpi_Analysis[[#This Row],[Total Savings]]/Procurement_kpi_Analysis[[#This Row],[Total Spend]]</f>
        <v>0.15501398322013585</v>
      </c>
      <c r="Q127" s="2" t="str">
        <f>IF(Procurement_kpi_Analysis[[#This Row],[Lead Time]]&lt;=14,"On Time","Late")</f>
        <v>On Time</v>
      </c>
      <c r="R127" s="2">
        <f>Procurement_kpi_Analysis[[#This Row],[Unit_Price]]*Procurement_kpi_Analysis[[#This Row],[Quantity]]</f>
        <v>37207.17</v>
      </c>
      <c r="S127" s="2">
        <f>IF(Procurement_kpi_Analysis[[#This Row],[Compliance]]="Yes",1,0)</f>
        <v>1</v>
      </c>
      <c r="T127" s="2">
        <f>IF(Procurement_kpi_Analysis[[#This Row],[Compliance]]="No",1,0)</f>
        <v>0</v>
      </c>
    </row>
    <row r="128" spans="1:20" x14ac:dyDescent="0.3">
      <c r="A128" t="s">
        <v>153</v>
      </c>
      <c r="B128" t="s">
        <v>17</v>
      </c>
      <c r="C128" s="1">
        <v>44970</v>
      </c>
      <c r="D128" s="1">
        <v>44971</v>
      </c>
      <c r="E128" t="s">
        <v>24</v>
      </c>
      <c r="F128" t="s">
        <v>18</v>
      </c>
      <c r="G128">
        <v>542</v>
      </c>
      <c r="H128">
        <v>101.21</v>
      </c>
      <c r="I128">
        <v>93.11</v>
      </c>
      <c r="J128">
        <v>78</v>
      </c>
      <c r="K128" t="s">
        <v>27</v>
      </c>
      <c r="L128">
        <f>Procurement_kpi_Analysis[[#This Row],[Quantity]]*Procurement_kpi_Analysis[[#This Row],[Negotiated_Price]]</f>
        <v>50465.62</v>
      </c>
      <c r="M128">
        <f>IF(Procurement_kpi_Analysis[[#This Row],[Delivery_Date]]="","",Procurement_kpi_Analysis[[#This Row],[Delivery_Date]]-Procurement_kpi_Analysis[[#This Row],[Order_Date]])</f>
        <v>1</v>
      </c>
      <c r="N128" s="2">
        <f>Procurement_kpi_Analysis[[#This Row],[Defective_Units]]/Procurement_kpi_Analysis[[#This Row],[Quantity]]</f>
        <v>0.14391143911439114</v>
      </c>
      <c r="O128" s="2">
        <f>(Procurement_kpi_Analysis[[#This Row],[Unit_Price]]-Procurement_kpi_Analysis[[#This Row],[Negotiated_Price]])*Procurement_kpi_Analysis[[#This Row],[Quantity]]</f>
        <v>4390.1999999999971</v>
      </c>
      <c r="P128" s="2">
        <f>Procurement_kpi_Analysis[[#This Row],[Total Savings]]/Procurement_kpi_Analysis[[#This Row],[Total Spend]]</f>
        <v>8.6993878208570449E-2</v>
      </c>
      <c r="Q128" s="2" t="str">
        <f>IF(Procurement_kpi_Analysis[[#This Row],[Lead Time]]&lt;=14,"On Time","Late")</f>
        <v>On Time</v>
      </c>
      <c r="R128" s="2">
        <f>Procurement_kpi_Analysis[[#This Row],[Unit_Price]]*Procurement_kpi_Analysis[[#This Row],[Quantity]]</f>
        <v>54855.82</v>
      </c>
      <c r="S128" s="2">
        <f>IF(Procurement_kpi_Analysis[[#This Row],[Compliance]]="Yes",1,0)</f>
        <v>0</v>
      </c>
      <c r="T128" s="2">
        <f>IF(Procurement_kpi_Analysis[[#This Row],[Compliance]]="No",1,0)</f>
        <v>1</v>
      </c>
    </row>
    <row r="129" spans="1:20" x14ac:dyDescent="0.3">
      <c r="A129" t="s">
        <v>154</v>
      </c>
      <c r="B129" t="s">
        <v>29</v>
      </c>
      <c r="C129" s="1">
        <v>44932</v>
      </c>
      <c r="D129" s="1">
        <v>44950</v>
      </c>
      <c r="E129" t="s">
        <v>39</v>
      </c>
      <c r="F129" t="s">
        <v>18</v>
      </c>
      <c r="G129">
        <v>1114</v>
      </c>
      <c r="H129">
        <v>91.66</v>
      </c>
      <c r="I129">
        <v>85.53</v>
      </c>
      <c r="J129">
        <v>35</v>
      </c>
      <c r="K129" t="s">
        <v>15</v>
      </c>
      <c r="L129">
        <f>Procurement_kpi_Analysis[[#This Row],[Quantity]]*Procurement_kpi_Analysis[[#This Row],[Negotiated_Price]]</f>
        <v>95280.42</v>
      </c>
      <c r="M129">
        <f>IF(Procurement_kpi_Analysis[[#This Row],[Delivery_Date]]="","",Procurement_kpi_Analysis[[#This Row],[Delivery_Date]]-Procurement_kpi_Analysis[[#This Row],[Order_Date]])</f>
        <v>18</v>
      </c>
      <c r="N129" s="2">
        <f>Procurement_kpi_Analysis[[#This Row],[Defective_Units]]/Procurement_kpi_Analysis[[#This Row],[Quantity]]</f>
        <v>3.141831238779174E-2</v>
      </c>
      <c r="O129" s="2">
        <f>(Procurement_kpi_Analysis[[#This Row],[Unit_Price]]-Procurement_kpi_Analysis[[#This Row],[Negotiated_Price]])*Procurement_kpi_Analysis[[#This Row],[Quantity]]</f>
        <v>6828.8199999999952</v>
      </c>
      <c r="P129" s="2">
        <f>Procurement_kpi_Analysis[[#This Row],[Total Savings]]/Procurement_kpi_Analysis[[#This Row],[Total Spend]]</f>
        <v>7.167075879808249E-2</v>
      </c>
      <c r="Q129" s="2" t="str">
        <f>IF(Procurement_kpi_Analysis[[#This Row],[Lead Time]]&lt;=14,"On Time","Late")</f>
        <v>Late</v>
      </c>
      <c r="R129" s="2">
        <f>Procurement_kpi_Analysis[[#This Row],[Unit_Price]]*Procurement_kpi_Analysis[[#This Row],[Quantity]]</f>
        <v>102109.23999999999</v>
      </c>
      <c r="S129" s="2">
        <f>IF(Procurement_kpi_Analysis[[#This Row],[Compliance]]="Yes",1,0)</f>
        <v>1</v>
      </c>
      <c r="T129" s="2">
        <f>IF(Procurement_kpi_Analysis[[#This Row],[Compliance]]="No",1,0)</f>
        <v>0</v>
      </c>
    </row>
    <row r="130" spans="1:20" x14ac:dyDescent="0.3">
      <c r="A130" t="s">
        <v>155</v>
      </c>
      <c r="B130" t="s">
        <v>12</v>
      </c>
      <c r="C130" s="1">
        <v>44786</v>
      </c>
      <c r="D130" s="1">
        <v>44788</v>
      </c>
      <c r="E130" t="s">
        <v>21</v>
      </c>
      <c r="F130" t="s">
        <v>18</v>
      </c>
      <c r="G130">
        <v>1230</v>
      </c>
      <c r="H130">
        <v>33.39</v>
      </c>
      <c r="I130">
        <v>30.85</v>
      </c>
      <c r="J130">
        <v>26</v>
      </c>
      <c r="K130" t="s">
        <v>15</v>
      </c>
      <c r="L130">
        <f>Procurement_kpi_Analysis[[#This Row],[Quantity]]*Procurement_kpi_Analysis[[#This Row],[Negotiated_Price]]</f>
        <v>37945.5</v>
      </c>
      <c r="M130">
        <f>IF(Procurement_kpi_Analysis[[#This Row],[Delivery_Date]]="","",Procurement_kpi_Analysis[[#This Row],[Delivery_Date]]-Procurement_kpi_Analysis[[#This Row],[Order_Date]])</f>
        <v>2</v>
      </c>
      <c r="N130" s="2">
        <f>Procurement_kpi_Analysis[[#This Row],[Defective_Units]]/Procurement_kpi_Analysis[[#This Row],[Quantity]]</f>
        <v>2.113821138211382E-2</v>
      </c>
      <c r="O130" s="2">
        <f>(Procurement_kpi_Analysis[[#This Row],[Unit_Price]]-Procurement_kpi_Analysis[[#This Row],[Negotiated_Price]])*Procurement_kpi_Analysis[[#This Row],[Quantity]]</f>
        <v>3124.1999999999989</v>
      </c>
      <c r="P130" s="2">
        <f>Procurement_kpi_Analysis[[#This Row],[Total Savings]]/Procurement_kpi_Analysis[[#This Row],[Total Spend]]</f>
        <v>8.2333873581847627E-2</v>
      </c>
      <c r="Q130" s="2" t="str">
        <f>IF(Procurement_kpi_Analysis[[#This Row],[Lead Time]]&lt;=14,"On Time","Late")</f>
        <v>On Time</v>
      </c>
      <c r="R130" s="2">
        <f>Procurement_kpi_Analysis[[#This Row],[Unit_Price]]*Procurement_kpi_Analysis[[#This Row],[Quantity]]</f>
        <v>41069.699999999997</v>
      </c>
      <c r="S130" s="2">
        <f>IF(Procurement_kpi_Analysis[[#This Row],[Compliance]]="Yes",1,0)</f>
        <v>1</v>
      </c>
      <c r="T130" s="2">
        <f>IF(Procurement_kpi_Analysis[[#This Row],[Compliance]]="No",1,0)</f>
        <v>0</v>
      </c>
    </row>
    <row r="131" spans="1:20" x14ac:dyDescent="0.3">
      <c r="A131" t="s">
        <v>156</v>
      </c>
      <c r="B131" t="s">
        <v>23</v>
      </c>
      <c r="C131" s="1">
        <v>44703</v>
      </c>
      <c r="D131" s="1">
        <v>44715</v>
      </c>
      <c r="E131" t="s">
        <v>21</v>
      </c>
      <c r="F131" t="s">
        <v>18</v>
      </c>
      <c r="G131">
        <v>64</v>
      </c>
      <c r="H131">
        <v>51.56</v>
      </c>
      <c r="I131">
        <v>50.88</v>
      </c>
      <c r="J131">
        <v>5</v>
      </c>
      <c r="K131" t="s">
        <v>15</v>
      </c>
      <c r="L131">
        <f>Procurement_kpi_Analysis[[#This Row],[Quantity]]*Procurement_kpi_Analysis[[#This Row],[Negotiated_Price]]</f>
        <v>3256.32</v>
      </c>
      <c r="M131">
        <f>IF(Procurement_kpi_Analysis[[#This Row],[Delivery_Date]]="","",Procurement_kpi_Analysis[[#This Row],[Delivery_Date]]-Procurement_kpi_Analysis[[#This Row],[Order_Date]])</f>
        <v>12</v>
      </c>
      <c r="N131" s="2">
        <f>Procurement_kpi_Analysis[[#This Row],[Defective_Units]]/Procurement_kpi_Analysis[[#This Row],[Quantity]]</f>
        <v>7.8125E-2</v>
      </c>
      <c r="O131" s="2">
        <f>(Procurement_kpi_Analysis[[#This Row],[Unit_Price]]-Procurement_kpi_Analysis[[#This Row],[Negotiated_Price]])*Procurement_kpi_Analysis[[#This Row],[Quantity]]</f>
        <v>43.519999999999982</v>
      </c>
      <c r="P131" s="2">
        <f>Procurement_kpi_Analysis[[#This Row],[Total Savings]]/Procurement_kpi_Analysis[[#This Row],[Total Spend]]</f>
        <v>1.336477987421383E-2</v>
      </c>
      <c r="Q131" s="2" t="str">
        <f>IF(Procurement_kpi_Analysis[[#This Row],[Lead Time]]&lt;=14,"On Time","Late")</f>
        <v>On Time</v>
      </c>
      <c r="R131" s="2">
        <f>Procurement_kpi_Analysis[[#This Row],[Unit_Price]]*Procurement_kpi_Analysis[[#This Row],[Quantity]]</f>
        <v>3299.84</v>
      </c>
      <c r="S131" s="2">
        <f>IF(Procurement_kpi_Analysis[[#This Row],[Compliance]]="Yes",1,0)</f>
        <v>1</v>
      </c>
      <c r="T131" s="2">
        <f>IF(Procurement_kpi_Analysis[[#This Row],[Compliance]]="No",1,0)</f>
        <v>0</v>
      </c>
    </row>
    <row r="132" spans="1:20" x14ac:dyDescent="0.3">
      <c r="A132" t="s">
        <v>157</v>
      </c>
      <c r="B132" t="s">
        <v>12</v>
      </c>
      <c r="C132" s="1">
        <v>45083</v>
      </c>
      <c r="D132" s="1">
        <v>45099</v>
      </c>
      <c r="E132" t="s">
        <v>21</v>
      </c>
      <c r="F132" t="s">
        <v>18</v>
      </c>
      <c r="G132">
        <v>1886</v>
      </c>
      <c r="H132">
        <v>23.46</v>
      </c>
      <c r="I132">
        <v>23.18</v>
      </c>
      <c r="J132">
        <v>0</v>
      </c>
      <c r="K132" t="s">
        <v>15</v>
      </c>
      <c r="L132">
        <f>Procurement_kpi_Analysis[[#This Row],[Quantity]]*Procurement_kpi_Analysis[[#This Row],[Negotiated_Price]]</f>
        <v>43717.479999999996</v>
      </c>
      <c r="M132">
        <f>IF(Procurement_kpi_Analysis[[#This Row],[Delivery_Date]]="","",Procurement_kpi_Analysis[[#This Row],[Delivery_Date]]-Procurement_kpi_Analysis[[#This Row],[Order_Date]])</f>
        <v>16</v>
      </c>
      <c r="N132" s="2">
        <f>Procurement_kpi_Analysis[[#This Row],[Defective_Units]]/Procurement_kpi_Analysis[[#This Row],[Quantity]]</f>
        <v>0</v>
      </c>
      <c r="O132" s="2">
        <f>(Procurement_kpi_Analysis[[#This Row],[Unit_Price]]-Procurement_kpi_Analysis[[#This Row],[Negotiated_Price]])*Procurement_kpi_Analysis[[#This Row],[Quantity]]</f>
        <v>528.0800000000022</v>
      </c>
      <c r="P132" s="2">
        <f>Procurement_kpi_Analysis[[#This Row],[Total Savings]]/Procurement_kpi_Analysis[[#This Row],[Total Spend]]</f>
        <v>1.2079378774805919E-2</v>
      </c>
      <c r="Q132" s="2" t="str">
        <f>IF(Procurement_kpi_Analysis[[#This Row],[Lead Time]]&lt;=14,"On Time","Late")</f>
        <v>Late</v>
      </c>
      <c r="R132" s="2">
        <f>Procurement_kpi_Analysis[[#This Row],[Unit_Price]]*Procurement_kpi_Analysis[[#This Row],[Quantity]]</f>
        <v>44245.560000000005</v>
      </c>
      <c r="S132" s="2">
        <f>IF(Procurement_kpi_Analysis[[#This Row],[Compliance]]="Yes",1,0)</f>
        <v>1</v>
      </c>
      <c r="T132" s="2">
        <f>IF(Procurement_kpi_Analysis[[#This Row],[Compliance]]="No",1,0)</f>
        <v>0</v>
      </c>
    </row>
    <row r="133" spans="1:20" x14ac:dyDescent="0.3">
      <c r="A133" t="s">
        <v>158</v>
      </c>
      <c r="B133" t="s">
        <v>17</v>
      </c>
      <c r="C133" s="1">
        <v>45067</v>
      </c>
      <c r="D133" s="1">
        <v>45069</v>
      </c>
      <c r="E133" t="s">
        <v>13</v>
      </c>
      <c r="F133" t="s">
        <v>18</v>
      </c>
      <c r="G133">
        <v>114</v>
      </c>
      <c r="H133">
        <v>103.53</v>
      </c>
      <c r="I133">
        <v>101.54</v>
      </c>
      <c r="J133">
        <v>14</v>
      </c>
      <c r="K133" t="s">
        <v>15</v>
      </c>
      <c r="L133">
        <f>Procurement_kpi_Analysis[[#This Row],[Quantity]]*Procurement_kpi_Analysis[[#This Row],[Negotiated_Price]]</f>
        <v>11575.560000000001</v>
      </c>
      <c r="M133">
        <f>IF(Procurement_kpi_Analysis[[#This Row],[Delivery_Date]]="","",Procurement_kpi_Analysis[[#This Row],[Delivery_Date]]-Procurement_kpi_Analysis[[#This Row],[Order_Date]])</f>
        <v>2</v>
      </c>
      <c r="N133" s="2">
        <f>Procurement_kpi_Analysis[[#This Row],[Defective_Units]]/Procurement_kpi_Analysis[[#This Row],[Quantity]]</f>
        <v>0.12280701754385964</v>
      </c>
      <c r="O133" s="2">
        <f>(Procurement_kpi_Analysis[[#This Row],[Unit_Price]]-Procurement_kpi_Analysis[[#This Row],[Negotiated_Price]])*Procurement_kpi_Analysis[[#This Row],[Quantity]]</f>
        <v>226.85999999999942</v>
      </c>
      <c r="P133" s="2">
        <f>Procurement_kpi_Analysis[[#This Row],[Total Savings]]/Procurement_kpi_Analysis[[#This Row],[Total Spend]]</f>
        <v>1.9598187906243791E-2</v>
      </c>
      <c r="Q133" s="2" t="str">
        <f>IF(Procurement_kpi_Analysis[[#This Row],[Lead Time]]&lt;=14,"On Time","Late")</f>
        <v>On Time</v>
      </c>
      <c r="R133" s="2">
        <f>Procurement_kpi_Analysis[[#This Row],[Unit_Price]]*Procurement_kpi_Analysis[[#This Row],[Quantity]]</f>
        <v>11802.42</v>
      </c>
      <c r="S133" s="2">
        <f>IF(Procurement_kpi_Analysis[[#This Row],[Compliance]]="Yes",1,0)</f>
        <v>1</v>
      </c>
      <c r="T133" s="2">
        <f>IF(Procurement_kpi_Analysis[[#This Row],[Compliance]]="No",1,0)</f>
        <v>0</v>
      </c>
    </row>
    <row r="134" spans="1:20" x14ac:dyDescent="0.3">
      <c r="A134" t="s">
        <v>159</v>
      </c>
      <c r="B134" t="s">
        <v>17</v>
      </c>
      <c r="C134" s="1">
        <v>44655</v>
      </c>
      <c r="D134" s="1">
        <v>44673</v>
      </c>
      <c r="E134" t="s">
        <v>39</v>
      </c>
      <c r="F134" t="s">
        <v>14</v>
      </c>
      <c r="G134">
        <v>1930</v>
      </c>
      <c r="H134">
        <v>65.52</v>
      </c>
      <c r="I134">
        <v>56.9</v>
      </c>
      <c r="J134">
        <v>282</v>
      </c>
      <c r="K134" t="s">
        <v>15</v>
      </c>
      <c r="L134">
        <f>Procurement_kpi_Analysis[[#This Row],[Quantity]]*Procurement_kpi_Analysis[[#This Row],[Negotiated_Price]]</f>
        <v>109817</v>
      </c>
      <c r="M134">
        <f>IF(Procurement_kpi_Analysis[[#This Row],[Delivery_Date]]="","",Procurement_kpi_Analysis[[#This Row],[Delivery_Date]]-Procurement_kpi_Analysis[[#This Row],[Order_Date]])</f>
        <v>18</v>
      </c>
      <c r="N134" s="2">
        <f>Procurement_kpi_Analysis[[#This Row],[Defective_Units]]/Procurement_kpi_Analysis[[#This Row],[Quantity]]</f>
        <v>0.14611398963730571</v>
      </c>
      <c r="O134" s="2">
        <f>(Procurement_kpi_Analysis[[#This Row],[Unit_Price]]-Procurement_kpi_Analysis[[#This Row],[Negotiated_Price]])*Procurement_kpi_Analysis[[#This Row],[Quantity]]</f>
        <v>16636.599999999995</v>
      </c>
      <c r="P134" s="2">
        <f>Procurement_kpi_Analysis[[#This Row],[Total Savings]]/Procurement_kpi_Analysis[[#This Row],[Total Spend]]</f>
        <v>0.15149384885764494</v>
      </c>
      <c r="Q134" s="2" t="str">
        <f>IF(Procurement_kpi_Analysis[[#This Row],[Lead Time]]&lt;=14,"On Time","Late")</f>
        <v>Late</v>
      </c>
      <c r="R134" s="2">
        <f>Procurement_kpi_Analysis[[#This Row],[Unit_Price]]*Procurement_kpi_Analysis[[#This Row],[Quantity]]</f>
        <v>126453.59999999999</v>
      </c>
      <c r="S134" s="2">
        <f>IF(Procurement_kpi_Analysis[[#This Row],[Compliance]]="Yes",1,0)</f>
        <v>1</v>
      </c>
      <c r="T134" s="2">
        <f>IF(Procurement_kpi_Analysis[[#This Row],[Compliance]]="No",1,0)</f>
        <v>0</v>
      </c>
    </row>
    <row r="135" spans="1:20" x14ac:dyDescent="0.3">
      <c r="A135" t="s">
        <v>160</v>
      </c>
      <c r="B135" t="s">
        <v>23</v>
      </c>
      <c r="C135" s="1">
        <v>44610</v>
      </c>
      <c r="D135" s="1">
        <v>44620</v>
      </c>
      <c r="E135" t="s">
        <v>13</v>
      </c>
      <c r="F135" t="s">
        <v>35</v>
      </c>
      <c r="G135">
        <v>1912</v>
      </c>
      <c r="H135">
        <v>30.73</v>
      </c>
      <c r="I135">
        <v>29.82</v>
      </c>
      <c r="J135">
        <v>191</v>
      </c>
      <c r="K135" t="s">
        <v>15</v>
      </c>
      <c r="L135">
        <f>Procurement_kpi_Analysis[[#This Row],[Quantity]]*Procurement_kpi_Analysis[[#This Row],[Negotiated_Price]]</f>
        <v>57015.840000000004</v>
      </c>
      <c r="M135">
        <f>IF(Procurement_kpi_Analysis[[#This Row],[Delivery_Date]]="","",Procurement_kpi_Analysis[[#This Row],[Delivery_Date]]-Procurement_kpi_Analysis[[#This Row],[Order_Date]])</f>
        <v>10</v>
      </c>
      <c r="N135" s="2">
        <f>Procurement_kpi_Analysis[[#This Row],[Defective_Units]]/Procurement_kpi_Analysis[[#This Row],[Quantity]]</f>
        <v>9.9895397489539753E-2</v>
      </c>
      <c r="O135" s="2">
        <f>(Procurement_kpi_Analysis[[#This Row],[Unit_Price]]-Procurement_kpi_Analysis[[#This Row],[Negotiated_Price]])*Procurement_kpi_Analysis[[#This Row],[Quantity]]</f>
        <v>1739.9200000000003</v>
      </c>
      <c r="P135" s="2">
        <f>Procurement_kpi_Analysis[[#This Row],[Total Savings]]/Procurement_kpi_Analysis[[#This Row],[Total Spend]]</f>
        <v>3.0516431924882632E-2</v>
      </c>
      <c r="Q135" s="2" t="str">
        <f>IF(Procurement_kpi_Analysis[[#This Row],[Lead Time]]&lt;=14,"On Time","Late")</f>
        <v>On Time</v>
      </c>
      <c r="R135" s="2">
        <f>Procurement_kpi_Analysis[[#This Row],[Unit_Price]]*Procurement_kpi_Analysis[[#This Row],[Quantity]]</f>
        <v>58755.76</v>
      </c>
      <c r="S135" s="2">
        <f>IF(Procurement_kpi_Analysis[[#This Row],[Compliance]]="Yes",1,0)</f>
        <v>1</v>
      </c>
      <c r="T135" s="2">
        <f>IF(Procurement_kpi_Analysis[[#This Row],[Compliance]]="No",1,0)</f>
        <v>0</v>
      </c>
    </row>
    <row r="136" spans="1:20" x14ac:dyDescent="0.3">
      <c r="A136" t="s">
        <v>161</v>
      </c>
      <c r="B136" t="s">
        <v>29</v>
      </c>
      <c r="C136" s="1">
        <v>44674</v>
      </c>
      <c r="D136" s="1">
        <v>44690</v>
      </c>
      <c r="E136" t="s">
        <v>21</v>
      </c>
      <c r="F136" t="s">
        <v>18</v>
      </c>
      <c r="G136">
        <v>570</v>
      </c>
      <c r="H136">
        <v>71.510000000000005</v>
      </c>
      <c r="I136">
        <v>66.47</v>
      </c>
      <c r="J136">
        <v>0</v>
      </c>
      <c r="K136" t="s">
        <v>15</v>
      </c>
      <c r="L136">
        <f>Procurement_kpi_Analysis[[#This Row],[Quantity]]*Procurement_kpi_Analysis[[#This Row],[Negotiated_Price]]</f>
        <v>37887.9</v>
      </c>
      <c r="M136">
        <f>IF(Procurement_kpi_Analysis[[#This Row],[Delivery_Date]]="","",Procurement_kpi_Analysis[[#This Row],[Delivery_Date]]-Procurement_kpi_Analysis[[#This Row],[Order_Date]])</f>
        <v>16</v>
      </c>
      <c r="N136" s="2">
        <f>Procurement_kpi_Analysis[[#This Row],[Defective_Units]]/Procurement_kpi_Analysis[[#This Row],[Quantity]]</f>
        <v>0</v>
      </c>
      <c r="O136" s="2">
        <f>(Procurement_kpi_Analysis[[#This Row],[Unit_Price]]-Procurement_kpi_Analysis[[#This Row],[Negotiated_Price]])*Procurement_kpi_Analysis[[#This Row],[Quantity]]</f>
        <v>2872.8000000000034</v>
      </c>
      <c r="P136" s="2">
        <f>Procurement_kpi_Analysis[[#This Row],[Total Savings]]/Procurement_kpi_Analysis[[#This Row],[Total Spend]]</f>
        <v>7.5823679855574033E-2</v>
      </c>
      <c r="Q136" s="2" t="str">
        <f>IF(Procurement_kpi_Analysis[[#This Row],[Lead Time]]&lt;=14,"On Time","Late")</f>
        <v>Late</v>
      </c>
      <c r="R136" s="2">
        <f>Procurement_kpi_Analysis[[#This Row],[Unit_Price]]*Procurement_kpi_Analysis[[#This Row],[Quantity]]</f>
        <v>40760.700000000004</v>
      </c>
      <c r="S136" s="2">
        <f>IF(Procurement_kpi_Analysis[[#This Row],[Compliance]]="Yes",1,0)</f>
        <v>1</v>
      </c>
      <c r="T136" s="2">
        <f>IF(Procurement_kpi_Analysis[[#This Row],[Compliance]]="No",1,0)</f>
        <v>0</v>
      </c>
    </row>
    <row r="137" spans="1:20" x14ac:dyDescent="0.3">
      <c r="A137" t="s">
        <v>162</v>
      </c>
      <c r="B137" t="s">
        <v>23</v>
      </c>
      <c r="C137" s="1">
        <v>44718</v>
      </c>
      <c r="D137" s="1">
        <v>44738</v>
      </c>
      <c r="E137" t="s">
        <v>26</v>
      </c>
      <c r="F137" t="s">
        <v>18</v>
      </c>
      <c r="G137">
        <v>1417</v>
      </c>
      <c r="H137">
        <v>67.27</v>
      </c>
      <c r="I137">
        <v>60.62</v>
      </c>
      <c r="J137">
        <v>0</v>
      </c>
      <c r="K137" t="s">
        <v>15</v>
      </c>
      <c r="L137">
        <f>Procurement_kpi_Analysis[[#This Row],[Quantity]]*Procurement_kpi_Analysis[[#This Row],[Negotiated_Price]]</f>
        <v>85898.54</v>
      </c>
      <c r="M137">
        <f>IF(Procurement_kpi_Analysis[[#This Row],[Delivery_Date]]="","",Procurement_kpi_Analysis[[#This Row],[Delivery_Date]]-Procurement_kpi_Analysis[[#This Row],[Order_Date]])</f>
        <v>20</v>
      </c>
      <c r="N137" s="2">
        <f>Procurement_kpi_Analysis[[#This Row],[Defective_Units]]/Procurement_kpi_Analysis[[#This Row],[Quantity]]</f>
        <v>0</v>
      </c>
      <c r="O137" s="2">
        <f>(Procurement_kpi_Analysis[[#This Row],[Unit_Price]]-Procurement_kpi_Analysis[[#This Row],[Negotiated_Price]])*Procurement_kpi_Analysis[[#This Row],[Quantity]]</f>
        <v>9423.0499999999975</v>
      </c>
      <c r="P137" s="2">
        <f>Procurement_kpi_Analysis[[#This Row],[Total Savings]]/Procurement_kpi_Analysis[[#This Row],[Total Spend]]</f>
        <v>0.10969976905311776</v>
      </c>
      <c r="Q137" s="2" t="str">
        <f>IF(Procurement_kpi_Analysis[[#This Row],[Lead Time]]&lt;=14,"On Time","Late")</f>
        <v>Late</v>
      </c>
      <c r="R137" s="2">
        <f>Procurement_kpi_Analysis[[#This Row],[Unit_Price]]*Procurement_kpi_Analysis[[#This Row],[Quantity]]</f>
        <v>95321.59</v>
      </c>
      <c r="S137" s="2">
        <f>IF(Procurement_kpi_Analysis[[#This Row],[Compliance]]="Yes",1,0)</f>
        <v>1</v>
      </c>
      <c r="T137" s="2">
        <f>IF(Procurement_kpi_Analysis[[#This Row],[Compliance]]="No",1,0)</f>
        <v>0</v>
      </c>
    </row>
    <row r="138" spans="1:20" x14ac:dyDescent="0.3">
      <c r="A138" t="s">
        <v>163</v>
      </c>
      <c r="B138" t="s">
        <v>12</v>
      </c>
      <c r="C138" s="1">
        <v>45204</v>
      </c>
      <c r="D138" s="1">
        <v>45210</v>
      </c>
      <c r="E138" t="s">
        <v>26</v>
      </c>
      <c r="F138" t="s">
        <v>18</v>
      </c>
      <c r="G138">
        <v>1202</v>
      </c>
      <c r="H138">
        <v>46.67</v>
      </c>
      <c r="I138">
        <v>44.13</v>
      </c>
      <c r="J138">
        <v>21</v>
      </c>
      <c r="K138" t="s">
        <v>27</v>
      </c>
      <c r="L138">
        <f>Procurement_kpi_Analysis[[#This Row],[Quantity]]*Procurement_kpi_Analysis[[#This Row],[Negotiated_Price]]</f>
        <v>53044.26</v>
      </c>
      <c r="M138">
        <f>IF(Procurement_kpi_Analysis[[#This Row],[Delivery_Date]]="","",Procurement_kpi_Analysis[[#This Row],[Delivery_Date]]-Procurement_kpi_Analysis[[#This Row],[Order_Date]])</f>
        <v>6</v>
      </c>
      <c r="N138" s="2">
        <f>Procurement_kpi_Analysis[[#This Row],[Defective_Units]]/Procurement_kpi_Analysis[[#This Row],[Quantity]]</f>
        <v>1.747088186356073E-2</v>
      </c>
      <c r="O138" s="2">
        <f>(Procurement_kpi_Analysis[[#This Row],[Unit_Price]]-Procurement_kpi_Analysis[[#This Row],[Negotiated_Price]])*Procurement_kpi_Analysis[[#This Row],[Quantity]]</f>
        <v>3053.079999999999</v>
      </c>
      <c r="P138" s="2">
        <f>Procurement_kpi_Analysis[[#This Row],[Total Savings]]/Procurement_kpi_Analysis[[#This Row],[Total Spend]]</f>
        <v>5.7557217312485816E-2</v>
      </c>
      <c r="Q138" s="2" t="str">
        <f>IF(Procurement_kpi_Analysis[[#This Row],[Lead Time]]&lt;=14,"On Time","Late")</f>
        <v>On Time</v>
      </c>
      <c r="R138" s="2">
        <f>Procurement_kpi_Analysis[[#This Row],[Unit_Price]]*Procurement_kpi_Analysis[[#This Row],[Quantity]]</f>
        <v>56097.340000000004</v>
      </c>
      <c r="S138" s="2">
        <f>IF(Procurement_kpi_Analysis[[#This Row],[Compliance]]="Yes",1,0)</f>
        <v>0</v>
      </c>
      <c r="T138" s="2">
        <f>IF(Procurement_kpi_Analysis[[#This Row],[Compliance]]="No",1,0)</f>
        <v>1</v>
      </c>
    </row>
    <row r="139" spans="1:20" x14ac:dyDescent="0.3">
      <c r="A139" t="s">
        <v>164</v>
      </c>
      <c r="B139" t="s">
        <v>23</v>
      </c>
      <c r="C139" s="1">
        <v>44725</v>
      </c>
      <c r="D139" s="1">
        <v>44726</v>
      </c>
      <c r="E139" t="s">
        <v>13</v>
      </c>
      <c r="F139" t="s">
        <v>18</v>
      </c>
      <c r="G139">
        <v>697</v>
      </c>
      <c r="H139">
        <v>20.73</v>
      </c>
      <c r="I139">
        <v>19.829999999999998</v>
      </c>
      <c r="J139">
        <v>78</v>
      </c>
      <c r="K139" t="s">
        <v>27</v>
      </c>
      <c r="L139">
        <f>Procurement_kpi_Analysis[[#This Row],[Quantity]]*Procurement_kpi_Analysis[[#This Row],[Negotiated_Price]]</f>
        <v>13821.509999999998</v>
      </c>
      <c r="M139">
        <f>IF(Procurement_kpi_Analysis[[#This Row],[Delivery_Date]]="","",Procurement_kpi_Analysis[[#This Row],[Delivery_Date]]-Procurement_kpi_Analysis[[#This Row],[Order_Date]])</f>
        <v>1</v>
      </c>
      <c r="N139" s="2">
        <f>Procurement_kpi_Analysis[[#This Row],[Defective_Units]]/Procurement_kpi_Analysis[[#This Row],[Quantity]]</f>
        <v>0.11190817790530846</v>
      </c>
      <c r="O139" s="2">
        <f>(Procurement_kpi_Analysis[[#This Row],[Unit_Price]]-Procurement_kpi_Analysis[[#This Row],[Negotiated_Price]])*Procurement_kpi_Analysis[[#This Row],[Quantity]]</f>
        <v>627.30000000000143</v>
      </c>
      <c r="P139" s="2">
        <f>Procurement_kpi_Analysis[[#This Row],[Total Savings]]/Procurement_kpi_Analysis[[#This Row],[Total Spend]]</f>
        <v>4.5385779122541714E-2</v>
      </c>
      <c r="Q139" s="2" t="str">
        <f>IF(Procurement_kpi_Analysis[[#This Row],[Lead Time]]&lt;=14,"On Time","Late")</f>
        <v>On Time</v>
      </c>
      <c r="R139" s="2">
        <f>Procurement_kpi_Analysis[[#This Row],[Unit_Price]]*Procurement_kpi_Analysis[[#This Row],[Quantity]]</f>
        <v>14448.81</v>
      </c>
      <c r="S139" s="2">
        <f>IF(Procurement_kpi_Analysis[[#This Row],[Compliance]]="Yes",1,0)</f>
        <v>0</v>
      </c>
      <c r="T139" s="2">
        <f>IF(Procurement_kpi_Analysis[[#This Row],[Compliance]]="No",1,0)</f>
        <v>1</v>
      </c>
    </row>
    <row r="140" spans="1:20" x14ac:dyDescent="0.3">
      <c r="A140" t="s">
        <v>165</v>
      </c>
      <c r="B140" t="s">
        <v>29</v>
      </c>
      <c r="C140" s="1">
        <v>45258</v>
      </c>
      <c r="D140" s="1">
        <v>45261</v>
      </c>
      <c r="E140" t="s">
        <v>21</v>
      </c>
      <c r="F140" t="s">
        <v>18</v>
      </c>
      <c r="G140">
        <v>1545</v>
      </c>
      <c r="H140">
        <v>78.19</v>
      </c>
      <c r="I140">
        <v>76.91</v>
      </c>
      <c r="J140">
        <v>42</v>
      </c>
      <c r="K140" t="s">
        <v>15</v>
      </c>
      <c r="L140">
        <f>Procurement_kpi_Analysis[[#This Row],[Quantity]]*Procurement_kpi_Analysis[[#This Row],[Negotiated_Price]]</f>
        <v>118825.95</v>
      </c>
      <c r="M140">
        <f>IF(Procurement_kpi_Analysis[[#This Row],[Delivery_Date]]="","",Procurement_kpi_Analysis[[#This Row],[Delivery_Date]]-Procurement_kpi_Analysis[[#This Row],[Order_Date]])</f>
        <v>3</v>
      </c>
      <c r="N140" s="2">
        <f>Procurement_kpi_Analysis[[#This Row],[Defective_Units]]/Procurement_kpi_Analysis[[#This Row],[Quantity]]</f>
        <v>2.7184466019417475E-2</v>
      </c>
      <c r="O140" s="2">
        <f>(Procurement_kpi_Analysis[[#This Row],[Unit_Price]]-Procurement_kpi_Analysis[[#This Row],[Negotiated_Price]])*Procurement_kpi_Analysis[[#This Row],[Quantity]]</f>
        <v>1977.6000000000017</v>
      </c>
      <c r="P140" s="2">
        <f>Procurement_kpi_Analysis[[#This Row],[Total Savings]]/Procurement_kpi_Analysis[[#This Row],[Total Spend]]</f>
        <v>1.6642829280977781E-2</v>
      </c>
      <c r="Q140" s="2" t="str">
        <f>IF(Procurement_kpi_Analysis[[#This Row],[Lead Time]]&lt;=14,"On Time","Late")</f>
        <v>On Time</v>
      </c>
      <c r="R140" s="2">
        <f>Procurement_kpi_Analysis[[#This Row],[Unit_Price]]*Procurement_kpi_Analysis[[#This Row],[Quantity]]</f>
        <v>120803.55</v>
      </c>
      <c r="S140" s="2">
        <f>IF(Procurement_kpi_Analysis[[#This Row],[Compliance]]="Yes",1,0)</f>
        <v>1</v>
      </c>
      <c r="T140" s="2">
        <f>IF(Procurement_kpi_Analysis[[#This Row],[Compliance]]="No",1,0)</f>
        <v>0</v>
      </c>
    </row>
    <row r="141" spans="1:20" x14ac:dyDescent="0.3">
      <c r="A141" t="s">
        <v>166</v>
      </c>
      <c r="B141" t="s">
        <v>20</v>
      </c>
      <c r="C141" s="1">
        <v>44994</v>
      </c>
      <c r="D141" s="1">
        <v>44998</v>
      </c>
      <c r="E141" t="s">
        <v>21</v>
      </c>
      <c r="F141" t="s">
        <v>33</v>
      </c>
      <c r="G141">
        <v>1136</v>
      </c>
      <c r="H141">
        <v>60.81</v>
      </c>
      <c r="I141">
        <v>58.25</v>
      </c>
      <c r="J141">
        <v>62</v>
      </c>
      <c r="K141" t="s">
        <v>15</v>
      </c>
      <c r="L141">
        <f>Procurement_kpi_Analysis[[#This Row],[Quantity]]*Procurement_kpi_Analysis[[#This Row],[Negotiated_Price]]</f>
        <v>66172</v>
      </c>
      <c r="M141">
        <f>IF(Procurement_kpi_Analysis[[#This Row],[Delivery_Date]]="","",Procurement_kpi_Analysis[[#This Row],[Delivery_Date]]-Procurement_kpi_Analysis[[#This Row],[Order_Date]])</f>
        <v>4</v>
      </c>
      <c r="N141" s="2">
        <f>Procurement_kpi_Analysis[[#This Row],[Defective_Units]]/Procurement_kpi_Analysis[[#This Row],[Quantity]]</f>
        <v>5.4577464788732391E-2</v>
      </c>
      <c r="O141" s="2">
        <f>(Procurement_kpi_Analysis[[#This Row],[Unit_Price]]-Procurement_kpi_Analysis[[#This Row],[Negotiated_Price]])*Procurement_kpi_Analysis[[#This Row],[Quantity]]</f>
        <v>2908.1600000000026</v>
      </c>
      <c r="P141" s="2">
        <f>Procurement_kpi_Analysis[[#This Row],[Total Savings]]/Procurement_kpi_Analysis[[#This Row],[Total Spend]]</f>
        <v>4.3948497854077291E-2</v>
      </c>
      <c r="Q141" s="2" t="str">
        <f>IF(Procurement_kpi_Analysis[[#This Row],[Lead Time]]&lt;=14,"On Time","Late")</f>
        <v>On Time</v>
      </c>
      <c r="R141" s="2">
        <f>Procurement_kpi_Analysis[[#This Row],[Unit_Price]]*Procurement_kpi_Analysis[[#This Row],[Quantity]]</f>
        <v>69080.160000000003</v>
      </c>
      <c r="S141" s="2">
        <f>IF(Procurement_kpi_Analysis[[#This Row],[Compliance]]="Yes",1,0)</f>
        <v>1</v>
      </c>
      <c r="T141" s="2">
        <f>IF(Procurement_kpi_Analysis[[#This Row],[Compliance]]="No",1,0)</f>
        <v>0</v>
      </c>
    </row>
    <row r="142" spans="1:20" x14ac:dyDescent="0.3">
      <c r="A142" t="s">
        <v>167</v>
      </c>
      <c r="B142" t="s">
        <v>23</v>
      </c>
      <c r="C142" s="1">
        <v>45172</v>
      </c>
      <c r="D142" s="1">
        <v>45176</v>
      </c>
      <c r="E142" t="s">
        <v>21</v>
      </c>
      <c r="F142" t="s">
        <v>18</v>
      </c>
      <c r="G142">
        <v>1212</v>
      </c>
      <c r="H142">
        <v>87.46</v>
      </c>
      <c r="I142">
        <v>74.55</v>
      </c>
      <c r="J142">
        <v>118</v>
      </c>
      <c r="K142" t="s">
        <v>27</v>
      </c>
      <c r="L142">
        <f>Procurement_kpi_Analysis[[#This Row],[Quantity]]*Procurement_kpi_Analysis[[#This Row],[Negotiated_Price]]</f>
        <v>90354.599999999991</v>
      </c>
      <c r="M142">
        <f>IF(Procurement_kpi_Analysis[[#This Row],[Delivery_Date]]="","",Procurement_kpi_Analysis[[#This Row],[Delivery_Date]]-Procurement_kpi_Analysis[[#This Row],[Order_Date]])</f>
        <v>4</v>
      </c>
      <c r="N142" s="2">
        <f>Procurement_kpi_Analysis[[#This Row],[Defective_Units]]/Procurement_kpi_Analysis[[#This Row],[Quantity]]</f>
        <v>9.7359735973597358E-2</v>
      </c>
      <c r="O142" s="2">
        <f>(Procurement_kpi_Analysis[[#This Row],[Unit_Price]]-Procurement_kpi_Analysis[[#This Row],[Negotiated_Price]])*Procurement_kpi_Analysis[[#This Row],[Quantity]]</f>
        <v>15646.919999999996</v>
      </c>
      <c r="P142" s="2">
        <f>Procurement_kpi_Analysis[[#This Row],[Total Savings]]/Procurement_kpi_Analysis[[#This Row],[Total Spend]]</f>
        <v>0.17317236753856469</v>
      </c>
      <c r="Q142" s="2" t="str">
        <f>IF(Procurement_kpi_Analysis[[#This Row],[Lead Time]]&lt;=14,"On Time","Late")</f>
        <v>On Time</v>
      </c>
      <c r="R142" s="2">
        <f>Procurement_kpi_Analysis[[#This Row],[Unit_Price]]*Procurement_kpi_Analysis[[#This Row],[Quantity]]</f>
        <v>106001.51999999999</v>
      </c>
      <c r="S142" s="2">
        <f>IF(Procurement_kpi_Analysis[[#This Row],[Compliance]]="Yes",1,0)</f>
        <v>0</v>
      </c>
      <c r="T142" s="2">
        <f>IF(Procurement_kpi_Analysis[[#This Row],[Compliance]]="No",1,0)</f>
        <v>1</v>
      </c>
    </row>
    <row r="143" spans="1:20" x14ac:dyDescent="0.3">
      <c r="A143" t="s">
        <v>168</v>
      </c>
      <c r="B143" t="s">
        <v>29</v>
      </c>
      <c r="C143" s="1">
        <v>44627</v>
      </c>
      <c r="D143" s="1">
        <v>44632</v>
      </c>
      <c r="E143" t="s">
        <v>21</v>
      </c>
      <c r="F143" t="s">
        <v>18</v>
      </c>
      <c r="G143">
        <v>1572</v>
      </c>
      <c r="H143">
        <v>57.38</v>
      </c>
      <c r="I143">
        <v>49.32</v>
      </c>
      <c r="J143">
        <v>40</v>
      </c>
      <c r="K143" t="s">
        <v>15</v>
      </c>
      <c r="L143">
        <f>Procurement_kpi_Analysis[[#This Row],[Quantity]]*Procurement_kpi_Analysis[[#This Row],[Negotiated_Price]]</f>
        <v>77531.039999999994</v>
      </c>
      <c r="M143">
        <f>IF(Procurement_kpi_Analysis[[#This Row],[Delivery_Date]]="","",Procurement_kpi_Analysis[[#This Row],[Delivery_Date]]-Procurement_kpi_Analysis[[#This Row],[Order_Date]])</f>
        <v>5</v>
      </c>
      <c r="N143" s="2">
        <f>Procurement_kpi_Analysis[[#This Row],[Defective_Units]]/Procurement_kpi_Analysis[[#This Row],[Quantity]]</f>
        <v>2.5445292620865138E-2</v>
      </c>
      <c r="O143" s="2">
        <f>(Procurement_kpi_Analysis[[#This Row],[Unit_Price]]-Procurement_kpi_Analysis[[#This Row],[Negotiated_Price]])*Procurement_kpi_Analysis[[#This Row],[Quantity]]</f>
        <v>12670.320000000003</v>
      </c>
      <c r="P143" s="2">
        <f>Procurement_kpi_Analysis[[#This Row],[Total Savings]]/Procurement_kpi_Analysis[[#This Row],[Total Spend]]</f>
        <v>0.16342254663422554</v>
      </c>
      <c r="Q143" s="2" t="str">
        <f>IF(Procurement_kpi_Analysis[[#This Row],[Lead Time]]&lt;=14,"On Time","Late")</f>
        <v>On Time</v>
      </c>
      <c r="R143" s="2">
        <f>Procurement_kpi_Analysis[[#This Row],[Unit_Price]]*Procurement_kpi_Analysis[[#This Row],[Quantity]]</f>
        <v>90201.36</v>
      </c>
      <c r="S143" s="2">
        <f>IF(Procurement_kpi_Analysis[[#This Row],[Compliance]]="Yes",1,0)</f>
        <v>1</v>
      </c>
      <c r="T143" s="2">
        <f>IF(Procurement_kpi_Analysis[[#This Row],[Compliance]]="No",1,0)</f>
        <v>0</v>
      </c>
    </row>
    <row r="144" spans="1:20" x14ac:dyDescent="0.3">
      <c r="A144" t="s">
        <v>169</v>
      </c>
      <c r="B144" t="s">
        <v>20</v>
      </c>
      <c r="C144" s="1">
        <v>44956</v>
      </c>
      <c r="D144" s="1">
        <v>44966</v>
      </c>
      <c r="E144" t="s">
        <v>39</v>
      </c>
      <c r="F144" t="s">
        <v>18</v>
      </c>
      <c r="G144">
        <v>642</v>
      </c>
      <c r="H144">
        <v>91.9</v>
      </c>
      <c r="I144">
        <v>81.489999999999995</v>
      </c>
      <c r="J144">
        <v>26</v>
      </c>
      <c r="K144" t="s">
        <v>15</v>
      </c>
      <c r="L144">
        <f>Procurement_kpi_Analysis[[#This Row],[Quantity]]*Procurement_kpi_Analysis[[#This Row],[Negotiated_Price]]</f>
        <v>52316.579999999994</v>
      </c>
      <c r="M144">
        <f>IF(Procurement_kpi_Analysis[[#This Row],[Delivery_Date]]="","",Procurement_kpi_Analysis[[#This Row],[Delivery_Date]]-Procurement_kpi_Analysis[[#This Row],[Order_Date]])</f>
        <v>10</v>
      </c>
      <c r="N144" s="2">
        <f>Procurement_kpi_Analysis[[#This Row],[Defective_Units]]/Procurement_kpi_Analysis[[#This Row],[Quantity]]</f>
        <v>4.0498442367601244E-2</v>
      </c>
      <c r="O144" s="2">
        <f>(Procurement_kpi_Analysis[[#This Row],[Unit_Price]]-Procurement_kpi_Analysis[[#This Row],[Negotiated_Price]])*Procurement_kpi_Analysis[[#This Row],[Quantity]]</f>
        <v>6683.2200000000066</v>
      </c>
      <c r="P144" s="2">
        <f>Procurement_kpi_Analysis[[#This Row],[Total Savings]]/Procurement_kpi_Analysis[[#This Row],[Total Spend]]</f>
        <v>0.12774573567308886</v>
      </c>
      <c r="Q144" s="2" t="str">
        <f>IF(Procurement_kpi_Analysis[[#This Row],[Lead Time]]&lt;=14,"On Time","Late")</f>
        <v>On Time</v>
      </c>
      <c r="R144" s="2">
        <f>Procurement_kpi_Analysis[[#This Row],[Unit_Price]]*Procurement_kpi_Analysis[[#This Row],[Quantity]]</f>
        <v>58999.8</v>
      </c>
      <c r="S144" s="2">
        <f>IF(Procurement_kpi_Analysis[[#This Row],[Compliance]]="Yes",1,0)</f>
        <v>1</v>
      </c>
      <c r="T144" s="2">
        <f>IF(Procurement_kpi_Analysis[[#This Row],[Compliance]]="No",1,0)</f>
        <v>0</v>
      </c>
    </row>
    <row r="145" spans="1:20" x14ac:dyDescent="0.3">
      <c r="A145" t="s">
        <v>170</v>
      </c>
      <c r="B145" t="s">
        <v>29</v>
      </c>
      <c r="C145" s="1">
        <v>44952</v>
      </c>
      <c r="D145" s="1">
        <v>44961</v>
      </c>
      <c r="E145" t="s">
        <v>13</v>
      </c>
      <c r="F145" t="s">
        <v>18</v>
      </c>
      <c r="G145">
        <v>441</v>
      </c>
      <c r="H145">
        <v>63.25</v>
      </c>
      <c r="I145">
        <v>54.12</v>
      </c>
      <c r="J145">
        <v>16</v>
      </c>
      <c r="K145" t="s">
        <v>15</v>
      </c>
      <c r="L145">
        <f>Procurement_kpi_Analysis[[#This Row],[Quantity]]*Procurement_kpi_Analysis[[#This Row],[Negotiated_Price]]</f>
        <v>23866.92</v>
      </c>
      <c r="M145">
        <f>IF(Procurement_kpi_Analysis[[#This Row],[Delivery_Date]]="","",Procurement_kpi_Analysis[[#This Row],[Delivery_Date]]-Procurement_kpi_Analysis[[#This Row],[Order_Date]])</f>
        <v>9</v>
      </c>
      <c r="N145" s="2">
        <f>Procurement_kpi_Analysis[[#This Row],[Defective_Units]]/Procurement_kpi_Analysis[[#This Row],[Quantity]]</f>
        <v>3.6281179138321996E-2</v>
      </c>
      <c r="O145" s="2">
        <f>(Procurement_kpi_Analysis[[#This Row],[Unit_Price]]-Procurement_kpi_Analysis[[#This Row],[Negotiated_Price]])*Procurement_kpi_Analysis[[#This Row],[Quantity]]</f>
        <v>4026.3300000000013</v>
      </c>
      <c r="P145" s="2">
        <f>Procurement_kpi_Analysis[[#This Row],[Total Savings]]/Procurement_kpi_Analysis[[#This Row],[Total Spend]]</f>
        <v>0.16869918699186998</v>
      </c>
      <c r="Q145" s="2" t="str">
        <f>IF(Procurement_kpi_Analysis[[#This Row],[Lead Time]]&lt;=14,"On Time","Late")</f>
        <v>On Time</v>
      </c>
      <c r="R145" s="2">
        <f>Procurement_kpi_Analysis[[#This Row],[Unit_Price]]*Procurement_kpi_Analysis[[#This Row],[Quantity]]</f>
        <v>27893.25</v>
      </c>
      <c r="S145" s="2">
        <f>IF(Procurement_kpi_Analysis[[#This Row],[Compliance]]="Yes",1,0)</f>
        <v>1</v>
      </c>
      <c r="T145" s="2">
        <f>IF(Procurement_kpi_Analysis[[#This Row],[Compliance]]="No",1,0)</f>
        <v>0</v>
      </c>
    </row>
    <row r="146" spans="1:20" x14ac:dyDescent="0.3">
      <c r="A146" t="s">
        <v>171</v>
      </c>
      <c r="B146" t="s">
        <v>29</v>
      </c>
      <c r="C146" s="1">
        <v>45172</v>
      </c>
      <c r="D146" s="1">
        <v>45188</v>
      </c>
      <c r="E146" t="s">
        <v>13</v>
      </c>
      <c r="F146" t="s">
        <v>18</v>
      </c>
      <c r="G146">
        <v>1748</v>
      </c>
      <c r="H146">
        <v>66.53</v>
      </c>
      <c r="I146">
        <v>57.11</v>
      </c>
      <c r="J146">
        <v>0</v>
      </c>
      <c r="K146" t="s">
        <v>15</v>
      </c>
      <c r="L146">
        <f>Procurement_kpi_Analysis[[#This Row],[Quantity]]*Procurement_kpi_Analysis[[#This Row],[Negotiated_Price]]</f>
        <v>99828.28</v>
      </c>
      <c r="M146">
        <f>IF(Procurement_kpi_Analysis[[#This Row],[Delivery_Date]]="","",Procurement_kpi_Analysis[[#This Row],[Delivery_Date]]-Procurement_kpi_Analysis[[#This Row],[Order_Date]])</f>
        <v>16</v>
      </c>
      <c r="N146" s="2">
        <f>Procurement_kpi_Analysis[[#This Row],[Defective_Units]]/Procurement_kpi_Analysis[[#This Row],[Quantity]]</f>
        <v>0</v>
      </c>
      <c r="O146" s="2">
        <f>(Procurement_kpi_Analysis[[#This Row],[Unit_Price]]-Procurement_kpi_Analysis[[#This Row],[Negotiated_Price]])*Procurement_kpi_Analysis[[#This Row],[Quantity]]</f>
        <v>16466.160000000003</v>
      </c>
      <c r="P146" s="2">
        <f>Procurement_kpi_Analysis[[#This Row],[Total Savings]]/Procurement_kpi_Analysis[[#This Row],[Total Spend]]</f>
        <v>0.16494484328488884</v>
      </c>
      <c r="Q146" s="2" t="str">
        <f>IF(Procurement_kpi_Analysis[[#This Row],[Lead Time]]&lt;=14,"On Time","Late")</f>
        <v>Late</v>
      </c>
      <c r="R146" s="2">
        <f>Procurement_kpi_Analysis[[#This Row],[Unit_Price]]*Procurement_kpi_Analysis[[#This Row],[Quantity]]</f>
        <v>116294.44</v>
      </c>
      <c r="S146" s="2">
        <f>IF(Procurement_kpi_Analysis[[#This Row],[Compliance]]="Yes",1,0)</f>
        <v>1</v>
      </c>
      <c r="T146" s="2">
        <f>IF(Procurement_kpi_Analysis[[#This Row],[Compliance]]="No",1,0)</f>
        <v>0</v>
      </c>
    </row>
    <row r="147" spans="1:20" x14ac:dyDescent="0.3">
      <c r="A147" t="s">
        <v>172</v>
      </c>
      <c r="B147" t="s">
        <v>20</v>
      </c>
      <c r="C147" s="1">
        <v>45041</v>
      </c>
      <c r="D147" s="1"/>
      <c r="E147" t="s">
        <v>39</v>
      </c>
      <c r="F147" t="s">
        <v>35</v>
      </c>
      <c r="G147">
        <v>468</v>
      </c>
      <c r="H147">
        <v>95.57</v>
      </c>
      <c r="I147">
        <v>91.8</v>
      </c>
      <c r="J147">
        <v>24</v>
      </c>
      <c r="K147" t="s">
        <v>15</v>
      </c>
      <c r="L147">
        <f>Procurement_kpi_Analysis[[#This Row],[Quantity]]*Procurement_kpi_Analysis[[#This Row],[Negotiated_Price]]</f>
        <v>42962.400000000001</v>
      </c>
      <c r="M147" t="str">
        <f>IF(Procurement_kpi_Analysis[[#This Row],[Delivery_Date]]="","",Procurement_kpi_Analysis[[#This Row],[Delivery_Date]]-Procurement_kpi_Analysis[[#This Row],[Order_Date]])</f>
        <v/>
      </c>
      <c r="N147" s="2">
        <f>Procurement_kpi_Analysis[[#This Row],[Defective_Units]]/Procurement_kpi_Analysis[[#This Row],[Quantity]]</f>
        <v>5.128205128205128E-2</v>
      </c>
      <c r="O147" s="2">
        <f>(Procurement_kpi_Analysis[[#This Row],[Unit_Price]]-Procurement_kpi_Analysis[[#This Row],[Negotiated_Price]])*Procurement_kpi_Analysis[[#This Row],[Quantity]]</f>
        <v>1764.3599999999981</v>
      </c>
      <c r="P147" s="2">
        <f>Procurement_kpi_Analysis[[#This Row],[Total Savings]]/Procurement_kpi_Analysis[[#This Row],[Total Spend]]</f>
        <v>4.1067538126361609E-2</v>
      </c>
      <c r="Q147" s="2" t="str">
        <f>IF(Procurement_kpi_Analysis[[#This Row],[Lead Time]]&lt;=14,"On Time","Late")</f>
        <v>Late</v>
      </c>
      <c r="R147" s="2">
        <f>Procurement_kpi_Analysis[[#This Row],[Unit_Price]]*Procurement_kpi_Analysis[[#This Row],[Quantity]]</f>
        <v>44726.759999999995</v>
      </c>
      <c r="S147" s="2">
        <f>IF(Procurement_kpi_Analysis[[#This Row],[Compliance]]="Yes",1,0)</f>
        <v>1</v>
      </c>
      <c r="T147" s="2">
        <f>IF(Procurement_kpi_Analysis[[#This Row],[Compliance]]="No",1,0)</f>
        <v>0</v>
      </c>
    </row>
    <row r="148" spans="1:20" x14ac:dyDescent="0.3">
      <c r="A148" t="s">
        <v>173</v>
      </c>
      <c r="B148" t="s">
        <v>23</v>
      </c>
      <c r="C148" s="1">
        <v>45103</v>
      </c>
      <c r="D148" s="1">
        <v>45121</v>
      </c>
      <c r="E148" t="s">
        <v>26</v>
      </c>
      <c r="F148" t="s">
        <v>18</v>
      </c>
      <c r="G148">
        <v>338</v>
      </c>
      <c r="H148">
        <v>50.25</v>
      </c>
      <c r="I148">
        <v>46.28</v>
      </c>
      <c r="J148">
        <v>49</v>
      </c>
      <c r="K148" t="s">
        <v>27</v>
      </c>
      <c r="L148">
        <f>Procurement_kpi_Analysis[[#This Row],[Quantity]]*Procurement_kpi_Analysis[[#This Row],[Negotiated_Price]]</f>
        <v>15642.640000000001</v>
      </c>
      <c r="M148">
        <f>IF(Procurement_kpi_Analysis[[#This Row],[Delivery_Date]]="","",Procurement_kpi_Analysis[[#This Row],[Delivery_Date]]-Procurement_kpi_Analysis[[#This Row],[Order_Date]])</f>
        <v>18</v>
      </c>
      <c r="N148" s="2">
        <f>Procurement_kpi_Analysis[[#This Row],[Defective_Units]]/Procurement_kpi_Analysis[[#This Row],[Quantity]]</f>
        <v>0.14497041420118342</v>
      </c>
      <c r="O148" s="2">
        <f>(Procurement_kpi_Analysis[[#This Row],[Unit_Price]]-Procurement_kpi_Analysis[[#This Row],[Negotiated_Price]])*Procurement_kpi_Analysis[[#This Row],[Quantity]]</f>
        <v>1341.8599999999997</v>
      </c>
      <c r="P148" s="2">
        <f>Procurement_kpi_Analysis[[#This Row],[Total Savings]]/Procurement_kpi_Analysis[[#This Row],[Total Spend]]</f>
        <v>8.5782195332757105E-2</v>
      </c>
      <c r="Q148" s="2" t="str">
        <f>IF(Procurement_kpi_Analysis[[#This Row],[Lead Time]]&lt;=14,"On Time","Late")</f>
        <v>Late</v>
      </c>
      <c r="R148" s="2">
        <f>Procurement_kpi_Analysis[[#This Row],[Unit_Price]]*Procurement_kpi_Analysis[[#This Row],[Quantity]]</f>
        <v>16984.5</v>
      </c>
      <c r="S148" s="2">
        <f>IF(Procurement_kpi_Analysis[[#This Row],[Compliance]]="Yes",1,0)</f>
        <v>0</v>
      </c>
      <c r="T148" s="2">
        <f>IF(Procurement_kpi_Analysis[[#This Row],[Compliance]]="No",1,0)</f>
        <v>1</v>
      </c>
    </row>
    <row r="149" spans="1:20" x14ac:dyDescent="0.3">
      <c r="A149" t="s">
        <v>174</v>
      </c>
      <c r="B149" t="s">
        <v>20</v>
      </c>
      <c r="C149" s="1">
        <v>44819</v>
      </c>
      <c r="D149" s="1">
        <v>44826</v>
      </c>
      <c r="E149" t="s">
        <v>13</v>
      </c>
      <c r="F149" t="s">
        <v>18</v>
      </c>
      <c r="G149">
        <v>428</v>
      </c>
      <c r="H149">
        <v>22.94</v>
      </c>
      <c r="I149">
        <v>21.52</v>
      </c>
      <c r="J149">
        <v>26</v>
      </c>
      <c r="K149" t="s">
        <v>15</v>
      </c>
      <c r="L149">
        <f>Procurement_kpi_Analysis[[#This Row],[Quantity]]*Procurement_kpi_Analysis[[#This Row],[Negotiated_Price]]</f>
        <v>9210.56</v>
      </c>
      <c r="M149">
        <f>IF(Procurement_kpi_Analysis[[#This Row],[Delivery_Date]]="","",Procurement_kpi_Analysis[[#This Row],[Delivery_Date]]-Procurement_kpi_Analysis[[#This Row],[Order_Date]])</f>
        <v>7</v>
      </c>
      <c r="N149" s="2">
        <f>Procurement_kpi_Analysis[[#This Row],[Defective_Units]]/Procurement_kpi_Analysis[[#This Row],[Quantity]]</f>
        <v>6.0747663551401869E-2</v>
      </c>
      <c r="O149" s="2">
        <f>(Procurement_kpi_Analysis[[#This Row],[Unit_Price]]-Procurement_kpi_Analysis[[#This Row],[Negotiated_Price]])*Procurement_kpi_Analysis[[#This Row],[Quantity]]</f>
        <v>607.76000000000067</v>
      </c>
      <c r="P149" s="2">
        <f>Procurement_kpi_Analysis[[#This Row],[Total Savings]]/Procurement_kpi_Analysis[[#This Row],[Total Spend]]</f>
        <v>6.5985130111524237E-2</v>
      </c>
      <c r="Q149" s="2" t="str">
        <f>IF(Procurement_kpi_Analysis[[#This Row],[Lead Time]]&lt;=14,"On Time","Late")</f>
        <v>On Time</v>
      </c>
      <c r="R149" s="2">
        <f>Procurement_kpi_Analysis[[#This Row],[Unit_Price]]*Procurement_kpi_Analysis[[#This Row],[Quantity]]</f>
        <v>9818.32</v>
      </c>
      <c r="S149" s="2">
        <f>IF(Procurement_kpi_Analysis[[#This Row],[Compliance]]="Yes",1,0)</f>
        <v>1</v>
      </c>
      <c r="T149" s="2">
        <f>IF(Procurement_kpi_Analysis[[#This Row],[Compliance]]="No",1,0)</f>
        <v>0</v>
      </c>
    </row>
    <row r="150" spans="1:20" x14ac:dyDescent="0.3">
      <c r="A150" t="s">
        <v>175</v>
      </c>
      <c r="B150" t="s">
        <v>23</v>
      </c>
      <c r="C150" s="1">
        <v>45128</v>
      </c>
      <c r="D150" s="1"/>
      <c r="E150" t="s">
        <v>24</v>
      </c>
      <c r="F150" t="s">
        <v>18</v>
      </c>
      <c r="G150">
        <v>1846</v>
      </c>
      <c r="H150">
        <v>13.72</v>
      </c>
      <c r="I150">
        <v>12.62</v>
      </c>
      <c r="J150">
        <v>216</v>
      </c>
      <c r="K150" t="s">
        <v>15</v>
      </c>
      <c r="L150">
        <f>Procurement_kpi_Analysis[[#This Row],[Quantity]]*Procurement_kpi_Analysis[[#This Row],[Negotiated_Price]]</f>
        <v>23296.519999999997</v>
      </c>
      <c r="M150" t="str">
        <f>IF(Procurement_kpi_Analysis[[#This Row],[Delivery_Date]]="","",Procurement_kpi_Analysis[[#This Row],[Delivery_Date]]-Procurement_kpi_Analysis[[#This Row],[Order_Date]])</f>
        <v/>
      </c>
      <c r="N150" s="2">
        <f>Procurement_kpi_Analysis[[#This Row],[Defective_Units]]/Procurement_kpi_Analysis[[#This Row],[Quantity]]</f>
        <v>0.11700975081256772</v>
      </c>
      <c r="O150" s="2">
        <f>(Procurement_kpi_Analysis[[#This Row],[Unit_Price]]-Procurement_kpi_Analysis[[#This Row],[Negotiated_Price]])*Procurement_kpi_Analysis[[#This Row],[Quantity]]</f>
        <v>2030.6000000000026</v>
      </c>
      <c r="P150" s="2">
        <f>Procurement_kpi_Analysis[[#This Row],[Total Savings]]/Procurement_kpi_Analysis[[#This Row],[Total Spend]]</f>
        <v>8.7163232963550052E-2</v>
      </c>
      <c r="Q150" s="2" t="str">
        <f>IF(Procurement_kpi_Analysis[[#This Row],[Lead Time]]&lt;=14,"On Time","Late")</f>
        <v>Late</v>
      </c>
      <c r="R150" s="2">
        <f>Procurement_kpi_Analysis[[#This Row],[Unit_Price]]*Procurement_kpi_Analysis[[#This Row],[Quantity]]</f>
        <v>25327.120000000003</v>
      </c>
      <c r="S150" s="2">
        <f>IF(Procurement_kpi_Analysis[[#This Row],[Compliance]]="Yes",1,0)</f>
        <v>1</v>
      </c>
      <c r="T150" s="2">
        <f>IF(Procurement_kpi_Analysis[[#This Row],[Compliance]]="No",1,0)</f>
        <v>0</v>
      </c>
    </row>
    <row r="151" spans="1:20" x14ac:dyDescent="0.3">
      <c r="A151" t="s">
        <v>176</v>
      </c>
      <c r="B151" t="s">
        <v>29</v>
      </c>
      <c r="C151" s="1">
        <v>44573</v>
      </c>
      <c r="D151" s="1">
        <v>44578</v>
      </c>
      <c r="E151" t="s">
        <v>13</v>
      </c>
      <c r="F151" t="s">
        <v>18</v>
      </c>
      <c r="G151">
        <v>1563</v>
      </c>
      <c r="H151">
        <v>77.959999999999994</v>
      </c>
      <c r="I151">
        <v>70.8</v>
      </c>
      <c r="J151">
        <v>41</v>
      </c>
      <c r="K151" t="s">
        <v>15</v>
      </c>
      <c r="L151">
        <f>Procurement_kpi_Analysis[[#This Row],[Quantity]]*Procurement_kpi_Analysis[[#This Row],[Negotiated_Price]]</f>
        <v>110660.4</v>
      </c>
      <c r="M151">
        <f>IF(Procurement_kpi_Analysis[[#This Row],[Delivery_Date]]="","",Procurement_kpi_Analysis[[#This Row],[Delivery_Date]]-Procurement_kpi_Analysis[[#This Row],[Order_Date]])</f>
        <v>5</v>
      </c>
      <c r="N151" s="2">
        <f>Procurement_kpi_Analysis[[#This Row],[Defective_Units]]/Procurement_kpi_Analysis[[#This Row],[Quantity]]</f>
        <v>2.6231605886116442E-2</v>
      </c>
      <c r="O151" s="2">
        <f>(Procurement_kpi_Analysis[[#This Row],[Unit_Price]]-Procurement_kpi_Analysis[[#This Row],[Negotiated_Price]])*Procurement_kpi_Analysis[[#This Row],[Quantity]]</f>
        <v>11191.079999999994</v>
      </c>
      <c r="P151" s="2">
        <f>Procurement_kpi_Analysis[[#This Row],[Total Savings]]/Procurement_kpi_Analysis[[#This Row],[Total Spend]]</f>
        <v>0.10112994350282481</v>
      </c>
      <c r="Q151" s="2" t="str">
        <f>IF(Procurement_kpi_Analysis[[#This Row],[Lead Time]]&lt;=14,"On Time","Late")</f>
        <v>On Time</v>
      </c>
      <c r="R151" s="2">
        <f>Procurement_kpi_Analysis[[#This Row],[Unit_Price]]*Procurement_kpi_Analysis[[#This Row],[Quantity]]</f>
        <v>121851.48</v>
      </c>
      <c r="S151" s="2">
        <f>IF(Procurement_kpi_Analysis[[#This Row],[Compliance]]="Yes",1,0)</f>
        <v>1</v>
      </c>
      <c r="T151" s="2">
        <f>IF(Procurement_kpi_Analysis[[#This Row],[Compliance]]="No",1,0)</f>
        <v>0</v>
      </c>
    </row>
    <row r="152" spans="1:20" x14ac:dyDescent="0.3">
      <c r="A152" t="s">
        <v>177</v>
      </c>
      <c r="B152" t="s">
        <v>23</v>
      </c>
      <c r="C152" s="1">
        <v>45258</v>
      </c>
      <c r="D152" s="1">
        <v>45267</v>
      </c>
      <c r="E152" t="s">
        <v>13</v>
      </c>
      <c r="F152" t="s">
        <v>18</v>
      </c>
      <c r="G152">
        <v>280</v>
      </c>
      <c r="H152">
        <v>73.069999999999993</v>
      </c>
      <c r="I152">
        <v>69.290000000000006</v>
      </c>
      <c r="J152">
        <v>30</v>
      </c>
      <c r="K152" t="s">
        <v>15</v>
      </c>
      <c r="L152">
        <f>Procurement_kpi_Analysis[[#This Row],[Quantity]]*Procurement_kpi_Analysis[[#This Row],[Negotiated_Price]]</f>
        <v>19401.2</v>
      </c>
      <c r="M152">
        <f>IF(Procurement_kpi_Analysis[[#This Row],[Delivery_Date]]="","",Procurement_kpi_Analysis[[#This Row],[Delivery_Date]]-Procurement_kpi_Analysis[[#This Row],[Order_Date]])</f>
        <v>9</v>
      </c>
      <c r="N152" s="2">
        <f>Procurement_kpi_Analysis[[#This Row],[Defective_Units]]/Procurement_kpi_Analysis[[#This Row],[Quantity]]</f>
        <v>0.10714285714285714</v>
      </c>
      <c r="O152" s="2">
        <f>(Procurement_kpi_Analysis[[#This Row],[Unit_Price]]-Procurement_kpi_Analysis[[#This Row],[Negotiated_Price]])*Procurement_kpi_Analysis[[#This Row],[Quantity]]</f>
        <v>1058.3999999999965</v>
      </c>
      <c r="P152" s="2">
        <f>Procurement_kpi_Analysis[[#This Row],[Total Savings]]/Procurement_kpi_Analysis[[#This Row],[Total Spend]]</f>
        <v>5.4553326598354553E-2</v>
      </c>
      <c r="Q152" s="2" t="str">
        <f>IF(Procurement_kpi_Analysis[[#This Row],[Lead Time]]&lt;=14,"On Time","Late")</f>
        <v>On Time</v>
      </c>
      <c r="R152" s="2">
        <f>Procurement_kpi_Analysis[[#This Row],[Unit_Price]]*Procurement_kpi_Analysis[[#This Row],[Quantity]]</f>
        <v>20459.599999999999</v>
      </c>
      <c r="S152" s="2">
        <f>IF(Procurement_kpi_Analysis[[#This Row],[Compliance]]="Yes",1,0)</f>
        <v>1</v>
      </c>
      <c r="T152" s="2">
        <f>IF(Procurement_kpi_Analysis[[#This Row],[Compliance]]="No",1,0)</f>
        <v>0</v>
      </c>
    </row>
    <row r="153" spans="1:20" x14ac:dyDescent="0.3">
      <c r="A153" t="s">
        <v>178</v>
      </c>
      <c r="B153" t="s">
        <v>17</v>
      </c>
      <c r="C153" s="1">
        <v>44679</v>
      </c>
      <c r="D153" s="1">
        <v>44693</v>
      </c>
      <c r="E153" t="s">
        <v>26</v>
      </c>
      <c r="F153" t="s">
        <v>18</v>
      </c>
      <c r="G153">
        <v>1067</v>
      </c>
      <c r="H153">
        <v>74.47</v>
      </c>
      <c r="I153">
        <v>64.16</v>
      </c>
      <c r="J153">
        <v>0</v>
      </c>
      <c r="K153" t="s">
        <v>27</v>
      </c>
      <c r="L153">
        <f>Procurement_kpi_Analysis[[#This Row],[Quantity]]*Procurement_kpi_Analysis[[#This Row],[Negotiated_Price]]</f>
        <v>68458.720000000001</v>
      </c>
      <c r="M153">
        <f>IF(Procurement_kpi_Analysis[[#This Row],[Delivery_Date]]="","",Procurement_kpi_Analysis[[#This Row],[Delivery_Date]]-Procurement_kpi_Analysis[[#This Row],[Order_Date]])</f>
        <v>14</v>
      </c>
      <c r="N153" s="2">
        <f>Procurement_kpi_Analysis[[#This Row],[Defective_Units]]/Procurement_kpi_Analysis[[#This Row],[Quantity]]</f>
        <v>0</v>
      </c>
      <c r="O153" s="2">
        <f>(Procurement_kpi_Analysis[[#This Row],[Unit_Price]]-Procurement_kpi_Analysis[[#This Row],[Negotiated_Price]])*Procurement_kpi_Analysis[[#This Row],[Quantity]]</f>
        <v>11000.770000000002</v>
      </c>
      <c r="P153" s="2">
        <f>Procurement_kpi_Analysis[[#This Row],[Total Savings]]/Procurement_kpi_Analysis[[#This Row],[Total Spend]]</f>
        <v>0.16069201995012472</v>
      </c>
      <c r="Q153" s="2" t="str">
        <f>IF(Procurement_kpi_Analysis[[#This Row],[Lead Time]]&lt;=14,"On Time","Late")</f>
        <v>On Time</v>
      </c>
      <c r="R153" s="2">
        <f>Procurement_kpi_Analysis[[#This Row],[Unit_Price]]*Procurement_kpi_Analysis[[#This Row],[Quantity]]</f>
        <v>79459.490000000005</v>
      </c>
      <c r="S153" s="2">
        <f>IF(Procurement_kpi_Analysis[[#This Row],[Compliance]]="Yes",1,0)</f>
        <v>0</v>
      </c>
      <c r="T153" s="2">
        <f>IF(Procurement_kpi_Analysis[[#This Row],[Compliance]]="No",1,0)</f>
        <v>1</v>
      </c>
    </row>
    <row r="154" spans="1:20" x14ac:dyDescent="0.3">
      <c r="A154" t="s">
        <v>179</v>
      </c>
      <c r="B154" t="s">
        <v>20</v>
      </c>
      <c r="C154" s="1">
        <v>45260</v>
      </c>
      <c r="D154" s="1">
        <v>45277</v>
      </c>
      <c r="E154" t="s">
        <v>39</v>
      </c>
      <c r="F154" t="s">
        <v>35</v>
      </c>
      <c r="G154">
        <v>90</v>
      </c>
      <c r="H154">
        <v>32.380000000000003</v>
      </c>
      <c r="I154">
        <v>29.96</v>
      </c>
      <c r="J154">
        <v>7</v>
      </c>
      <c r="K154" t="s">
        <v>15</v>
      </c>
      <c r="L154">
        <f>Procurement_kpi_Analysis[[#This Row],[Quantity]]*Procurement_kpi_Analysis[[#This Row],[Negotiated_Price]]</f>
        <v>2696.4</v>
      </c>
      <c r="M154">
        <f>IF(Procurement_kpi_Analysis[[#This Row],[Delivery_Date]]="","",Procurement_kpi_Analysis[[#This Row],[Delivery_Date]]-Procurement_kpi_Analysis[[#This Row],[Order_Date]])</f>
        <v>17</v>
      </c>
      <c r="N154" s="2">
        <f>Procurement_kpi_Analysis[[#This Row],[Defective_Units]]/Procurement_kpi_Analysis[[#This Row],[Quantity]]</f>
        <v>7.7777777777777779E-2</v>
      </c>
      <c r="O154" s="2">
        <f>(Procurement_kpi_Analysis[[#This Row],[Unit_Price]]-Procurement_kpi_Analysis[[#This Row],[Negotiated_Price]])*Procurement_kpi_Analysis[[#This Row],[Quantity]]</f>
        <v>217.80000000000015</v>
      </c>
      <c r="P154" s="2">
        <f>Procurement_kpi_Analysis[[#This Row],[Total Savings]]/Procurement_kpi_Analysis[[#This Row],[Total Spend]]</f>
        <v>8.0774365821094846E-2</v>
      </c>
      <c r="Q154" s="2" t="str">
        <f>IF(Procurement_kpi_Analysis[[#This Row],[Lead Time]]&lt;=14,"On Time","Late")</f>
        <v>Late</v>
      </c>
      <c r="R154" s="2">
        <f>Procurement_kpi_Analysis[[#This Row],[Unit_Price]]*Procurement_kpi_Analysis[[#This Row],[Quantity]]</f>
        <v>2914.2000000000003</v>
      </c>
      <c r="S154" s="2">
        <f>IF(Procurement_kpi_Analysis[[#This Row],[Compliance]]="Yes",1,0)</f>
        <v>1</v>
      </c>
      <c r="T154" s="2">
        <f>IF(Procurement_kpi_Analysis[[#This Row],[Compliance]]="No",1,0)</f>
        <v>0</v>
      </c>
    </row>
    <row r="155" spans="1:20" x14ac:dyDescent="0.3">
      <c r="A155" t="s">
        <v>180</v>
      </c>
      <c r="B155" t="s">
        <v>20</v>
      </c>
      <c r="C155" s="1">
        <v>45111</v>
      </c>
      <c r="D155" s="1">
        <v>45112</v>
      </c>
      <c r="E155" t="s">
        <v>26</v>
      </c>
      <c r="F155" t="s">
        <v>18</v>
      </c>
      <c r="G155">
        <v>1101</v>
      </c>
      <c r="H155">
        <v>24.28</v>
      </c>
      <c r="I155">
        <v>22.73</v>
      </c>
      <c r="J155">
        <v>59</v>
      </c>
      <c r="K155" t="s">
        <v>27</v>
      </c>
      <c r="L155">
        <f>Procurement_kpi_Analysis[[#This Row],[Quantity]]*Procurement_kpi_Analysis[[#This Row],[Negotiated_Price]]</f>
        <v>25025.73</v>
      </c>
      <c r="M155">
        <f>IF(Procurement_kpi_Analysis[[#This Row],[Delivery_Date]]="","",Procurement_kpi_Analysis[[#This Row],[Delivery_Date]]-Procurement_kpi_Analysis[[#This Row],[Order_Date]])</f>
        <v>1</v>
      </c>
      <c r="N155" s="2">
        <f>Procurement_kpi_Analysis[[#This Row],[Defective_Units]]/Procurement_kpi_Analysis[[#This Row],[Quantity]]</f>
        <v>5.3587647593097185E-2</v>
      </c>
      <c r="O155" s="2">
        <f>(Procurement_kpi_Analysis[[#This Row],[Unit_Price]]-Procurement_kpi_Analysis[[#This Row],[Negotiated_Price]])*Procurement_kpi_Analysis[[#This Row],[Quantity]]</f>
        <v>1706.5500000000009</v>
      </c>
      <c r="P155" s="2">
        <f>Procurement_kpi_Analysis[[#This Row],[Total Savings]]/Procurement_kpi_Analysis[[#This Row],[Total Spend]]</f>
        <v>6.8191816981962194E-2</v>
      </c>
      <c r="Q155" s="2" t="str">
        <f>IF(Procurement_kpi_Analysis[[#This Row],[Lead Time]]&lt;=14,"On Time","Late")</f>
        <v>On Time</v>
      </c>
      <c r="R155" s="2">
        <f>Procurement_kpi_Analysis[[#This Row],[Unit_Price]]*Procurement_kpi_Analysis[[#This Row],[Quantity]]</f>
        <v>26732.280000000002</v>
      </c>
      <c r="S155" s="2">
        <f>IF(Procurement_kpi_Analysis[[#This Row],[Compliance]]="Yes",1,0)</f>
        <v>0</v>
      </c>
      <c r="T155" s="2">
        <f>IF(Procurement_kpi_Analysis[[#This Row],[Compliance]]="No",1,0)</f>
        <v>1</v>
      </c>
    </row>
    <row r="156" spans="1:20" x14ac:dyDescent="0.3">
      <c r="A156" t="s">
        <v>181</v>
      </c>
      <c r="B156" t="s">
        <v>12</v>
      </c>
      <c r="C156" s="1">
        <v>44835</v>
      </c>
      <c r="D156" s="1">
        <v>44845</v>
      </c>
      <c r="E156" t="s">
        <v>26</v>
      </c>
      <c r="F156" t="s">
        <v>18</v>
      </c>
      <c r="G156">
        <v>184</v>
      </c>
      <c r="H156">
        <v>11.82</v>
      </c>
      <c r="I156">
        <v>10.51</v>
      </c>
      <c r="J156">
        <v>4</v>
      </c>
      <c r="K156" t="s">
        <v>15</v>
      </c>
      <c r="L156">
        <f>Procurement_kpi_Analysis[[#This Row],[Quantity]]*Procurement_kpi_Analysis[[#This Row],[Negotiated_Price]]</f>
        <v>1933.84</v>
      </c>
      <c r="M156">
        <f>IF(Procurement_kpi_Analysis[[#This Row],[Delivery_Date]]="","",Procurement_kpi_Analysis[[#This Row],[Delivery_Date]]-Procurement_kpi_Analysis[[#This Row],[Order_Date]])</f>
        <v>10</v>
      </c>
      <c r="N156" s="2">
        <f>Procurement_kpi_Analysis[[#This Row],[Defective_Units]]/Procurement_kpi_Analysis[[#This Row],[Quantity]]</f>
        <v>2.1739130434782608E-2</v>
      </c>
      <c r="O156" s="2">
        <f>(Procurement_kpi_Analysis[[#This Row],[Unit_Price]]-Procurement_kpi_Analysis[[#This Row],[Negotiated_Price]])*Procurement_kpi_Analysis[[#This Row],[Quantity]]</f>
        <v>241.04000000000008</v>
      </c>
      <c r="P156" s="2">
        <f>Procurement_kpi_Analysis[[#This Row],[Total Savings]]/Procurement_kpi_Analysis[[#This Row],[Total Spend]]</f>
        <v>0.12464319695528073</v>
      </c>
      <c r="Q156" s="2" t="str">
        <f>IF(Procurement_kpi_Analysis[[#This Row],[Lead Time]]&lt;=14,"On Time","Late")</f>
        <v>On Time</v>
      </c>
      <c r="R156" s="2">
        <f>Procurement_kpi_Analysis[[#This Row],[Unit_Price]]*Procurement_kpi_Analysis[[#This Row],[Quantity]]</f>
        <v>2174.88</v>
      </c>
      <c r="S156" s="2">
        <f>IF(Procurement_kpi_Analysis[[#This Row],[Compliance]]="Yes",1,0)</f>
        <v>1</v>
      </c>
      <c r="T156" s="2">
        <f>IF(Procurement_kpi_Analysis[[#This Row],[Compliance]]="No",1,0)</f>
        <v>0</v>
      </c>
    </row>
    <row r="157" spans="1:20" x14ac:dyDescent="0.3">
      <c r="A157" t="s">
        <v>182</v>
      </c>
      <c r="B157" t="s">
        <v>29</v>
      </c>
      <c r="C157" s="1">
        <v>45218</v>
      </c>
      <c r="D157" s="1">
        <v>45237</v>
      </c>
      <c r="E157" t="s">
        <v>39</v>
      </c>
      <c r="F157" t="s">
        <v>18</v>
      </c>
      <c r="G157">
        <v>250</v>
      </c>
      <c r="H157">
        <v>45.92</v>
      </c>
      <c r="I157">
        <v>41.02</v>
      </c>
      <c r="J157">
        <v>3</v>
      </c>
      <c r="K157" t="s">
        <v>15</v>
      </c>
      <c r="L157">
        <f>Procurement_kpi_Analysis[[#This Row],[Quantity]]*Procurement_kpi_Analysis[[#This Row],[Negotiated_Price]]</f>
        <v>10255</v>
      </c>
      <c r="M157">
        <f>IF(Procurement_kpi_Analysis[[#This Row],[Delivery_Date]]="","",Procurement_kpi_Analysis[[#This Row],[Delivery_Date]]-Procurement_kpi_Analysis[[#This Row],[Order_Date]])</f>
        <v>19</v>
      </c>
      <c r="N157" s="2">
        <f>Procurement_kpi_Analysis[[#This Row],[Defective_Units]]/Procurement_kpi_Analysis[[#This Row],[Quantity]]</f>
        <v>1.2E-2</v>
      </c>
      <c r="O157" s="2">
        <f>(Procurement_kpi_Analysis[[#This Row],[Unit_Price]]-Procurement_kpi_Analysis[[#This Row],[Negotiated_Price]])*Procurement_kpi_Analysis[[#This Row],[Quantity]]</f>
        <v>1224.9999999999995</v>
      </c>
      <c r="P157" s="2">
        <f>Procurement_kpi_Analysis[[#This Row],[Total Savings]]/Procurement_kpi_Analysis[[#This Row],[Total Spend]]</f>
        <v>0.11945392491467573</v>
      </c>
      <c r="Q157" s="2" t="str">
        <f>IF(Procurement_kpi_Analysis[[#This Row],[Lead Time]]&lt;=14,"On Time","Late")</f>
        <v>Late</v>
      </c>
      <c r="R157" s="2">
        <f>Procurement_kpi_Analysis[[#This Row],[Unit_Price]]*Procurement_kpi_Analysis[[#This Row],[Quantity]]</f>
        <v>11480</v>
      </c>
      <c r="S157" s="2">
        <f>IF(Procurement_kpi_Analysis[[#This Row],[Compliance]]="Yes",1,0)</f>
        <v>1</v>
      </c>
      <c r="T157" s="2">
        <f>IF(Procurement_kpi_Analysis[[#This Row],[Compliance]]="No",1,0)</f>
        <v>0</v>
      </c>
    </row>
    <row r="158" spans="1:20" x14ac:dyDescent="0.3">
      <c r="A158" t="s">
        <v>183</v>
      </c>
      <c r="B158" t="s">
        <v>29</v>
      </c>
      <c r="C158" s="1">
        <v>44910</v>
      </c>
      <c r="D158" s="1"/>
      <c r="E158" t="s">
        <v>24</v>
      </c>
      <c r="F158" t="s">
        <v>14</v>
      </c>
      <c r="G158">
        <v>1913</v>
      </c>
      <c r="H158">
        <v>66.56</v>
      </c>
      <c r="I158">
        <v>61.34</v>
      </c>
      <c r="J158">
        <v>61</v>
      </c>
      <c r="K158" t="s">
        <v>15</v>
      </c>
      <c r="L158">
        <f>Procurement_kpi_Analysis[[#This Row],[Quantity]]*Procurement_kpi_Analysis[[#This Row],[Negotiated_Price]]</f>
        <v>117343.42000000001</v>
      </c>
      <c r="M158" t="str">
        <f>IF(Procurement_kpi_Analysis[[#This Row],[Delivery_Date]]="","",Procurement_kpi_Analysis[[#This Row],[Delivery_Date]]-Procurement_kpi_Analysis[[#This Row],[Order_Date]])</f>
        <v/>
      </c>
      <c r="N158" s="2">
        <f>Procurement_kpi_Analysis[[#This Row],[Defective_Units]]/Procurement_kpi_Analysis[[#This Row],[Quantity]]</f>
        <v>3.1887088342916883E-2</v>
      </c>
      <c r="O158" s="2">
        <f>(Procurement_kpi_Analysis[[#This Row],[Unit_Price]]-Procurement_kpi_Analysis[[#This Row],[Negotiated_Price]])*Procurement_kpi_Analysis[[#This Row],[Quantity]]</f>
        <v>9985.8599999999969</v>
      </c>
      <c r="P158" s="2">
        <f>Procurement_kpi_Analysis[[#This Row],[Total Savings]]/Procurement_kpi_Analysis[[#This Row],[Total Spend]]</f>
        <v>8.5099445712422533E-2</v>
      </c>
      <c r="Q158" s="2" t="str">
        <f>IF(Procurement_kpi_Analysis[[#This Row],[Lead Time]]&lt;=14,"On Time","Late")</f>
        <v>Late</v>
      </c>
      <c r="R158" s="2">
        <f>Procurement_kpi_Analysis[[#This Row],[Unit_Price]]*Procurement_kpi_Analysis[[#This Row],[Quantity]]</f>
        <v>127329.28</v>
      </c>
      <c r="S158" s="2">
        <f>IF(Procurement_kpi_Analysis[[#This Row],[Compliance]]="Yes",1,0)</f>
        <v>1</v>
      </c>
      <c r="T158" s="2">
        <f>IF(Procurement_kpi_Analysis[[#This Row],[Compliance]]="No",1,0)</f>
        <v>0</v>
      </c>
    </row>
    <row r="159" spans="1:20" x14ac:dyDescent="0.3">
      <c r="A159" t="s">
        <v>184</v>
      </c>
      <c r="B159" t="s">
        <v>23</v>
      </c>
      <c r="C159" s="1">
        <v>44676</v>
      </c>
      <c r="D159" s="1">
        <v>44681</v>
      </c>
      <c r="E159" t="s">
        <v>39</v>
      </c>
      <c r="F159" t="s">
        <v>18</v>
      </c>
      <c r="G159">
        <v>829</v>
      </c>
      <c r="H159">
        <v>45.98</v>
      </c>
      <c r="I159">
        <v>40.39</v>
      </c>
      <c r="J159">
        <v>0</v>
      </c>
      <c r="K159" t="s">
        <v>15</v>
      </c>
      <c r="L159">
        <f>Procurement_kpi_Analysis[[#This Row],[Quantity]]*Procurement_kpi_Analysis[[#This Row],[Negotiated_Price]]</f>
        <v>33483.31</v>
      </c>
      <c r="M159">
        <f>IF(Procurement_kpi_Analysis[[#This Row],[Delivery_Date]]="","",Procurement_kpi_Analysis[[#This Row],[Delivery_Date]]-Procurement_kpi_Analysis[[#This Row],[Order_Date]])</f>
        <v>5</v>
      </c>
      <c r="N159" s="2">
        <f>Procurement_kpi_Analysis[[#This Row],[Defective_Units]]/Procurement_kpi_Analysis[[#This Row],[Quantity]]</f>
        <v>0</v>
      </c>
      <c r="O159" s="2">
        <f>(Procurement_kpi_Analysis[[#This Row],[Unit_Price]]-Procurement_kpi_Analysis[[#This Row],[Negotiated_Price]])*Procurement_kpi_Analysis[[#This Row],[Quantity]]</f>
        <v>4634.1099999999969</v>
      </c>
      <c r="P159" s="2">
        <f>Procurement_kpi_Analysis[[#This Row],[Total Savings]]/Procurement_kpi_Analysis[[#This Row],[Total Spend]]</f>
        <v>0.13840059420648668</v>
      </c>
      <c r="Q159" s="2" t="str">
        <f>IF(Procurement_kpi_Analysis[[#This Row],[Lead Time]]&lt;=14,"On Time","Late")</f>
        <v>On Time</v>
      </c>
      <c r="R159" s="2">
        <f>Procurement_kpi_Analysis[[#This Row],[Unit_Price]]*Procurement_kpi_Analysis[[#This Row],[Quantity]]</f>
        <v>38117.42</v>
      </c>
      <c r="S159" s="2">
        <f>IF(Procurement_kpi_Analysis[[#This Row],[Compliance]]="Yes",1,0)</f>
        <v>1</v>
      </c>
      <c r="T159" s="2">
        <f>IF(Procurement_kpi_Analysis[[#This Row],[Compliance]]="No",1,0)</f>
        <v>0</v>
      </c>
    </row>
    <row r="160" spans="1:20" x14ac:dyDescent="0.3">
      <c r="A160" t="s">
        <v>185</v>
      </c>
      <c r="B160" t="s">
        <v>17</v>
      </c>
      <c r="C160" s="1">
        <v>44862</v>
      </c>
      <c r="D160" s="1">
        <v>44878</v>
      </c>
      <c r="E160" t="s">
        <v>26</v>
      </c>
      <c r="F160" t="s">
        <v>18</v>
      </c>
      <c r="G160">
        <v>979</v>
      </c>
      <c r="H160">
        <v>51.59</v>
      </c>
      <c r="I160">
        <v>49.69</v>
      </c>
      <c r="J160">
        <v>148</v>
      </c>
      <c r="K160" t="s">
        <v>15</v>
      </c>
      <c r="L160">
        <f>Procurement_kpi_Analysis[[#This Row],[Quantity]]*Procurement_kpi_Analysis[[#This Row],[Negotiated_Price]]</f>
        <v>48646.509999999995</v>
      </c>
      <c r="M160">
        <f>IF(Procurement_kpi_Analysis[[#This Row],[Delivery_Date]]="","",Procurement_kpi_Analysis[[#This Row],[Delivery_Date]]-Procurement_kpi_Analysis[[#This Row],[Order_Date]])</f>
        <v>16</v>
      </c>
      <c r="N160" s="2">
        <f>Procurement_kpi_Analysis[[#This Row],[Defective_Units]]/Procurement_kpi_Analysis[[#This Row],[Quantity]]</f>
        <v>0.15117466802860061</v>
      </c>
      <c r="O160" s="2">
        <f>(Procurement_kpi_Analysis[[#This Row],[Unit_Price]]-Procurement_kpi_Analysis[[#This Row],[Negotiated_Price]])*Procurement_kpi_Analysis[[#This Row],[Quantity]]</f>
        <v>1860.1000000000056</v>
      </c>
      <c r="P160" s="2">
        <f>Procurement_kpi_Analysis[[#This Row],[Total Savings]]/Procurement_kpi_Analysis[[#This Row],[Total Spend]]</f>
        <v>3.8237069832964501E-2</v>
      </c>
      <c r="Q160" s="2" t="str">
        <f>IF(Procurement_kpi_Analysis[[#This Row],[Lead Time]]&lt;=14,"On Time","Late")</f>
        <v>Late</v>
      </c>
      <c r="R160" s="2">
        <f>Procurement_kpi_Analysis[[#This Row],[Unit_Price]]*Procurement_kpi_Analysis[[#This Row],[Quantity]]</f>
        <v>50506.61</v>
      </c>
      <c r="S160" s="2">
        <f>IF(Procurement_kpi_Analysis[[#This Row],[Compliance]]="Yes",1,0)</f>
        <v>1</v>
      </c>
      <c r="T160" s="2">
        <f>IF(Procurement_kpi_Analysis[[#This Row],[Compliance]]="No",1,0)</f>
        <v>0</v>
      </c>
    </row>
    <row r="161" spans="1:20" x14ac:dyDescent="0.3">
      <c r="A161" t="s">
        <v>186</v>
      </c>
      <c r="B161" t="s">
        <v>29</v>
      </c>
      <c r="C161" s="1">
        <v>45007</v>
      </c>
      <c r="D161" s="1">
        <v>45025</v>
      </c>
      <c r="E161" t="s">
        <v>39</v>
      </c>
      <c r="F161" t="s">
        <v>33</v>
      </c>
      <c r="G161">
        <v>1106</v>
      </c>
      <c r="H161">
        <v>97.77</v>
      </c>
      <c r="I161">
        <v>90.45</v>
      </c>
      <c r="J161">
        <v>31</v>
      </c>
      <c r="K161" t="s">
        <v>15</v>
      </c>
      <c r="L161">
        <f>Procurement_kpi_Analysis[[#This Row],[Quantity]]*Procurement_kpi_Analysis[[#This Row],[Negotiated_Price]]</f>
        <v>100037.7</v>
      </c>
      <c r="M161">
        <f>IF(Procurement_kpi_Analysis[[#This Row],[Delivery_Date]]="","",Procurement_kpi_Analysis[[#This Row],[Delivery_Date]]-Procurement_kpi_Analysis[[#This Row],[Order_Date]])</f>
        <v>18</v>
      </c>
      <c r="N161" s="2">
        <f>Procurement_kpi_Analysis[[#This Row],[Defective_Units]]/Procurement_kpi_Analysis[[#This Row],[Quantity]]</f>
        <v>2.8028933092224231E-2</v>
      </c>
      <c r="O161" s="2">
        <f>(Procurement_kpi_Analysis[[#This Row],[Unit_Price]]-Procurement_kpi_Analysis[[#This Row],[Negotiated_Price]])*Procurement_kpi_Analysis[[#This Row],[Quantity]]</f>
        <v>8095.9199999999928</v>
      </c>
      <c r="P161" s="2">
        <f>Procurement_kpi_Analysis[[#This Row],[Total Savings]]/Procurement_kpi_Analysis[[#This Row],[Total Spend]]</f>
        <v>8.092868988391369E-2</v>
      </c>
      <c r="Q161" s="2" t="str">
        <f>IF(Procurement_kpi_Analysis[[#This Row],[Lead Time]]&lt;=14,"On Time","Late")</f>
        <v>Late</v>
      </c>
      <c r="R161" s="2">
        <f>Procurement_kpi_Analysis[[#This Row],[Unit_Price]]*Procurement_kpi_Analysis[[#This Row],[Quantity]]</f>
        <v>108133.62</v>
      </c>
      <c r="S161" s="2">
        <f>IF(Procurement_kpi_Analysis[[#This Row],[Compliance]]="Yes",1,0)</f>
        <v>1</v>
      </c>
      <c r="T161" s="2">
        <f>IF(Procurement_kpi_Analysis[[#This Row],[Compliance]]="No",1,0)</f>
        <v>0</v>
      </c>
    </row>
    <row r="162" spans="1:20" x14ac:dyDescent="0.3">
      <c r="A162" t="s">
        <v>187</v>
      </c>
      <c r="B162" t="s">
        <v>17</v>
      </c>
      <c r="C162" s="1">
        <v>44723</v>
      </c>
      <c r="D162" s="1">
        <v>44736</v>
      </c>
      <c r="E162" t="s">
        <v>13</v>
      </c>
      <c r="F162" t="s">
        <v>35</v>
      </c>
      <c r="G162">
        <v>1121</v>
      </c>
      <c r="H162">
        <v>42.38</v>
      </c>
      <c r="I162">
        <v>38.340000000000003</v>
      </c>
      <c r="J162">
        <v>152</v>
      </c>
      <c r="K162" t="s">
        <v>15</v>
      </c>
      <c r="L162">
        <f>Procurement_kpi_Analysis[[#This Row],[Quantity]]*Procurement_kpi_Analysis[[#This Row],[Negotiated_Price]]</f>
        <v>42979.140000000007</v>
      </c>
      <c r="M162">
        <f>IF(Procurement_kpi_Analysis[[#This Row],[Delivery_Date]]="","",Procurement_kpi_Analysis[[#This Row],[Delivery_Date]]-Procurement_kpi_Analysis[[#This Row],[Order_Date]])</f>
        <v>13</v>
      </c>
      <c r="N162" s="2">
        <f>Procurement_kpi_Analysis[[#This Row],[Defective_Units]]/Procurement_kpi_Analysis[[#This Row],[Quantity]]</f>
        <v>0.13559322033898305</v>
      </c>
      <c r="O162" s="2">
        <f>(Procurement_kpi_Analysis[[#This Row],[Unit_Price]]-Procurement_kpi_Analysis[[#This Row],[Negotiated_Price]])*Procurement_kpi_Analysis[[#This Row],[Quantity]]</f>
        <v>4528.8399999999992</v>
      </c>
      <c r="P162" s="2">
        <f>Procurement_kpi_Analysis[[#This Row],[Total Savings]]/Procurement_kpi_Analysis[[#This Row],[Total Spend]]</f>
        <v>0.10537297861241519</v>
      </c>
      <c r="Q162" s="2" t="str">
        <f>IF(Procurement_kpi_Analysis[[#This Row],[Lead Time]]&lt;=14,"On Time","Late")</f>
        <v>On Time</v>
      </c>
      <c r="R162" s="2">
        <f>Procurement_kpi_Analysis[[#This Row],[Unit_Price]]*Procurement_kpi_Analysis[[#This Row],[Quantity]]</f>
        <v>47507.98</v>
      </c>
      <c r="S162" s="2">
        <f>IF(Procurement_kpi_Analysis[[#This Row],[Compliance]]="Yes",1,0)</f>
        <v>1</v>
      </c>
      <c r="T162" s="2">
        <f>IF(Procurement_kpi_Analysis[[#This Row],[Compliance]]="No",1,0)</f>
        <v>0</v>
      </c>
    </row>
    <row r="163" spans="1:20" x14ac:dyDescent="0.3">
      <c r="A163" t="s">
        <v>188</v>
      </c>
      <c r="B163" t="s">
        <v>12</v>
      </c>
      <c r="C163" s="1">
        <v>45026</v>
      </c>
      <c r="D163" s="1">
        <v>45037</v>
      </c>
      <c r="E163" t="s">
        <v>13</v>
      </c>
      <c r="F163" t="s">
        <v>18</v>
      </c>
      <c r="G163">
        <v>552</v>
      </c>
      <c r="H163">
        <v>60.48</v>
      </c>
      <c r="I163">
        <v>56.78</v>
      </c>
      <c r="J163">
        <v>10</v>
      </c>
      <c r="K163" t="s">
        <v>15</v>
      </c>
      <c r="L163">
        <f>Procurement_kpi_Analysis[[#This Row],[Quantity]]*Procurement_kpi_Analysis[[#This Row],[Negotiated_Price]]</f>
        <v>31342.560000000001</v>
      </c>
      <c r="M163">
        <f>IF(Procurement_kpi_Analysis[[#This Row],[Delivery_Date]]="","",Procurement_kpi_Analysis[[#This Row],[Delivery_Date]]-Procurement_kpi_Analysis[[#This Row],[Order_Date]])</f>
        <v>11</v>
      </c>
      <c r="N163" s="2">
        <f>Procurement_kpi_Analysis[[#This Row],[Defective_Units]]/Procurement_kpi_Analysis[[#This Row],[Quantity]]</f>
        <v>1.8115942028985508E-2</v>
      </c>
      <c r="O163" s="2">
        <f>(Procurement_kpi_Analysis[[#This Row],[Unit_Price]]-Procurement_kpi_Analysis[[#This Row],[Negotiated_Price]])*Procurement_kpi_Analysis[[#This Row],[Quantity]]</f>
        <v>2042.3999999999976</v>
      </c>
      <c r="P163" s="2">
        <f>Procurement_kpi_Analysis[[#This Row],[Total Savings]]/Procurement_kpi_Analysis[[#This Row],[Total Spend]]</f>
        <v>6.5163790066924895E-2</v>
      </c>
      <c r="Q163" s="2" t="str">
        <f>IF(Procurement_kpi_Analysis[[#This Row],[Lead Time]]&lt;=14,"On Time","Late")</f>
        <v>On Time</v>
      </c>
      <c r="R163" s="2">
        <f>Procurement_kpi_Analysis[[#This Row],[Unit_Price]]*Procurement_kpi_Analysis[[#This Row],[Quantity]]</f>
        <v>33384.959999999999</v>
      </c>
      <c r="S163" s="2">
        <f>IF(Procurement_kpi_Analysis[[#This Row],[Compliance]]="Yes",1,0)</f>
        <v>1</v>
      </c>
      <c r="T163" s="2">
        <f>IF(Procurement_kpi_Analysis[[#This Row],[Compliance]]="No",1,0)</f>
        <v>0</v>
      </c>
    </row>
    <row r="164" spans="1:20" x14ac:dyDescent="0.3">
      <c r="A164" t="s">
        <v>189</v>
      </c>
      <c r="B164" t="s">
        <v>20</v>
      </c>
      <c r="C164" s="1">
        <v>44565</v>
      </c>
      <c r="D164" s="1">
        <v>44573</v>
      </c>
      <c r="E164" t="s">
        <v>24</v>
      </c>
      <c r="F164" t="s">
        <v>18</v>
      </c>
      <c r="G164">
        <v>456</v>
      </c>
      <c r="H164">
        <v>80.53</v>
      </c>
      <c r="I164">
        <v>77.86</v>
      </c>
      <c r="J164">
        <v>26</v>
      </c>
      <c r="K164" t="s">
        <v>15</v>
      </c>
      <c r="L164">
        <f>Procurement_kpi_Analysis[[#This Row],[Quantity]]*Procurement_kpi_Analysis[[#This Row],[Negotiated_Price]]</f>
        <v>35504.159999999996</v>
      </c>
      <c r="M164">
        <f>IF(Procurement_kpi_Analysis[[#This Row],[Delivery_Date]]="","",Procurement_kpi_Analysis[[#This Row],[Delivery_Date]]-Procurement_kpi_Analysis[[#This Row],[Order_Date]])</f>
        <v>8</v>
      </c>
      <c r="N164" s="2">
        <f>Procurement_kpi_Analysis[[#This Row],[Defective_Units]]/Procurement_kpi_Analysis[[#This Row],[Quantity]]</f>
        <v>5.701754385964912E-2</v>
      </c>
      <c r="O164" s="2">
        <f>(Procurement_kpi_Analysis[[#This Row],[Unit_Price]]-Procurement_kpi_Analysis[[#This Row],[Negotiated_Price]])*Procurement_kpi_Analysis[[#This Row],[Quantity]]</f>
        <v>1217.5200000000009</v>
      </c>
      <c r="P164" s="2">
        <f>Procurement_kpi_Analysis[[#This Row],[Total Savings]]/Procurement_kpi_Analysis[[#This Row],[Total Spend]]</f>
        <v>3.4292319547906527E-2</v>
      </c>
      <c r="Q164" s="2" t="str">
        <f>IF(Procurement_kpi_Analysis[[#This Row],[Lead Time]]&lt;=14,"On Time","Late")</f>
        <v>On Time</v>
      </c>
      <c r="R164" s="2">
        <f>Procurement_kpi_Analysis[[#This Row],[Unit_Price]]*Procurement_kpi_Analysis[[#This Row],[Quantity]]</f>
        <v>36721.68</v>
      </c>
      <c r="S164" s="2">
        <f>IF(Procurement_kpi_Analysis[[#This Row],[Compliance]]="Yes",1,0)</f>
        <v>1</v>
      </c>
      <c r="T164" s="2">
        <f>IF(Procurement_kpi_Analysis[[#This Row],[Compliance]]="No",1,0)</f>
        <v>0</v>
      </c>
    </row>
    <row r="165" spans="1:20" x14ac:dyDescent="0.3">
      <c r="A165" t="s">
        <v>190</v>
      </c>
      <c r="B165" t="s">
        <v>17</v>
      </c>
      <c r="C165" s="1">
        <v>44831</v>
      </c>
      <c r="D165" s="1">
        <v>44839</v>
      </c>
      <c r="E165" t="s">
        <v>24</v>
      </c>
      <c r="F165" t="s">
        <v>18</v>
      </c>
      <c r="G165">
        <v>1647</v>
      </c>
      <c r="H165">
        <v>47.52</v>
      </c>
      <c r="I165">
        <v>44.92</v>
      </c>
      <c r="J165">
        <v>0</v>
      </c>
      <c r="K165" t="s">
        <v>15</v>
      </c>
      <c r="L165">
        <f>Procurement_kpi_Analysis[[#This Row],[Quantity]]*Procurement_kpi_Analysis[[#This Row],[Negotiated_Price]]</f>
        <v>73983.240000000005</v>
      </c>
      <c r="M165">
        <f>IF(Procurement_kpi_Analysis[[#This Row],[Delivery_Date]]="","",Procurement_kpi_Analysis[[#This Row],[Delivery_Date]]-Procurement_kpi_Analysis[[#This Row],[Order_Date]])</f>
        <v>8</v>
      </c>
      <c r="N165" s="2">
        <f>Procurement_kpi_Analysis[[#This Row],[Defective_Units]]/Procurement_kpi_Analysis[[#This Row],[Quantity]]</f>
        <v>0</v>
      </c>
      <c r="O165" s="2">
        <f>(Procurement_kpi_Analysis[[#This Row],[Unit_Price]]-Procurement_kpi_Analysis[[#This Row],[Negotiated_Price]])*Procurement_kpi_Analysis[[#This Row],[Quantity]]</f>
        <v>4282.2000000000025</v>
      </c>
      <c r="P165" s="2">
        <f>Procurement_kpi_Analysis[[#This Row],[Total Savings]]/Procurement_kpi_Analysis[[#This Row],[Total Spend]]</f>
        <v>5.788067675868213E-2</v>
      </c>
      <c r="Q165" s="2" t="str">
        <f>IF(Procurement_kpi_Analysis[[#This Row],[Lead Time]]&lt;=14,"On Time","Late")</f>
        <v>On Time</v>
      </c>
      <c r="R165" s="2">
        <f>Procurement_kpi_Analysis[[#This Row],[Unit_Price]]*Procurement_kpi_Analysis[[#This Row],[Quantity]]</f>
        <v>78265.440000000002</v>
      </c>
      <c r="S165" s="2">
        <f>IF(Procurement_kpi_Analysis[[#This Row],[Compliance]]="Yes",1,0)</f>
        <v>1</v>
      </c>
      <c r="T165" s="2">
        <f>IF(Procurement_kpi_Analysis[[#This Row],[Compliance]]="No",1,0)</f>
        <v>0</v>
      </c>
    </row>
    <row r="166" spans="1:20" x14ac:dyDescent="0.3">
      <c r="A166" t="s">
        <v>191</v>
      </c>
      <c r="B166" t="s">
        <v>29</v>
      </c>
      <c r="C166" s="1">
        <v>45074</v>
      </c>
      <c r="D166" s="1">
        <v>45088</v>
      </c>
      <c r="E166" t="s">
        <v>39</v>
      </c>
      <c r="F166" t="s">
        <v>35</v>
      </c>
      <c r="G166">
        <v>1801</v>
      </c>
      <c r="H166">
        <v>71.27</v>
      </c>
      <c r="I166">
        <v>61.24</v>
      </c>
      <c r="J166">
        <v>43</v>
      </c>
      <c r="K166" t="s">
        <v>15</v>
      </c>
      <c r="L166">
        <f>Procurement_kpi_Analysis[[#This Row],[Quantity]]*Procurement_kpi_Analysis[[#This Row],[Negotiated_Price]]</f>
        <v>110293.24</v>
      </c>
      <c r="M166">
        <f>IF(Procurement_kpi_Analysis[[#This Row],[Delivery_Date]]="","",Procurement_kpi_Analysis[[#This Row],[Delivery_Date]]-Procurement_kpi_Analysis[[#This Row],[Order_Date]])</f>
        <v>14</v>
      </c>
      <c r="N166" s="2">
        <f>Procurement_kpi_Analysis[[#This Row],[Defective_Units]]/Procurement_kpi_Analysis[[#This Row],[Quantity]]</f>
        <v>2.3875624652970572E-2</v>
      </c>
      <c r="O166" s="2">
        <f>(Procurement_kpi_Analysis[[#This Row],[Unit_Price]]-Procurement_kpi_Analysis[[#This Row],[Negotiated_Price]])*Procurement_kpi_Analysis[[#This Row],[Quantity]]</f>
        <v>18064.029999999988</v>
      </c>
      <c r="P166" s="2">
        <f>Procurement_kpi_Analysis[[#This Row],[Total Savings]]/Procurement_kpi_Analysis[[#This Row],[Total Spend]]</f>
        <v>0.16378184193337675</v>
      </c>
      <c r="Q166" s="2" t="str">
        <f>IF(Procurement_kpi_Analysis[[#This Row],[Lead Time]]&lt;=14,"On Time","Late")</f>
        <v>On Time</v>
      </c>
      <c r="R166" s="2">
        <f>Procurement_kpi_Analysis[[#This Row],[Unit_Price]]*Procurement_kpi_Analysis[[#This Row],[Quantity]]</f>
        <v>128357.26999999999</v>
      </c>
      <c r="S166" s="2">
        <f>IF(Procurement_kpi_Analysis[[#This Row],[Compliance]]="Yes",1,0)</f>
        <v>1</v>
      </c>
      <c r="T166" s="2">
        <f>IF(Procurement_kpi_Analysis[[#This Row],[Compliance]]="No",1,0)</f>
        <v>0</v>
      </c>
    </row>
    <row r="167" spans="1:20" x14ac:dyDescent="0.3">
      <c r="A167" t="s">
        <v>192</v>
      </c>
      <c r="B167" t="s">
        <v>20</v>
      </c>
      <c r="C167" s="1">
        <v>44744</v>
      </c>
      <c r="D167" s="1">
        <v>44760</v>
      </c>
      <c r="E167" t="s">
        <v>39</v>
      </c>
      <c r="F167" t="s">
        <v>18</v>
      </c>
      <c r="G167">
        <v>854</v>
      </c>
      <c r="H167">
        <v>90.24</v>
      </c>
      <c r="I167">
        <v>85.53</v>
      </c>
      <c r="J167">
        <v>0</v>
      </c>
      <c r="K167" t="s">
        <v>15</v>
      </c>
      <c r="L167">
        <f>Procurement_kpi_Analysis[[#This Row],[Quantity]]*Procurement_kpi_Analysis[[#This Row],[Negotiated_Price]]</f>
        <v>73042.62</v>
      </c>
      <c r="M167">
        <f>IF(Procurement_kpi_Analysis[[#This Row],[Delivery_Date]]="","",Procurement_kpi_Analysis[[#This Row],[Delivery_Date]]-Procurement_kpi_Analysis[[#This Row],[Order_Date]])</f>
        <v>16</v>
      </c>
      <c r="N167" s="2">
        <f>Procurement_kpi_Analysis[[#This Row],[Defective_Units]]/Procurement_kpi_Analysis[[#This Row],[Quantity]]</f>
        <v>0</v>
      </c>
      <c r="O167" s="2">
        <f>(Procurement_kpi_Analysis[[#This Row],[Unit_Price]]-Procurement_kpi_Analysis[[#This Row],[Negotiated_Price]])*Procurement_kpi_Analysis[[#This Row],[Quantity]]</f>
        <v>4022.3399999999947</v>
      </c>
      <c r="P167" s="2">
        <f>Procurement_kpi_Analysis[[#This Row],[Total Savings]]/Procurement_kpi_Analysis[[#This Row],[Total Spend]]</f>
        <v>5.5068397053665313E-2</v>
      </c>
      <c r="Q167" s="2" t="str">
        <f>IF(Procurement_kpi_Analysis[[#This Row],[Lead Time]]&lt;=14,"On Time","Late")</f>
        <v>Late</v>
      </c>
      <c r="R167" s="2">
        <f>Procurement_kpi_Analysis[[#This Row],[Unit_Price]]*Procurement_kpi_Analysis[[#This Row],[Quantity]]</f>
        <v>77064.959999999992</v>
      </c>
      <c r="S167" s="2">
        <f>IF(Procurement_kpi_Analysis[[#This Row],[Compliance]]="Yes",1,0)</f>
        <v>1</v>
      </c>
      <c r="T167" s="2">
        <f>IF(Procurement_kpi_Analysis[[#This Row],[Compliance]]="No",1,0)</f>
        <v>0</v>
      </c>
    </row>
    <row r="168" spans="1:20" x14ac:dyDescent="0.3">
      <c r="A168" t="s">
        <v>193</v>
      </c>
      <c r="B168" t="s">
        <v>17</v>
      </c>
      <c r="C168" s="1">
        <v>45081</v>
      </c>
      <c r="D168" s="1">
        <v>45094</v>
      </c>
      <c r="E168" t="s">
        <v>39</v>
      </c>
      <c r="F168" t="s">
        <v>18</v>
      </c>
      <c r="G168">
        <v>148</v>
      </c>
      <c r="H168">
        <v>103.57</v>
      </c>
      <c r="I168">
        <v>98.62</v>
      </c>
      <c r="J168">
        <v>23</v>
      </c>
      <c r="K168" t="s">
        <v>27</v>
      </c>
      <c r="L168">
        <f>Procurement_kpi_Analysis[[#This Row],[Quantity]]*Procurement_kpi_Analysis[[#This Row],[Negotiated_Price]]</f>
        <v>14595.76</v>
      </c>
      <c r="M168">
        <f>IF(Procurement_kpi_Analysis[[#This Row],[Delivery_Date]]="","",Procurement_kpi_Analysis[[#This Row],[Delivery_Date]]-Procurement_kpi_Analysis[[#This Row],[Order_Date]])</f>
        <v>13</v>
      </c>
      <c r="N168" s="2">
        <f>Procurement_kpi_Analysis[[#This Row],[Defective_Units]]/Procurement_kpi_Analysis[[#This Row],[Quantity]]</f>
        <v>0.1554054054054054</v>
      </c>
      <c r="O168" s="2">
        <f>(Procurement_kpi_Analysis[[#This Row],[Unit_Price]]-Procurement_kpi_Analysis[[#This Row],[Negotiated_Price]])*Procurement_kpi_Analysis[[#This Row],[Quantity]]</f>
        <v>732.59999999999832</v>
      </c>
      <c r="P168" s="2">
        <f>Procurement_kpi_Analysis[[#This Row],[Total Savings]]/Procurement_kpi_Analysis[[#This Row],[Total Spend]]</f>
        <v>5.0192658689920795E-2</v>
      </c>
      <c r="Q168" s="2" t="str">
        <f>IF(Procurement_kpi_Analysis[[#This Row],[Lead Time]]&lt;=14,"On Time","Late")</f>
        <v>On Time</v>
      </c>
      <c r="R168" s="2">
        <f>Procurement_kpi_Analysis[[#This Row],[Unit_Price]]*Procurement_kpi_Analysis[[#This Row],[Quantity]]</f>
        <v>15328.359999999999</v>
      </c>
      <c r="S168" s="2">
        <f>IF(Procurement_kpi_Analysis[[#This Row],[Compliance]]="Yes",1,0)</f>
        <v>0</v>
      </c>
      <c r="T168" s="2">
        <f>IF(Procurement_kpi_Analysis[[#This Row],[Compliance]]="No",1,0)</f>
        <v>1</v>
      </c>
    </row>
    <row r="169" spans="1:20" x14ac:dyDescent="0.3">
      <c r="A169" t="s">
        <v>194</v>
      </c>
      <c r="B169" t="s">
        <v>17</v>
      </c>
      <c r="C169" s="1">
        <v>44670</v>
      </c>
      <c r="D169" s="1">
        <v>44675</v>
      </c>
      <c r="E169" t="s">
        <v>21</v>
      </c>
      <c r="F169" t="s">
        <v>18</v>
      </c>
      <c r="G169">
        <v>733</v>
      </c>
      <c r="H169">
        <v>23.59</v>
      </c>
      <c r="I169">
        <v>22.85</v>
      </c>
      <c r="J169">
        <v>92</v>
      </c>
      <c r="K169" t="s">
        <v>15</v>
      </c>
      <c r="L169">
        <f>Procurement_kpi_Analysis[[#This Row],[Quantity]]*Procurement_kpi_Analysis[[#This Row],[Negotiated_Price]]</f>
        <v>16749.05</v>
      </c>
      <c r="M169">
        <f>IF(Procurement_kpi_Analysis[[#This Row],[Delivery_Date]]="","",Procurement_kpi_Analysis[[#This Row],[Delivery_Date]]-Procurement_kpi_Analysis[[#This Row],[Order_Date]])</f>
        <v>5</v>
      </c>
      <c r="N169" s="2">
        <f>Procurement_kpi_Analysis[[#This Row],[Defective_Units]]/Procurement_kpi_Analysis[[#This Row],[Quantity]]</f>
        <v>0.12551159618008187</v>
      </c>
      <c r="O169" s="2">
        <f>(Procurement_kpi_Analysis[[#This Row],[Unit_Price]]-Procurement_kpi_Analysis[[#This Row],[Negotiated_Price]])*Procurement_kpi_Analysis[[#This Row],[Quantity]]</f>
        <v>542.41999999999882</v>
      </c>
      <c r="P169" s="2">
        <f>Procurement_kpi_Analysis[[#This Row],[Total Savings]]/Procurement_kpi_Analysis[[#This Row],[Total Spend]]</f>
        <v>3.2385120350109341E-2</v>
      </c>
      <c r="Q169" s="2" t="str">
        <f>IF(Procurement_kpi_Analysis[[#This Row],[Lead Time]]&lt;=14,"On Time","Late")</f>
        <v>On Time</v>
      </c>
      <c r="R169" s="2">
        <f>Procurement_kpi_Analysis[[#This Row],[Unit_Price]]*Procurement_kpi_Analysis[[#This Row],[Quantity]]</f>
        <v>17291.47</v>
      </c>
      <c r="S169" s="2">
        <f>IF(Procurement_kpi_Analysis[[#This Row],[Compliance]]="Yes",1,0)</f>
        <v>1</v>
      </c>
      <c r="T169" s="2">
        <f>IF(Procurement_kpi_Analysis[[#This Row],[Compliance]]="No",1,0)</f>
        <v>0</v>
      </c>
    </row>
    <row r="170" spans="1:20" x14ac:dyDescent="0.3">
      <c r="A170" t="s">
        <v>195</v>
      </c>
      <c r="B170" t="s">
        <v>23</v>
      </c>
      <c r="C170" s="1">
        <v>45202</v>
      </c>
      <c r="D170" s="1">
        <v>45204</v>
      </c>
      <c r="E170" t="s">
        <v>26</v>
      </c>
      <c r="F170" t="s">
        <v>18</v>
      </c>
      <c r="G170">
        <v>1945</v>
      </c>
      <c r="H170">
        <v>103.2</v>
      </c>
      <c r="I170">
        <v>88.56</v>
      </c>
      <c r="J170">
        <v>0</v>
      </c>
      <c r="K170" t="s">
        <v>15</v>
      </c>
      <c r="L170">
        <f>Procurement_kpi_Analysis[[#This Row],[Quantity]]*Procurement_kpi_Analysis[[#This Row],[Negotiated_Price]]</f>
        <v>172249.2</v>
      </c>
      <c r="M170">
        <f>IF(Procurement_kpi_Analysis[[#This Row],[Delivery_Date]]="","",Procurement_kpi_Analysis[[#This Row],[Delivery_Date]]-Procurement_kpi_Analysis[[#This Row],[Order_Date]])</f>
        <v>2</v>
      </c>
      <c r="N170" s="2">
        <f>Procurement_kpi_Analysis[[#This Row],[Defective_Units]]/Procurement_kpi_Analysis[[#This Row],[Quantity]]</f>
        <v>0</v>
      </c>
      <c r="O170" s="2">
        <f>(Procurement_kpi_Analysis[[#This Row],[Unit_Price]]-Procurement_kpi_Analysis[[#This Row],[Negotiated_Price]])*Procurement_kpi_Analysis[[#This Row],[Quantity]]</f>
        <v>28474.800000000003</v>
      </c>
      <c r="P170" s="2">
        <f>Procurement_kpi_Analysis[[#This Row],[Total Savings]]/Procurement_kpi_Analysis[[#This Row],[Total Spend]]</f>
        <v>0.16531165311653118</v>
      </c>
      <c r="Q170" s="2" t="str">
        <f>IF(Procurement_kpi_Analysis[[#This Row],[Lead Time]]&lt;=14,"On Time","Late")</f>
        <v>On Time</v>
      </c>
      <c r="R170" s="2">
        <f>Procurement_kpi_Analysis[[#This Row],[Unit_Price]]*Procurement_kpi_Analysis[[#This Row],[Quantity]]</f>
        <v>200724</v>
      </c>
      <c r="S170" s="2">
        <f>IF(Procurement_kpi_Analysis[[#This Row],[Compliance]]="Yes",1,0)</f>
        <v>1</v>
      </c>
      <c r="T170" s="2">
        <f>IF(Procurement_kpi_Analysis[[#This Row],[Compliance]]="No",1,0)</f>
        <v>0</v>
      </c>
    </row>
    <row r="171" spans="1:20" x14ac:dyDescent="0.3">
      <c r="A171" t="s">
        <v>196</v>
      </c>
      <c r="B171" t="s">
        <v>20</v>
      </c>
      <c r="C171" s="1">
        <v>44867</v>
      </c>
      <c r="D171" s="1">
        <v>44886</v>
      </c>
      <c r="E171" t="s">
        <v>26</v>
      </c>
      <c r="F171" t="s">
        <v>18</v>
      </c>
      <c r="G171">
        <v>775</v>
      </c>
      <c r="H171">
        <v>57</v>
      </c>
      <c r="I171">
        <v>49.14</v>
      </c>
      <c r="J171">
        <v>48</v>
      </c>
      <c r="K171" t="s">
        <v>15</v>
      </c>
      <c r="L171">
        <f>Procurement_kpi_Analysis[[#This Row],[Quantity]]*Procurement_kpi_Analysis[[#This Row],[Negotiated_Price]]</f>
        <v>38083.5</v>
      </c>
      <c r="M171">
        <f>IF(Procurement_kpi_Analysis[[#This Row],[Delivery_Date]]="","",Procurement_kpi_Analysis[[#This Row],[Delivery_Date]]-Procurement_kpi_Analysis[[#This Row],[Order_Date]])</f>
        <v>19</v>
      </c>
      <c r="N171" s="2">
        <f>Procurement_kpi_Analysis[[#This Row],[Defective_Units]]/Procurement_kpi_Analysis[[#This Row],[Quantity]]</f>
        <v>6.1935483870967742E-2</v>
      </c>
      <c r="O171" s="2">
        <f>(Procurement_kpi_Analysis[[#This Row],[Unit_Price]]-Procurement_kpi_Analysis[[#This Row],[Negotiated_Price]])*Procurement_kpi_Analysis[[#This Row],[Quantity]]</f>
        <v>6091.5</v>
      </c>
      <c r="P171" s="2">
        <f>Procurement_kpi_Analysis[[#This Row],[Total Savings]]/Procurement_kpi_Analysis[[#This Row],[Total Spend]]</f>
        <v>0.15995115995115994</v>
      </c>
      <c r="Q171" s="2" t="str">
        <f>IF(Procurement_kpi_Analysis[[#This Row],[Lead Time]]&lt;=14,"On Time","Late")</f>
        <v>Late</v>
      </c>
      <c r="R171" s="2">
        <f>Procurement_kpi_Analysis[[#This Row],[Unit_Price]]*Procurement_kpi_Analysis[[#This Row],[Quantity]]</f>
        <v>44175</v>
      </c>
      <c r="S171" s="2">
        <f>IF(Procurement_kpi_Analysis[[#This Row],[Compliance]]="Yes",1,0)</f>
        <v>1</v>
      </c>
      <c r="T171" s="2">
        <f>IF(Procurement_kpi_Analysis[[#This Row],[Compliance]]="No",1,0)</f>
        <v>0</v>
      </c>
    </row>
    <row r="172" spans="1:20" x14ac:dyDescent="0.3">
      <c r="A172" t="s">
        <v>197</v>
      </c>
      <c r="B172" t="s">
        <v>17</v>
      </c>
      <c r="C172" s="1">
        <v>45216</v>
      </c>
      <c r="D172" s="1">
        <v>45220</v>
      </c>
      <c r="E172" t="s">
        <v>24</v>
      </c>
      <c r="F172" t="s">
        <v>18</v>
      </c>
      <c r="G172">
        <v>1620</v>
      </c>
      <c r="H172">
        <v>36.729999999999997</v>
      </c>
      <c r="I172">
        <v>33.450000000000003</v>
      </c>
      <c r="J172">
        <v>235</v>
      </c>
      <c r="K172" t="s">
        <v>27</v>
      </c>
      <c r="L172">
        <f>Procurement_kpi_Analysis[[#This Row],[Quantity]]*Procurement_kpi_Analysis[[#This Row],[Negotiated_Price]]</f>
        <v>54189.000000000007</v>
      </c>
      <c r="M172">
        <f>IF(Procurement_kpi_Analysis[[#This Row],[Delivery_Date]]="","",Procurement_kpi_Analysis[[#This Row],[Delivery_Date]]-Procurement_kpi_Analysis[[#This Row],[Order_Date]])</f>
        <v>4</v>
      </c>
      <c r="N172" s="2">
        <f>Procurement_kpi_Analysis[[#This Row],[Defective_Units]]/Procurement_kpi_Analysis[[#This Row],[Quantity]]</f>
        <v>0.14506172839506173</v>
      </c>
      <c r="O172" s="2">
        <f>(Procurement_kpi_Analysis[[#This Row],[Unit_Price]]-Procurement_kpi_Analysis[[#This Row],[Negotiated_Price]])*Procurement_kpi_Analysis[[#This Row],[Quantity]]</f>
        <v>5313.5999999999904</v>
      </c>
      <c r="P172" s="2">
        <f>Procurement_kpi_Analysis[[#This Row],[Total Savings]]/Procurement_kpi_Analysis[[#This Row],[Total Spend]]</f>
        <v>9.8056801195814461E-2</v>
      </c>
      <c r="Q172" s="2" t="str">
        <f>IF(Procurement_kpi_Analysis[[#This Row],[Lead Time]]&lt;=14,"On Time","Late")</f>
        <v>On Time</v>
      </c>
      <c r="R172" s="2">
        <f>Procurement_kpi_Analysis[[#This Row],[Unit_Price]]*Procurement_kpi_Analysis[[#This Row],[Quantity]]</f>
        <v>59502.6</v>
      </c>
      <c r="S172" s="2">
        <f>IF(Procurement_kpi_Analysis[[#This Row],[Compliance]]="Yes",1,0)</f>
        <v>0</v>
      </c>
      <c r="T172" s="2">
        <f>IF(Procurement_kpi_Analysis[[#This Row],[Compliance]]="No",1,0)</f>
        <v>1</v>
      </c>
    </row>
    <row r="173" spans="1:20" x14ac:dyDescent="0.3">
      <c r="A173" t="s">
        <v>198</v>
      </c>
      <c r="B173" t="s">
        <v>23</v>
      </c>
      <c r="C173" s="1">
        <v>45081</v>
      </c>
      <c r="D173" s="1">
        <v>45096</v>
      </c>
      <c r="E173" t="s">
        <v>13</v>
      </c>
      <c r="F173" t="s">
        <v>18</v>
      </c>
      <c r="G173">
        <v>1010</v>
      </c>
      <c r="H173">
        <v>55.68</v>
      </c>
      <c r="I173">
        <v>50.86</v>
      </c>
      <c r="J173">
        <v>0</v>
      </c>
      <c r="K173" t="s">
        <v>15</v>
      </c>
      <c r="L173">
        <f>Procurement_kpi_Analysis[[#This Row],[Quantity]]*Procurement_kpi_Analysis[[#This Row],[Negotiated_Price]]</f>
        <v>51368.6</v>
      </c>
      <c r="M173">
        <f>IF(Procurement_kpi_Analysis[[#This Row],[Delivery_Date]]="","",Procurement_kpi_Analysis[[#This Row],[Delivery_Date]]-Procurement_kpi_Analysis[[#This Row],[Order_Date]])</f>
        <v>15</v>
      </c>
      <c r="N173" s="2">
        <f>Procurement_kpi_Analysis[[#This Row],[Defective_Units]]/Procurement_kpi_Analysis[[#This Row],[Quantity]]</f>
        <v>0</v>
      </c>
      <c r="O173" s="2">
        <f>(Procurement_kpi_Analysis[[#This Row],[Unit_Price]]-Procurement_kpi_Analysis[[#This Row],[Negotiated_Price]])*Procurement_kpi_Analysis[[#This Row],[Quantity]]</f>
        <v>4868.2000000000007</v>
      </c>
      <c r="P173" s="2">
        <f>Procurement_kpi_Analysis[[#This Row],[Total Savings]]/Procurement_kpi_Analysis[[#This Row],[Total Spend]]</f>
        <v>9.4769956744003167E-2</v>
      </c>
      <c r="Q173" s="2" t="str">
        <f>IF(Procurement_kpi_Analysis[[#This Row],[Lead Time]]&lt;=14,"On Time","Late")</f>
        <v>Late</v>
      </c>
      <c r="R173" s="2">
        <f>Procurement_kpi_Analysis[[#This Row],[Unit_Price]]*Procurement_kpi_Analysis[[#This Row],[Quantity]]</f>
        <v>56236.800000000003</v>
      </c>
      <c r="S173" s="2">
        <f>IF(Procurement_kpi_Analysis[[#This Row],[Compliance]]="Yes",1,0)</f>
        <v>1</v>
      </c>
      <c r="T173" s="2">
        <f>IF(Procurement_kpi_Analysis[[#This Row],[Compliance]]="No",1,0)</f>
        <v>0</v>
      </c>
    </row>
    <row r="174" spans="1:20" x14ac:dyDescent="0.3">
      <c r="A174" t="s">
        <v>199</v>
      </c>
      <c r="B174" t="s">
        <v>29</v>
      </c>
      <c r="C174" s="1">
        <v>45185</v>
      </c>
      <c r="D174" s="1">
        <v>45200</v>
      </c>
      <c r="E174" t="s">
        <v>13</v>
      </c>
      <c r="F174" t="s">
        <v>18</v>
      </c>
      <c r="G174">
        <v>1812</v>
      </c>
      <c r="H174">
        <v>108.02</v>
      </c>
      <c r="I174">
        <v>101.02</v>
      </c>
      <c r="J174">
        <v>51</v>
      </c>
      <c r="K174" t="s">
        <v>15</v>
      </c>
      <c r="L174">
        <f>Procurement_kpi_Analysis[[#This Row],[Quantity]]*Procurement_kpi_Analysis[[#This Row],[Negotiated_Price]]</f>
        <v>183048.24</v>
      </c>
      <c r="M174">
        <f>IF(Procurement_kpi_Analysis[[#This Row],[Delivery_Date]]="","",Procurement_kpi_Analysis[[#This Row],[Delivery_Date]]-Procurement_kpi_Analysis[[#This Row],[Order_Date]])</f>
        <v>15</v>
      </c>
      <c r="N174" s="2">
        <f>Procurement_kpi_Analysis[[#This Row],[Defective_Units]]/Procurement_kpi_Analysis[[#This Row],[Quantity]]</f>
        <v>2.8145695364238412E-2</v>
      </c>
      <c r="O174" s="2">
        <f>(Procurement_kpi_Analysis[[#This Row],[Unit_Price]]-Procurement_kpi_Analysis[[#This Row],[Negotiated_Price]])*Procurement_kpi_Analysis[[#This Row],[Quantity]]</f>
        <v>12684</v>
      </c>
      <c r="P174" s="2">
        <f>Procurement_kpi_Analysis[[#This Row],[Total Savings]]/Procurement_kpi_Analysis[[#This Row],[Total Spend]]</f>
        <v>6.9293209265491984E-2</v>
      </c>
      <c r="Q174" s="2" t="str">
        <f>IF(Procurement_kpi_Analysis[[#This Row],[Lead Time]]&lt;=14,"On Time","Late")</f>
        <v>Late</v>
      </c>
      <c r="R174" s="2">
        <f>Procurement_kpi_Analysis[[#This Row],[Unit_Price]]*Procurement_kpi_Analysis[[#This Row],[Quantity]]</f>
        <v>195732.24</v>
      </c>
      <c r="S174" s="2">
        <f>IF(Procurement_kpi_Analysis[[#This Row],[Compliance]]="Yes",1,0)</f>
        <v>1</v>
      </c>
      <c r="T174" s="2">
        <f>IF(Procurement_kpi_Analysis[[#This Row],[Compliance]]="No",1,0)</f>
        <v>0</v>
      </c>
    </row>
    <row r="175" spans="1:20" x14ac:dyDescent="0.3">
      <c r="A175" t="s">
        <v>200</v>
      </c>
      <c r="B175" t="s">
        <v>17</v>
      </c>
      <c r="C175" s="1">
        <v>44765</v>
      </c>
      <c r="D175" s="1">
        <v>44770</v>
      </c>
      <c r="E175" t="s">
        <v>13</v>
      </c>
      <c r="F175" t="s">
        <v>18</v>
      </c>
      <c r="G175">
        <v>662</v>
      </c>
      <c r="H175">
        <v>55.97</v>
      </c>
      <c r="I175">
        <v>50</v>
      </c>
      <c r="J175">
        <v>100</v>
      </c>
      <c r="K175" t="s">
        <v>15</v>
      </c>
      <c r="L175">
        <f>Procurement_kpi_Analysis[[#This Row],[Quantity]]*Procurement_kpi_Analysis[[#This Row],[Negotiated_Price]]</f>
        <v>33100</v>
      </c>
      <c r="M175">
        <f>IF(Procurement_kpi_Analysis[[#This Row],[Delivery_Date]]="","",Procurement_kpi_Analysis[[#This Row],[Delivery_Date]]-Procurement_kpi_Analysis[[#This Row],[Order_Date]])</f>
        <v>5</v>
      </c>
      <c r="N175" s="2">
        <f>Procurement_kpi_Analysis[[#This Row],[Defective_Units]]/Procurement_kpi_Analysis[[#This Row],[Quantity]]</f>
        <v>0.15105740181268881</v>
      </c>
      <c r="O175" s="2">
        <f>(Procurement_kpi_Analysis[[#This Row],[Unit_Price]]-Procurement_kpi_Analysis[[#This Row],[Negotiated_Price]])*Procurement_kpi_Analysis[[#This Row],[Quantity]]</f>
        <v>3952.1399999999994</v>
      </c>
      <c r="P175" s="2">
        <f>Procurement_kpi_Analysis[[#This Row],[Total Savings]]/Procurement_kpi_Analysis[[#This Row],[Total Spend]]</f>
        <v>0.11939999999999998</v>
      </c>
      <c r="Q175" s="2" t="str">
        <f>IF(Procurement_kpi_Analysis[[#This Row],[Lead Time]]&lt;=14,"On Time","Late")</f>
        <v>On Time</v>
      </c>
      <c r="R175" s="2">
        <f>Procurement_kpi_Analysis[[#This Row],[Unit_Price]]*Procurement_kpi_Analysis[[#This Row],[Quantity]]</f>
        <v>37052.14</v>
      </c>
      <c r="S175" s="2">
        <f>IF(Procurement_kpi_Analysis[[#This Row],[Compliance]]="Yes",1,0)</f>
        <v>1</v>
      </c>
      <c r="T175" s="2">
        <f>IF(Procurement_kpi_Analysis[[#This Row],[Compliance]]="No",1,0)</f>
        <v>0</v>
      </c>
    </row>
    <row r="176" spans="1:20" x14ac:dyDescent="0.3">
      <c r="A176" t="s">
        <v>201</v>
      </c>
      <c r="B176" t="s">
        <v>23</v>
      </c>
      <c r="C176" s="1">
        <v>44718</v>
      </c>
      <c r="D176" s="1">
        <v>44723</v>
      </c>
      <c r="E176" t="s">
        <v>13</v>
      </c>
      <c r="F176" t="s">
        <v>35</v>
      </c>
      <c r="G176">
        <v>1535</v>
      </c>
      <c r="H176">
        <v>40.58</v>
      </c>
      <c r="I176">
        <v>38.71</v>
      </c>
      <c r="J176">
        <v>165</v>
      </c>
      <c r="K176" t="s">
        <v>15</v>
      </c>
      <c r="L176">
        <f>Procurement_kpi_Analysis[[#This Row],[Quantity]]*Procurement_kpi_Analysis[[#This Row],[Negotiated_Price]]</f>
        <v>59419.85</v>
      </c>
      <c r="M176">
        <f>IF(Procurement_kpi_Analysis[[#This Row],[Delivery_Date]]="","",Procurement_kpi_Analysis[[#This Row],[Delivery_Date]]-Procurement_kpi_Analysis[[#This Row],[Order_Date]])</f>
        <v>5</v>
      </c>
      <c r="N176" s="2">
        <f>Procurement_kpi_Analysis[[#This Row],[Defective_Units]]/Procurement_kpi_Analysis[[#This Row],[Quantity]]</f>
        <v>0.10749185667752444</v>
      </c>
      <c r="O176" s="2">
        <f>(Procurement_kpi_Analysis[[#This Row],[Unit_Price]]-Procurement_kpi_Analysis[[#This Row],[Negotiated_Price]])*Procurement_kpi_Analysis[[#This Row],[Quantity]]</f>
        <v>2870.4499999999962</v>
      </c>
      <c r="P176" s="2">
        <f>Procurement_kpi_Analysis[[#This Row],[Total Savings]]/Procurement_kpi_Analysis[[#This Row],[Total Spend]]</f>
        <v>4.8307930767243545E-2</v>
      </c>
      <c r="Q176" s="2" t="str">
        <f>IF(Procurement_kpi_Analysis[[#This Row],[Lead Time]]&lt;=14,"On Time","Late")</f>
        <v>On Time</v>
      </c>
      <c r="R176" s="2">
        <f>Procurement_kpi_Analysis[[#This Row],[Unit_Price]]*Procurement_kpi_Analysis[[#This Row],[Quantity]]</f>
        <v>62290.299999999996</v>
      </c>
      <c r="S176" s="2">
        <f>IF(Procurement_kpi_Analysis[[#This Row],[Compliance]]="Yes",1,0)</f>
        <v>1</v>
      </c>
      <c r="T176" s="2">
        <f>IF(Procurement_kpi_Analysis[[#This Row],[Compliance]]="No",1,0)</f>
        <v>0</v>
      </c>
    </row>
    <row r="177" spans="1:20" x14ac:dyDescent="0.3">
      <c r="A177" t="s">
        <v>202</v>
      </c>
      <c r="B177" t="s">
        <v>23</v>
      </c>
      <c r="C177" s="1">
        <v>44944</v>
      </c>
      <c r="D177" s="1">
        <v>44953</v>
      </c>
      <c r="E177" t="s">
        <v>26</v>
      </c>
      <c r="F177" t="s">
        <v>18</v>
      </c>
      <c r="G177">
        <v>692</v>
      </c>
      <c r="H177">
        <v>71.03</v>
      </c>
      <c r="I177">
        <v>67.739999999999995</v>
      </c>
      <c r="J177">
        <v>70</v>
      </c>
      <c r="K177" t="s">
        <v>15</v>
      </c>
      <c r="L177">
        <f>Procurement_kpi_Analysis[[#This Row],[Quantity]]*Procurement_kpi_Analysis[[#This Row],[Negotiated_Price]]</f>
        <v>46876.079999999994</v>
      </c>
      <c r="M177">
        <f>IF(Procurement_kpi_Analysis[[#This Row],[Delivery_Date]]="","",Procurement_kpi_Analysis[[#This Row],[Delivery_Date]]-Procurement_kpi_Analysis[[#This Row],[Order_Date]])</f>
        <v>9</v>
      </c>
      <c r="N177" s="2">
        <f>Procurement_kpi_Analysis[[#This Row],[Defective_Units]]/Procurement_kpi_Analysis[[#This Row],[Quantity]]</f>
        <v>0.10115606936416185</v>
      </c>
      <c r="O177" s="2">
        <f>(Procurement_kpi_Analysis[[#This Row],[Unit_Price]]-Procurement_kpi_Analysis[[#This Row],[Negotiated_Price]])*Procurement_kpi_Analysis[[#This Row],[Quantity]]</f>
        <v>2276.6800000000044</v>
      </c>
      <c r="P177" s="2">
        <f>Procurement_kpi_Analysis[[#This Row],[Total Savings]]/Procurement_kpi_Analysis[[#This Row],[Total Spend]]</f>
        <v>4.8568054325361779E-2</v>
      </c>
      <c r="Q177" s="2" t="str">
        <f>IF(Procurement_kpi_Analysis[[#This Row],[Lead Time]]&lt;=14,"On Time","Late")</f>
        <v>On Time</v>
      </c>
      <c r="R177" s="2">
        <f>Procurement_kpi_Analysis[[#This Row],[Unit_Price]]*Procurement_kpi_Analysis[[#This Row],[Quantity]]</f>
        <v>49152.76</v>
      </c>
      <c r="S177" s="2">
        <f>IF(Procurement_kpi_Analysis[[#This Row],[Compliance]]="Yes",1,0)</f>
        <v>1</v>
      </c>
      <c r="T177" s="2">
        <f>IF(Procurement_kpi_Analysis[[#This Row],[Compliance]]="No",1,0)</f>
        <v>0</v>
      </c>
    </row>
    <row r="178" spans="1:20" x14ac:dyDescent="0.3">
      <c r="A178" t="s">
        <v>203</v>
      </c>
      <c r="B178" t="s">
        <v>20</v>
      </c>
      <c r="C178" s="1">
        <v>44727</v>
      </c>
      <c r="D178" s="1">
        <v>44740</v>
      </c>
      <c r="E178" t="s">
        <v>21</v>
      </c>
      <c r="F178" t="s">
        <v>18</v>
      </c>
      <c r="G178">
        <v>1842</v>
      </c>
      <c r="H178">
        <v>32.4</v>
      </c>
      <c r="I178">
        <v>28.08</v>
      </c>
      <c r="J178">
        <v>96</v>
      </c>
      <c r="K178" t="s">
        <v>15</v>
      </c>
      <c r="L178">
        <f>Procurement_kpi_Analysis[[#This Row],[Quantity]]*Procurement_kpi_Analysis[[#This Row],[Negotiated_Price]]</f>
        <v>51723.359999999993</v>
      </c>
      <c r="M178">
        <f>IF(Procurement_kpi_Analysis[[#This Row],[Delivery_Date]]="","",Procurement_kpi_Analysis[[#This Row],[Delivery_Date]]-Procurement_kpi_Analysis[[#This Row],[Order_Date]])</f>
        <v>13</v>
      </c>
      <c r="N178" s="2">
        <f>Procurement_kpi_Analysis[[#This Row],[Defective_Units]]/Procurement_kpi_Analysis[[#This Row],[Quantity]]</f>
        <v>5.2117263843648211E-2</v>
      </c>
      <c r="O178" s="2">
        <f>(Procurement_kpi_Analysis[[#This Row],[Unit_Price]]-Procurement_kpi_Analysis[[#This Row],[Negotiated_Price]])*Procurement_kpi_Analysis[[#This Row],[Quantity]]</f>
        <v>7957.4400000000005</v>
      </c>
      <c r="P178" s="2">
        <f>Procurement_kpi_Analysis[[#This Row],[Total Savings]]/Procurement_kpi_Analysis[[#This Row],[Total Spend]]</f>
        <v>0.15384615384615388</v>
      </c>
      <c r="Q178" s="2" t="str">
        <f>IF(Procurement_kpi_Analysis[[#This Row],[Lead Time]]&lt;=14,"On Time","Late")</f>
        <v>On Time</v>
      </c>
      <c r="R178" s="2">
        <f>Procurement_kpi_Analysis[[#This Row],[Unit_Price]]*Procurement_kpi_Analysis[[#This Row],[Quantity]]</f>
        <v>59680.799999999996</v>
      </c>
      <c r="S178" s="2">
        <f>IF(Procurement_kpi_Analysis[[#This Row],[Compliance]]="Yes",1,0)</f>
        <v>1</v>
      </c>
      <c r="T178" s="2">
        <f>IF(Procurement_kpi_Analysis[[#This Row],[Compliance]]="No",1,0)</f>
        <v>0</v>
      </c>
    </row>
    <row r="179" spans="1:20" x14ac:dyDescent="0.3">
      <c r="A179" t="s">
        <v>204</v>
      </c>
      <c r="B179" t="s">
        <v>23</v>
      </c>
      <c r="C179" s="1">
        <v>45114</v>
      </c>
      <c r="D179" s="1">
        <v>45125</v>
      </c>
      <c r="E179" t="s">
        <v>13</v>
      </c>
      <c r="F179" t="s">
        <v>14</v>
      </c>
      <c r="G179">
        <v>1078</v>
      </c>
      <c r="H179">
        <v>18.34</v>
      </c>
      <c r="I179">
        <v>17.41</v>
      </c>
      <c r="J179">
        <v>102</v>
      </c>
      <c r="K179" t="s">
        <v>15</v>
      </c>
      <c r="L179">
        <f>Procurement_kpi_Analysis[[#This Row],[Quantity]]*Procurement_kpi_Analysis[[#This Row],[Negotiated_Price]]</f>
        <v>18767.98</v>
      </c>
      <c r="M179">
        <f>IF(Procurement_kpi_Analysis[[#This Row],[Delivery_Date]]="","",Procurement_kpi_Analysis[[#This Row],[Delivery_Date]]-Procurement_kpi_Analysis[[#This Row],[Order_Date]])</f>
        <v>11</v>
      </c>
      <c r="N179" s="2">
        <f>Procurement_kpi_Analysis[[#This Row],[Defective_Units]]/Procurement_kpi_Analysis[[#This Row],[Quantity]]</f>
        <v>9.4619666048237475E-2</v>
      </c>
      <c r="O179" s="2">
        <f>(Procurement_kpi_Analysis[[#This Row],[Unit_Price]]-Procurement_kpi_Analysis[[#This Row],[Negotiated_Price]])*Procurement_kpi_Analysis[[#This Row],[Quantity]]</f>
        <v>1002.5399999999997</v>
      </c>
      <c r="P179" s="2">
        <f>Procurement_kpi_Analysis[[#This Row],[Total Savings]]/Procurement_kpi_Analysis[[#This Row],[Total Spend]]</f>
        <v>5.3417576105686378E-2</v>
      </c>
      <c r="Q179" s="2" t="str">
        <f>IF(Procurement_kpi_Analysis[[#This Row],[Lead Time]]&lt;=14,"On Time","Late")</f>
        <v>On Time</v>
      </c>
      <c r="R179" s="2">
        <f>Procurement_kpi_Analysis[[#This Row],[Unit_Price]]*Procurement_kpi_Analysis[[#This Row],[Quantity]]</f>
        <v>19770.52</v>
      </c>
      <c r="S179" s="2">
        <f>IF(Procurement_kpi_Analysis[[#This Row],[Compliance]]="Yes",1,0)</f>
        <v>1</v>
      </c>
      <c r="T179" s="2">
        <f>IF(Procurement_kpi_Analysis[[#This Row],[Compliance]]="No",1,0)</f>
        <v>0</v>
      </c>
    </row>
    <row r="180" spans="1:20" x14ac:dyDescent="0.3">
      <c r="A180" t="s">
        <v>205</v>
      </c>
      <c r="B180" t="s">
        <v>17</v>
      </c>
      <c r="C180" s="1">
        <v>45105</v>
      </c>
      <c r="D180" s="1">
        <v>45123</v>
      </c>
      <c r="E180" t="s">
        <v>24</v>
      </c>
      <c r="F180" t="s">
        <v>18</v>
      </c>
      <c r="G180">
        <v>1291</v>
      </c>
      <c r="H180">
        <v>23.44</v>
      </c>
      <c r="I180">
        <v>22.23</v>
      </c>
      <c r="J180">
        <v>0</v>
      </c>
      <c r="K180" t="s">
        <v>15</v>
      </c>
      <c r="L180">
        <f>Procurement_kpi_Analysis[[#This Row],[Quantity]]*Procurement_kpi_Analysis[[#This Row],[Negotiated_Price]]</f>
        <v>28698.93</v>
      </c>
      <c r="M180">
        <f>IF(Procurement_kpi_Analysis[[#This Row],[Delivery_Date]]="","",Procurement_kpi_Analysis[[#This Row],[Delivery_Date]]-Procurement_kpi_Analysis[[#This Row],[Order_Date]])</f>
        <v>18</v>
      </c>
      <c r="N180" s="2">
        <f>Procurement_kpi_Analysis[[#This Row],[Defective_Units]]/Procurement_kpi_Analysis[[#This Row],[Quantity]]</f>
        <v>0</v>
      </c>
      <c r="O180" s="2">
        <f>(Procurement_kpi_Analysis[[#This Row],[Unit_Price]]-Procurement_kpi_Analysis[[#This Row],[Negotiated_Price]])*Procurement_kpi_Analysis[[#This Row],[Quantity]]</f>
        <v>1562.110000000001</v>
      </c>
      <c r="P180" s="2">
        <f>Procurement_kpi_Analysis[[#This Row],[Total Savings]]/Procurement_kpi_Analysis[[#This Row],[Total Spend]]</f>
        <v>5.4430949167791308E-2</v>
      </c>
      <c r="Q180" s="2" t="str">
        <f>IF(Procurement_kpi_Analysis[[#This Row],[Lead Time]]&lt;=14,"On Time","Late")</f>
        <v>Late</v>
      </c>
      <c r="R180" s="2">
        <f>Procurement_kpi_Analysis[[#This Row],[Unit_Price]]*Procurement_kpi_Analysis[[#This Row],[Quantity]]</f>
        <v>30261.040000000001</v>
      </c>
      <c r="S180" s="2">
        <f>IF(Procurement_kpi_Analysis[[#This Row],[Compliance]]="Yes",1,0)</f>
        <v>1</v>
      </c>
      <c r="T180" s="2">
        <f>IF(Procurement_kpi_Analysis[[#This Row],[Compliance]]="No",1,0)</f>
        <v>0</v>
      </c>
    </row>
    <row r="181" spans="1:20" x14ac:dyDescent="0.3">
      <c r="A181" t="s">
        <v>206</v>
      </c>
      <c r="B181" t="s">
        <v>12</v>
      </c>
      <c r="C181" s="1">
        <v>44562</v>
      </c>
      <c r="D181" s="1">
        <v>44573</v>
      </c>
      <c r="E181" t="s">
        <v>39</v>
      </c>
      <c r="F181" t="s">
        <v>18</v>
      </c>
      <c r="G181">
        <v>552</v>
      </c>
      <c r="H181">
        <v>21.52</v>
      </c>
      <c r="I181">
        <v>18.79</v>
      </c>
      <c r="J181">
        <v>13</v>
      </c>
      <c r="K181" t="s">
        <v>15</v>
      </c>
      <c r="L181">
        <f>Procurement_kpi_Analysis[[#This Row],[Quantity]]*Procurement_kpi_Analysis[[#This Row],[Negotiated_Price]]</f>
        <v>10372.08</v>
      </c>
      <c r="M181">
        <f>IF(Procurement_kpi_Analysis[[#This Row],[Delivery_Date]]="","",Procurement_kpi_Analysis[[#This Row],[Delivery_Date]]-Procurement_kpi_Analysis[[#This Row],[Order_Date]])</f>
        <v>11</v>
      </c>
      <c r="N181" s="2">
        <f>Procurement_kpi_Analysis[[#This Row],[Defective_Units]]/Procurement_kpi_Analysis[[#This Row],[Quantity]]</f>
        <v>2.355072463768116E-2</v>
      </c>
      <c r="O181" s="2">
        <f>(Procurement_kpi_Analysis[[#This Row],[Unit_Price]]-Procurement_kpi_Analysis[[#This Row],[Negotiated_Price]])*Procurement_kpi_Analysis[[#This Row],[Quantity]]</f>
        <v>1506.9600000000003</v>
      </c>
      <c r="P181" s="2">
        <f>Procurement_kpi_Analysis[[#This Row],[Total Savings]]/Procurement_kpi_Analysis[[#This Row],[Total Spend]]</f>
        <v>0.14529004789781802</v>
      </c>
      <c r="Q181" s="2" t="str">
        <f>IF(Procurement_kpi_Analysis[[#This Row],[Lead Time]]&lt;=14,"On Time","Late")</f>
        <v>On Time</v>
      </c>
      <c r="R181" s="2">
        <f>Procurement_kpi_Analysis[[#This Row],[Unit_Price]]*Procurement_kpi_Analysis[[#This Row],[Quantity]]</f>
        <v>11879.039999999999</v>
      </c>
      <c r="S181" s="2">
        <f>IF(Procurement_kpi_Analysis[[#This Row],[Compliance]]="Yes",1,0)</f>
        <v>1</v>
      </c>
      <c r="T181" s="2">
        <f>IF(Procurement_kpi_Analysis[[#This Row],[Compliance]]="No",1,0)</f>
        <v>0</v>
      </c>
    </row>
    <row r="182" spans="1:20" x14ac:dyDescent="0.3">
      <c r="A182" t="s">
        <v>207</v>
      </c>
      <c r="B182" t="s">
        <v>29</v>
      </c>
      <c r="C182" s="1">
        <v>45175</v>
      </c>
      <c r="D182" s="1">
        <v>45191</v>
      </c>
      <c r="E182" t="s">
        <v>39</v>
      </c>
      <c r="F182" t="s">
        <v>18</v>
      </c>
      <c r="G182">
        <v>816</v>
      </c>
      <c r="H182">
        <v>26.04</v>
      </c>
      <c r="I182">
        <v>25.61</v>
      </c>
      <c r="J182">
        <v>28</v>
      </c>
      <c r="K182" t="s">
        <v>15</v>
      </c>
      <c r="L182">
        <f>Procurement_kpi_Analysis[[#This Row],[Quantity]]*Procurement_kpi_Analysis[[#This Row],[Negotiated_Price]]</f>
        <v>20897.759999999998</v>
      </c>
      <c r="M182">
        <f>IF(Procurement_kpi_Analysis[[#This Row],[Delivery_Date]]="","",Procurement_kpi_Analysis[[#This Row],[Delivery_Date]]-Procurement_kpi_Analysis[[#This Row],[Order_Date]])</f>
        <v>16</v>
      </c>
      <c r="N182" s="2">
        <f>Procurement_kpi_Analysis[[#This Row],[Defective_Units]]/Procurement_kpi_Analysis[[#This Row],[Quantity]]</f>
        <v>3.4313725490196081E-2</v>
      </c>
      <c r="O182" s="2">
        <f>(Procurement_kpi_Analysis[[#This Row],[Unit_Price]]-Procurement_kpi_Analysis[[#This Row],[Negotiated_Price]])*Procurement_kpi_Analysis[[#This Row],[Quantity]]</f>
        <v>350.87999999999977</v>
      </c>
      <c r="P182" s="2">
        <f>Procurement_kpi_Analysis[[#This Row],[Total Savings]]/Procurement_kpi_Analysis[[#This Row],[Total Spend]]</f>
        <v>1.6790316282702059E-2</v>
      </c>
      <c r="Q182" s="2" t="str">
        <f>IF(Procurement_kpi_Analysis[[#This Row],[Lead Time]]&lt;=14,"On Time","Late")</f>
        <v>Late</v>
      </c>
      <c r="R182" s="2">
        <f>Procurement_kpi_Analysis[[#This Row],[Unit_Price]]*Procurement_kpi_Analysis[[#This Row],[Quantity]]</f>
        <v>21248.639999999999</v>
      </c>
      <c r="S182" s="2">
        <f>IF(Procurement_kpi_Analysis[[#This Row],[Compliance]]="Yes",1,0)</f>
        <v>1</v>
      </c>
      <c r="T182" s="2">
        <f>IF(Procurement_kpi_Analysis[[#This Row],[Compliance]]="No",1,0)</f>
        <v>0</v>
      </c>
    </row>
    <row r="183" spans="1:20" x14ac:dyDescent="0.3">
      <c r="A183" t="s">
        <v>208</v>
      </c>
      <c r="B183" t="s">
        <v>17</v>
      </c>
      <c r="C183" s="1">
        <v>44893</v>
      </c>
      <c r="D183" s="1">
        <v>44895</v>
      </c>
      <c r="E183" t="s">
        <v>24</v>
      </c>
      <c r="F183" t="s">
        <v>18</v>
      </c>
      <c r="G183">
        <v>447</v>
      </c>
      <c r="H183">
        <v>23.62</v>
      </c>
      <c r="I183">
        <v>21.81</v>
      </c>
      <c r="J183">
        <v>50</v>
      </c>
      <c r="K183" t="s">
        <v>15</v>
      </c>
      <c r="L183">
        <f>Procurement_kpi_Analysis[[#This Row],[Quantity]]*Procurement_kpi_Analysis[[#This Row],[Negotiated_Price]]</f>
        <v>9749.07</v>
      </c>
      <c r="M183">
        <f>IF(Procurement_kpi_Analysis[[#This Row],[Delivery_Date]]="","",Procurement_kpi_Analysis[[#This Row],[Delivery_Date]]-Procurement_kpi_Analysis[[#This Row],[Order_Date]])</f>
        <v>2</v>
      </c>
      <c r="N183" s="2">
        <f>Procurement_kpi_Analysis[[#This Row],[Defective_Units]]/Procurement_kpi_Analysis[[#This Row],[Quantity]]</f>
        <v>0.11185682326621924</v>
      </c>
      <c r="O183" s="2">
        <f>(Procurement_kpi_Analysis[[#This Row],[Unit_Price]]-Procurement_kpi_Analysis[[#This Row],[Negotiated_Price]])*Procurement_kpi_Analysis[[#This Row],[Quantity]]</f>
        <v>809.07000000000107</v>
      </c>
      <c r="P183" s="2">
        <f>Procurement_kpi_Analysis[[#This Row],[Total Savings]]/Procurement_kpi_Analysis[[#This Row],[Total Spend]]</f>
        <v>8.2989454378725472E-2</v>
      </c>
      <c r="Q183" s="2" t="str">
        <f>IF(Procurement_kpi_Analysis[[#This Row],[Lead Time]]&lt;=14,"On Time","Late")</f>
        <v>On Time</v>
      </c>
      <c r="R183" s="2">
        <f>Procurement_kpi_Analysis[[#This Row],[Unit_Price]]*Procurement_kpi_Analysis[[#This Row],[Quantity]]</f>
        <v>10558.140000000001</v>
      </c>
      <c r="S183" s="2">
        <f>IF(Procurement_kpi_Analysis[[#This Row],[Compliance]]="Yes",1,0)</f>
        <v>1</v>
      </c>
      <c r="T183" s="2">
        <f>IF(Procurement_kpi_Analysis[[#This Row],[Compliance]]="No",1,0)</f>
        <v>0</v>
      </c>
    </row>
    <row r="184" spans="1:20" x14ac:dyDescent="0.3">
      <c r="A184" t="s">
        <v>209</v>
      </c>
      <c r="B184" t="s">
        <v>17</v>
      </c>
      <c r="C184" s="1">
        <v>45062</v>
      </c>
      <c r="D184" s="1">
        <v>45070</v>
      </c>
      <c r="E184" t="s">
        <v>24</v>
      </c>
      <c r="F184" t="s">
        <v>33</v>
      </c>
      <c r="G184">
        <v>920</v>
      </c>
      <c r="H184">
        <v>73.09</v>
      </c>
      <c r="I184">
        <v>70.14</v>
      </c>
      <c r="J184">
        <v>0</v>
      </c>
      <c r="K184" t="s">
        <v>15</v>
      </c>
      <c r="L184">
        <f>Procurement_kpi_Analysis[[#This Row],[Quantity]]*Procurement_kpi_Analysis[[#This Row],[Negotiated_Price]]</f>
        <v>64528.800000000003</v>
      </c>
      <c r="M184">
        <f>IF(Procurement_kpi_Analysis[[#This Row],[Delivery_Date]]="","",Procurement_kpi_Analysis[[#This Row],[Delivery_Date]]-Procurement_kpi_Analysis[[#This Row],[Order_Date]])</f>
        <v>8</v>
      </c>
      <c r="N184" s="2">
        <f>Procurement_kpi_Analysis[[#This Row],[Defective_Units]]/Procurement_kpi_Analysis[[#This Row],[Quantity]]</f>
        <v>0</v>
      </c>
      <c r="O184" s="2">
        <f>(Procurement_kpi_Analysis[[#This Row],[Unit_Price]]-Procurement_kpi_Analysis[[#This Row],[Negotiated_Price]])*Procurement_kpi_Analysis[[#This Row],[Quantity]]</f>
        <v>2714.0000000000027</v>
      </c>
      <c r="P184" s="2">
        <f>Procurement_kpi_Analysis[[#This Row],[Total Savings]]/Procurement_kpi_Analysis[[#This Row],[Total Spend]]</f>
        <v>4.2058739663530124E-2</v>
      </c>
      <c r="Q184" s="2" t="str">
        <f>IF(Procurement_kpi_Analysis[[#This Row],[Lead Time]]&lt;=14,"On Time","Late")</f>
        <v>On Time</v>
      </c>
      <c r="R184" s="2">
        <f>Procurement_kpi_Analysis[[#This Row],[Unit_Price]]*Procurement_kpi_Analysis[[#This Row],[Quantity]]</f>
        <v>67242.8</v>
      </c>
      <c r="S184" s="2">
        <f>IF(Procurement_kpi_Analysis[[#This Row],[Compliance]]="Yes",1,0)</f>
        <v>1</v>
      </c>
      <c r="T184" s="2">
        <f>IF(Procurement_kpi_Analysis[[#This Row],[Compliance]]="No",1,0)</f>
        <v>0</v>
      </c>
    </row>
    <row r="185" spans="1:20" x14ac:dyDescent="0.3">
      <c r="A185" t="s">
        <v>210</v>
      </c>
      <c r="B185" t="s">
        <v>29</v>
      </c>
      <c r="C185" s="1">
        <v>44581</v>
      </c>
      <c r="D185" s="1">
        <v>44591</v>
      </c>
      <c r="E185" t="s">
        <v>24</v>
      </c>
      <c r="F185" t="s">
        <v>33</v>
      </c>
      <c r="G185">
        <v>844</v>
      </c>
      <c r="H185">
        <v>26.37</v>
      </c>
      <c r="I185">
        <v>25.08</v>
      </c>
      <c r="J185">
        <v>38</v>
      </c>
      <c r="K185" t="s">
        <v>15</v>
      </c>
      <c r="L185">
        <f>Procurement_kpi_Analysis[[#This Row],[Quantity]]*Procurement_kpi_Analysis[[#This Row],[Negotiated_Price]]</f>
        <v>21167.519999999997</v>
      </c>
      <c r="M185">
        <f>IF(Procurement_kpi_Analysis[[#This Row],[Delivery_Date]]="","",Procurement_kpi_Analysis[[#This Row],[Delivery_Date]]-Procurement_kpi_Analysis[[#This Row],[Order_Date]])</f>
        <v>10</v>
      </c>
      <c r="N185" s="2">
        <f>Procurement_kpi_Analysis[[#This Row],[Defective_Units]]/Procurement_kpi_Analysis[[#This Row],[Quantity]]</f>
        <v>4.5023696682464455E-2</v>
      </c>
      <c r="O185" s="2">
        <f>(Procurement_kpi_Analysis[[#This Row],[Unit_Price]]-Procurement_kpi_Analysis[[#This Row],[Negotiated_Price]])*Procurement_kpi_Analysis[[#This Row],[Quantity]]</f>
        <v>1088.7600000000023</v>
      </c>
      <c r="P185" s="2">
        <f>Procurement_kpi_Analysis[[#This Row],[Total Savings]]/Procurement_kpi_Analysis[[#This Row],[Total Spend]]</f>
        <v>5.1435406698564709E-2</v>
      </c>
      <c r="Q185" s="2" t="str">
        <f>IF(Procurement_kpi_Analysis[[#This Row],[Lead Time]]&lt;=14,"On Time","Late")</f>
        <v>On Time</v>
      </c>
      <c r="R185" s="2">
        <f>Procurement_kpi_Analysis[[#This Row],[Unit_Price]]*Procurement_kpi_Analysis[[#This Row],[Quantity]]</f>
        <v>22256.280000000002</v>
      </c>
      <c r="S185" s="2">
        <f>IF(Procurement_kpi_Analysis[[#This Row],[Compliance]]="Yes",1,0)</f>
        <v>1</v>
      </c>
      <c r="T185" s="2">
        <f>IF(Procurement_kpi_Analysis[[#This Row],[Compliance]]="No",1,0)</f>
        <v>0</v>
      </c>
    </row>
    <row r="186" spans="1:20" x14ac:dyDescent="0.3">
      <c r="A186" t="s">
        <v>211</v>
      </c>
      <c r="B186" t="s">
        <v>29</v>
      </c>
      <c r="C186" s="1">
        <v>44676</v>
      </c>
      <c r="D186" s="1"/>
      <c r="E186" t="s">
        <v>21</v>
      </c>
      <c r="F186" t="s">
        <v>18</v>
      </c>
      <c r="G186">
        <v>442</v>
      </c>
      <c r="H186">
        <v>41.73</v>
      </c>
      <c r="I186">
        <v>36.450000000000003</v>
      </c>
      <c r="J186">
        <v>15</v>
      </c>
      <c r="K186" t="s">
        <v>15</v>
      </c>
      <c r="L186">
        <f>Procurement_kpi_Analysis[[#This Row],[Quantity]]*Procurement_kpi_Analysis[[#This Row],[Negotiated_Price]]</f>
        <v>16110.900000000001</v>
      </c>
      <c r="M186" t="str">
        <f>IF(Procurement_kpi_Analysis[[#This Row],[Delivery_Date]]="","",Procurement_kpi_Analysis[[#This Row],[Delivery_Date]]-Procurement_kpi_Analysis[[#This Row],[Order_Date]])</f>
        <v/>
      </c>
      <c r="N186" s="2">
        <f>Procurement_kpi_Analysis[[#This Row],[Defective_Units]]/Procurement_kpi_Analysis[[#This Row],[Quantity]]</f>
        <v>3.3936651583710405E-2</v>
      </c>
      <c r="O186" s="2">
        <f>(Procurement_kpi_Analysis[[#This Row],[Unit_Price]]-Procurement_kpi_Analysis[[#This Row],[Negotiated_Price]])*Procurement_kpi_Analysis[[#This Row],[Quantity]]</f>
        <v>2333.7599999999975</v>
      </c>
      <c r="P186" s="2">
        <f>Procurement_kpi_Analysis[[#This Row],[Total Savings]]/Procurement_kpi_Analysis[[#This Row],[Total Spend]]</f>
        <v>0.14485596707818912</v>
      </c>
      <c r="Q186" s="2" t="str">
        <f>IF(Procurement_kpi_Analysis[[#This Row],[Lead Time]]&lt;=14,"On Time","Late")</f>
        <v>Late</v>
      </c>
      <c r="R186" s="2">
        <f>Procurement_kpi_Analysis[[#This Row],[Unit_Price]]*Procurement_kpi_Analysis[[#This Row],[Quantity]]</f>
        <v>18444.66</v>
      </c>
      <c r="S186" s="2">
        <f>IF(Procurement_kpi_Analysis[[#This Row],[Compliance]]="Yes",1,0)</f>
        <v>1</v>
      </c>
      <c r="T186" s="2">
        <f>IF(Procurement_kpi_Analysis[[#This Row],[Compliance]]="No",1,0)</f>
        <v>0</v>
      </c>
    </row>
    <row r="187" spans="1:20" x14ac:dyDescent="0.3">
      <c r="A187" t="s">
        <v>212</v>
      </c>
      <c r="B187" t="s">
        <v>23</v>
      </c>
      <c r="C187" s="1">
        <v>44933</v>
      </c>
      <c r="D187" s="1">
        <v>44947</v>
      </c>
      <c r="E187" t="s">
        <v>39</v>
      </c>
      <c r="F187" t="s">
        <v>14</v>
      </c>
      <c r="G187">
        <v>256</v>
      </c>
      <c r="H187">
        <v>96.15</v>
      </c>
      <c r="I187">
        <v>83.44</v>
      </c>
      <c r="J187">
        <v>26</v>
      </c>
      <c r="K187" t="s">
        <v>15</v>
      </c>
      <c r="L187">
        <f>Procurement_kpi_Analysis[[#This Row],[Quantity]]*Procurement_kpi_Analysis[[#This Row],[Negotiated_Price]]</f>
        <v>21360.639999999999</v>
      </c>
      <c r="M187">
        <f>IF(Procurement_kpi_Analysis[[#This Row],[Delivery_Date]]="","",Procurement_kpi_Analysis[[#This Row],[Delivery_Date]]-Procurement_kpi_Analysis[[#This Row],[Order_Date]])</f>
        <v>14</v>
      </c>
      <c r="N187" s="2">
        <f>Procurement_kpi_Analysis[[#This Row],[Defective_Units]]/Procurement_kpi_Analysis[[#This Row],[Quantity]]</f>
        <v>0.1015625</v>
      </c>
      <c r="O187" s="2">
        <f>(Procurement_kpi_Analysis[[#This Row],[Unit_Price]]-Procurement_kpi_Analysis[[#This Row],[Negotiated_Price]])*Procurement_kpi_Analysis[[#This Row],[Quantity]]</f>
        <v>3253.760000000002</v>
      </c>
      <c r="P187" s="2">
        <f>Procurement_kpi_Analysis[[#This Row],[Total Savings]]/Procurement_kpi_Analysis[[#This Row],[Total Spend]]</f>
        <v>0.15232502396931938</v>
      </c>
      <c r="Q187" s="2" t="str">
        <f>IF(Procurement_kpi_Analysis[[#This Row],[Lead Time]]&lt;=14,"On Time","Late")</f>
        <v>On Time</v>
      </c>
      <c r="R187" s="2">
        <f>Procurement_kpi_Analysis[[#This Row],[Unit_Price]]*Procurement_kpi_Analysis[[#This Row],[Quantity]]</f>
        <v>24614.400000000001</v>
      </c>
      <c r="S187" s="2">
        <f>IF(Procurement_kpi_Analysis[[#This Row],[Compliance]]="Yes",1,0)</f>
        <v>1</v>
      </c>
      <c r="T187" s="2">
        <f>IF(Procurement_kpi_Analysis[[#This Row],[Compliance]]="No",1,0)</f>
        <v>0</v>
      </c>
    </row>
    <row r="188" spans="1:20" x14ac:dyDescent="0.3">
      <c r="A188" t="s">
        <v>213</v>
      </c>
      <c r="B188" t="s">
        <v>17</v>
      </c>
      <c r="C188" s="1">
        <v>44876</v>
      </c>
      <c r="D188" s="1"/>
      <c r="E188" t="s">
        <v>21</v>
      </c>
      <c r="F188" t="s">
        <v>33</v>
      </c>
      <c r="G188">
        <v>1088</v>
      </c>
      <c r="H188">
        <v>55.29</v>
      </c>
      <c r="I188">
        <v>53.04</v>
      </c>
      <c r="J188">
        <v>161</v>
      </c>
      <c r="K188" t="s">
        <v>27</v>
      </c>
      <c r="L188">
        <f>Procurement_kpi_Analysis[[#This Row],[Quantity]]*Procurement_kpi_Analysis[[#This Row],[Negotiated_Price]]</f>
        <v>57707.519999999997</v>
      </c>
      <c r="M188" t="str">
        <f>IF(Procurement_kpi_Analysis[[#This Row],[Delivery_Date]]="","",Procurement_kpi_Analysis[[#This Row],[Delivery_Date]]-Procurement_kpi_Analysis[[#This Row],[Order_Date]])</f>
        <v/>
      </c>
      <c r="N188" s="2">
        <f>Procurement_kpi_Analysis[[#This Row],[Defective_Units]]/Procurement_kpi_Analysis[[#This Row],[Quantity]]</f>
        <v>0.14797794117647059</v>
      </c>
      <c r="O188" s="2">
        <f>(Procurement_kpi_Analysis[[#This Row],[Unit_Price]]-Procurement_kpi_Analysis[[#This Row],[Negotiated_Price]])*Procurement_kpi_Analysis[[#This Row],[Quantity]]</f>
        <v>2448</v>
      </c>
      <c r="P188" s="2">
        <f>Procurement_kpi_Analysis[[#This Row],[Total Savings]]/Procurement_kpi_Analysis[[#This Row],[Total Spend]]</f>
        <v>4.2420814479638011E-2</v>
      </c>
      <c r="Q188" s="2" t="str">
        <f>IF(Procurement_kpi_Analysis[[#This Row],[Lead Time]]&lt;=14,"On Time","Late")</f>
        <v>Late</v>
      </c>
      <c r="R188" s="2">
        <f>Procurement_kpi_Analysis[[#This Row],[Unit_Price]]*Procurement_kpi_Analysis[[#This Row],[Quantity]]</f>
        <v>60155.519999999997</v>
      </c>
      <c r="S188" s="2">
        <f>IF(Procurement_kpi_Analysis[[#This Row],[Compliance]]="Yes",1,0)</f>
        <v>0</v>
      </c>
      <c r="T188" s="2">
        <f>IF(Procurement_kpi_Analysis[[#This Row],[Compliance]]="No",1,0)</f>
        <v>1</v>
      </c>
    </row>
    <row r="189" spans="1:20" x14ac:dyDescent="0.3">
      <c r="A189" t="s">
        <v>214</v>
      </c>
      <c r="B189" t="s">
        <v>23</v>
      </c>
      <c r="C189" s="1">
        <v>44807</v>
      </c>
      <c r="D189" s="1">
        <v>44811</v>
      </c>
      <c r="E189" t="s">
        <v>13</v>
      </c>
      <c r="F189" t="s">
        <v>18</v>
      </c>
      <c r="G189">
        <v>1931</v>
      </c>
      <c r="H189">
        <v>72.88</v>
      </c>
      <c r="I189">
        <v>64.69</v>
      </c>
      <c r="J189">
        <v>187</v>
      </c>
      <c r="K189" t="s">
        <v>15</v>
      </c>
      <c r="L189">
        <f>Procurement_kpi_Analysis[[#This Row],[Quantity]]*Procurement_kpi_Analysis[[#This Row],[Negotiated_Price]]</f>
        <v>124916.39</v>
      </c>
      <c r="M189">
        <f>IF(Procurement_kpi_Analysis[[#This Row],[Delivery_Date]]="","",Procurement_kpi_Analysis[[#This Row],[Delivery_Date]]-Procurement_kpi_Analysis[[#This Row],[Order_Date]])</f>
        <v>4</v>
      </c>
      <c r="N189" s="2">
        <f>Procurement_kpi_Analysis[[#This Row],[Defective_Units]]/Procurement_kpi_Analysis[[#This Row],[Quantity]]</f>
        <v>9.6841015018125323E-2</v>
      </c>
      <c r="O189" s="2">
        <f>(Procurement_kpi_Analysis[[#This Row],[Unit_Price]]-Procurement_kpi_Analysis[[#This Row],[Negotiated_Price]])*Procurement_kpi_Analysis[[#This Row],[Quantity]]</f>
        <v>15814.889999999996</v>
      </c>
      <c r="P189" s="2">
        <f>Procurement_kpi_Analysis[[#This Row],[Total Savings]]/Procurement_kpi_Analysis[[#This Row],[Total Spend]]</f>
        <v>0.12660380275158445</v>
      </c>
      <c r="Q189" s="2" t="str">
        <f>IF(Procurement_kpi_Analysis[[#This Row],[Lead Time]]&lt;=14,"On Time","Late")</f>
        <v>On Time</v>
      </c>
      <c r="R189" s="2">
        <f>Procurement_kpi_Analysis[[#This Row],[Unit_Price]]*Procurement_kpi_Analysis[[#This Row],[Quantity]]</f>
        <v>140731.28</v>
      </c>
      <c r="S189" s="2">
        <f>IF(Procurement_kpi_Analysis[[#This Row],[Compliance]]="Yes",1,0)</f>
        <v>1</v>
      </c>
      <c r="T189" s="2">
        <f>IF(Procurement_kpi_Analysis[[#This Row],[Compliance]]="No",1,0)</f>
        <v>0</v>
      </c>
    </row>
    <row r="190" spans="1:20" x14ac:dyDescent="0.3">
      <c r="A190" t="s">
        <v>215</v>
      </c>
      <c r="B190" t="s">
        <v>20</v>
      </c>
      <c r="C190" s="1">
        <v>44621</v>
      </c>
      <c r="D190" s="1">
        <v>44631</v>
      </c>
      <c r="E190" t="s">
        <v>39</v>
      </c>
      <c r="F190" t="s">
        <v>18</v>
      </c>
      <c r="G190">
        <v>1627</v>
      </c>
      <c r="H190">
        <v>25.76</v>
      </c>
      <c r="I190">
        <v>25.09</v>
      </c>
      <c r="J190">
        <v>74</v>
      </c>
      <c r="K190" t="s">
        <v>15</v>
      </c>
      <c r="L190">
        <f>Procurement_kpi_Analysis[[#This Row],[Quantity]]*Procurement_kpi_Analysis[[#This Row],[Negotiated_Price]]</f>
        <v>40821.43</v>
      </c>
      <c r="M190">
        <f>IF(Procurement_kpi_Analysis[[#This Row],[Delivery_Date]]="","",Procurement_kpi_Analysis[[#This Row],[Delivery_Date]]-Procurement_kpi_Analysis[[#This Row],[Order_Date]])</f>
        <v>10</v>
      </c>
      <c r="N190" s="2">
        <f>Procurement_kpi_Analysis[[#This Row],[Defective_Units]]/Procurement_kpi_Analysis[[#This Row],[Quantity]]</f>
        <v>4.5482483097725873E-2</v>
      </c>
      <c r="O190" s="2">
        <f>(Procurement_kpi_Analysis[[#This Row],[Unit_Price]]-Procurement_kpi_Analysis[[#This Row],[Negotiated_Price]])*Procurement_kpi_Analysis[[#This Row],[Quantity]]</f>
        <v>1090.0900000000029</v>
      </c>
      <c r="P190" s="2">
        <f>Procurement_kpi_Analysis[[#This Row],[Total Savings]]/Procurement_kpi_Analysis[[#This Row],[Total Spend]]</f>
        <v>2.6703866082104493E-2</v>
      </c>
      <c r="Q190" s="2" t="str">
        <f>IF(Procurement_kpi_Analysis[[#This Row],[Lead Time]]&lt;=14,"On Time","Late")</f>
        <v>On Time</v>
      </c>
      <c r="R190" s="2">
        <f>Procurement_kpi_Analysis[[#This Row],[Unit_Price]]*Procurement_kpi_Analysis[[#This Row],[Quantity]]</f>
        <v>41911.520000000004</v>
      </c>
      <c r="S190" s="2">
        <f>IF(Procurement_kpi_Analysis[[#This Row],[Compliance]]="Yes",1,0)</f>
        <v>1</v>
      </c>
      <c r="T190" s="2">
        <f>IF(Procurement_kpi_Analysis[[#This Row],[Compliance]]="No",1,0)</f>
        <v>0</v>
      </c>
    </row>
    <row r="191" spans="1:20" x14ac:dyDescent="0.3">
      <c r="A191" t="s">
        <v>216</v>
      </c>
      <c r="B191" t="s">
        <v>23</v>
      </c>
      <c r="C191" s="1">
        <v>44808</v>
      </c>
      <c r="D191" s="1"/>
      <c r="E191" t="s">
        <v>24</v>
      </c>
      <c r="F191" t="s">
        <v>18</v>
      </c>
      <c r="G191">
        <v>941</v>
      </c>
      <c r="H191">
        <v>28.4</v>
      </c>
      <c r="I191">
        <v>27.21</v>
      </c>
      <c r="J191">
        <v>0</v>
      </c>
      <c r="K191" t="s">
        <v>27</v>
      </c>
      <c r="L191">
        <f>Procurement_kpi_Analysis[[#This Row],[Quantity]]*Procurement_kpi_Analysis[[#This Row],[Negotiated_Price]]</f>
        <v>25604.61</v>
      </c>
      <c r="M191" t="str">
        <f>IF(Procurement_kpi_Analysis[[#This Row],[Delivery_Date]]="","",Procurement_kpi_Analysis[[#This Row],[Delivery_Date]]-Procurement_kpi_Analysis[[#This Row],[Order_Date]])</f>
        <v/>
      </c>
      <c r="N191" s="2">
        <f>Procurement_kpi_Analysis[[#This Row],[Defective_Units]]/Procurement_kpi_Analysis[[#This Row],[Quantity]]</f>
        <v>0</v>
      </c>
      <c r="O191" s="2">
        <f>(Procurement_kpi_Analysis[[#This Row],[Unit_Price]]-Procurement_kpi_Analysis[[#This Row],[Negotiated_Price]])*Procurement_kpi_Analysis[[#This Row],[Quantity]]</f>
        <v>1119.7899999999979</v>
      </c>
      <c r="P191" s="2">
        <f>Procurement_kpi_Analysis[[#This Row],[Total Savings]]/Procurement_kpi_Analysis[[#This Row],[Total Spend]]</f>
        <v>4.3733921352443875E-2</v>
      </c>
      <c r="Q191" s="2" t="str">
        <f>IF(Procurement_kpi_Analysis[[#This Row],[Lead Time]]&lt;=14,"On Time","Late")</f>
        <v>Late</v>
      </c>
      <c r="R191" s="2">
        <f>Procurement_kpi_Analysis[[#This Row],[Unit_Price]]*Procurement_kpi_Analysis[[#This Row],[Quantity]]</f>
        <v>26724.399999999998</v>
      </c>
      <c r="S191" s="2">
        <f>IF(Procurement_kpi_Analysis[[#This Row],[Compliance]]="Yes",1,0)</f>
        <v>0</v>
      </c>
      <c r="T191" s="2">
        <f>IF(Procurement_kpi_Analysis[[#This Row],[Compliance]]="No",1,0)</f>
        <v>1</v>
      </c>
    </row>
    <row r="192" spans="1:20" x14ac:dyDescent="0.3">
      <c r="A192" t="s">
        <v>217</v>
      </c>
      <c r="B192" t="s">
        <v>20</v>
      </c>
      <c r="C192" s="1">
        <v>45142</v>
      </c>
      <c r="D192" s="1">
        <v>45144</v>
      </c>
      <c r="E192" t="s">
        <v>21</v>
      </c>
      <c r="F192" t="s">
        <v>18</v>
      </c>
      <c r="G192">
        <v>1534</v>
      </c>
      <c r="H192">
        <v>14.98</v>
      </c>
      <c r="I192">
        <v>12.79</v>
      </c>
      <c r="J192">
        <v>0</v>
      </c>
      <c r="K192" t="s">
        <v>15</v>
      </c>
      <c r="L192">
        <f>Procurement_kpi_Analysis[[#This Row],[Quantity]]*Procurement_kpi_Analysis[[#This Row],[Negotiated_Price]]</f>
        <v>19619.859999999997</v>
      </c>
      <c r="M192">
        <f>IF(Procurement_kpi_Analysis[[#This Row],[Delivery_Date]]="","",Procurement_kpi_Analysis[[#This Row],[Delivery_Date]]-Procurement_kpi_Analysis[[#This Row],[Order_Date]])</f>
        <v>2</v>
      </c>
      <c r="N192" s="2">
        <f>Procurement_kpi_Analysis[[#This Row],[Defective_Units]]/Procurement_kpi_Analysis[[#This Row],[Quantity]]</f>
        <v>0</v>
      </c>
      <c r="O192" s="2">
        <f>(Procurement_kpi_Analysis[[#This Row],[Unit_Price]]-Procurement_kpi_Analysis[[#This Row],[Negotiated_Price]])*Procurement_kpi_Analysis[[#This Row],[Quantity]]</f>
        <v>3359.4600000000019</v>
      </c>
      <c r="P192" s="2">
        <f>Procurement_kpi_Analysis[[#This Row],[Total Savings]]/Procurement_kpi_Analysis[[#This Row],[Total Spend]]</f>
        <v>0.1712275215011729</v>
      </c>
      <c r="Q192" s="2" t="str">
        <f>IF(Procurement_kpi_Analysis[[#This Row],[Lead Time]]&lt;=14,"On Time","Late")</f>
        <v>On Time</v>
      </c>
      <c r="R192" s="2">
        <f>Procurement_kpi_Analysis[[#This Row],[Unit_Price]]*Procurement_kpi_Analysis[[#This Row],[Quantity]]</f>
        <v>22979.32</v>
      </c>
      <c r="S192" s="2">
        <f>IF(Procurement_kpi_Analysis[[#This Row],[Compliance]]="Yes",1,0)</f>
        <v>1</v>
      </c>
      <c r="T192" s="2">
        <f>IF(Procurement_kpi_Analysis[[#This Row],[Compliance]]="No",1,0)</f>
        <v>0</v>
      </c>
    </row>
    <row r="193" spans="1:20" x14ac:dyDescent="0.3">
      <c r="A193" t="s">
        <v>218</v>
      </c>
      <c r="B193" t="s">
        <v>12</v>
      </c>
      <c r="C193" s="1">
        <v>44642</v>
      </c>
      <c r="D193" s="1">
        <v>44654</v>
      </c>
      <c r="E193" t="s">
        <v>26</v>
      </c>
      <c r="F193" t="s">
        <v>18</v>
      </c>
      <c r="G193">
        <v>1764</v>
      </c>
      <c r="H193">
        <v>25.46</v>
      </c>
      <c r="I193">
        <v>24.52</v>
      </c>
      <c r="J193">
        <v>46</v>
      </c>
      <c r="K193" t="s">
        <v>15</v>
      </c>
      <c r="L193">
        <f>Procurement_kpi_Analysis[[#This Row],[Quantity]]*Procurement_kpi_Analysis[[#This Row],[Negotiated_Price]]</f>
        <v>43253.279999999999</v>
      </c>
      <c r="M193">
        <f>IF(Procurement_kpi_Analysis[[#This Row],[Delivery_Date]]="","",Procurement_kpi_Analysis[[#This Row],[Delivery_Date]]-Procurement_kpi_Analysis[[#This Row],[Order_Date]])</f>
        <v>12</v>
      </c>
      <c r="N193" s="2">
        <f>Procurement_kpi_Analysis[[#This Row],[Defective_Units]]/Procurement_kpi_Analysis[[#This Row],[Quantity]]</f>
        <v>2.6077097505668934E-2</v>
      </c>
      <c r="O193" s="2">
        <f>(Procurement_kpi_Analysis[[#This Row],[Unit_Price]]-Procurement_kpi_Analysis[[#This Row],[Negotiated_Price]])*Procurement_kpi_Analysis[[#This Row],[Quantity]]</f>
        <v>1658.1600000000024</v>
      </c>
      <c r="P193" s="2">
        <f>Procurement_kpi_Analysis[[#This Row],[Total Savings]]/Procurement_kpi_Analysis[[#This Row],[Total Spend]]</f>
        <v>3.8336052202283907E-2</v>
      </c>
      <c r="Q193" s="2" t="str">
        <f>IF(Procurement_kpi_Analysis[[#This Row],[Lead Time]]&lt;=14,"On Time","Late")</f>
        <v>On Time</v>
      </c>
      <c r="R193" s="2">
        <f>Procurement_kpi_Analysis[[#This Row],[Unit_Price]]*Procurement_kpi_Analysis[[#This Row],[Quantity]]</f>
        <v>44911.44</v>
      </c>
      <c r="S193" s="2">
        <f>IF(Procurement_kpi_Analysis[[#This Row],[Compliance]]="Yes",1,0)</f>
        <v>1</v>
      </c>
      <c r="T193" s="2">
        <f>IF(Procurement_kpi_Analysis[[#This Row],[Compliance]]="No",1,0)</f>
        <v>0</v>
      </c>
    </row>
    <row r="194" spans="1:20" x14ac:dyDescent="0.3">
      <c r="A194" t="s">
        <v>219</v>
      </c>
      <c r="B194" t="s">
        <v>17</v>
      </c>
      <c r="C194" s="1">
        <v>44649</v>
      </c>
      <c r="D194" s="1">
        <v>44657</v>
      </c>
      <c r="E194" t="s">
        <v>39</v>
      </c>
      <c r="F194" t="s">
        <v>18</v>
      </c>
      <c r="G194">
        <v>1648</v>
      </c>
      <c r="H194">
        <v>35.42</v>
      </c>
      <c r="I194">
        <v>31.46</v>
      </c>
      <c r="J194">
        <v>0</v>
      </c>
      <c r="K194" t="s">
        <v>27</v>
      </c>
      <c r="L194">
        <f>Procurement_kpi_Analysis[[#This Row],[Quantity]]*Procurement_kpi_Analysis[[#This Row],[Negotiated_Price]]</f>
        <v>51846.080000000002</v>
      </c>
      <c r="M194">
        <f>IF(Procurement_kpi_Analysis[[#This Row],[Delivery_Date]]="","",Procurement_kpi_Analysis[[#This Row],[Delivery_Date]]-Procurement_kpi_Analysis[[#This Row],[Order_Date]])</f>
        <v>8</v>
      </c>
      <c r="N194" s="2">
        <f>Procurement_kpi_Analysis[[#This Row],[Defective_Units]]/Procurement_kpi_Analysis[[#This Row],[Quantity]]</f>
        <v>0</v>
      </c>
      <c r="O194" s="2">
        <f>(Procurement_kpi_Analysis[[#This Row],[Unit_Price]]-Procurement_kpi_Analysis[[#This Row],[Negotiated_Price]])*Procurement_kpi_Analysis[[#This Row],[Quantity]]</f>
        <v>6526.0800000000017</v>
      </c>
      <c r="P194" s="2">
        <f>Procurement_kpi_Analysis[[#This Row],[Total Savings]]/Procurement_kpi_Analysis[[#This Row],[Total Spend]]</f>
        <v>0.12587412587412591</v>
      </c>
      <c r="Q194" s="2" t="str">
        <f>IF(Procurement_kpi_Analysis[[#This Row],[Lead Time]]&lt;=14,"On Time","Late")</f>
        <v>On Time</v>
      </c>
      <c r="R194" s="2">
        <f>Procurement_kpi_Analysis[[#This Row],[Unit_Price]]*Procurement_kpi_Analysis[[#This Row],[Quantity]]</f>
        <v>58372.160000000003</v>
      </c>
      <c r="S194" s="2">
        <f>IF(Procurement_kpi_Analysis[[#This Row],[Compliance]]="Yes",1,0)</f>
        <v>0</v>
      </c>
      <c r="T194" s="2">
        <f>IF(Procurement_kpi_Analysis[[#This Row],[Compliance]]="No",1,0)</f>
        <v>1</v>
      </c>
    </row>
    <row r="195" spans="1:20" x14ac:dyDescent="0.3">
      <c r="A195" t="s">
        <v>220</v>
      </c>
      <c r="B195" t="s">
        <v>20</v>
      </c>
      <c r="C195" s="1">
        <v>45059</v>
      </c>
      <c r="D195" s="1">
        <v>45078</v>
      </c>
      <c r="E195" t="s">
        <v>24</v>
      </c>
      <c r="F195" t="s">
        <v>18</v>
      </c>
      <c r="G195">
        <v>913</v>
      </c>
      <c r="H195">
        <v>28.01</v>
      </c>
      <c r="I195">
        <v>24.06</v>
      </c>
      <c r="J195">
        <v>53</v>
      </c>
      <c r="K195" t="s">
        <v>15</v>
      </c>
      <c r="L195">
        <f>Procurement_kpi_Analysis[[#This Row],[Quantity]]*Procurement_kpi_Analysis[[#This Row],[Negotiated_Price]]</f>
        <v>21966.78</v>
      </c>
      <c r="M195">
        <f>IF(Procurement_kpi_Analysis[[#This Row],[Delivery_Date]]="","",Procurement_kpi_Analysis[[#This Row],[Delivery_Date]]-Procurement_kpi_Analysis[[#This Row],[Order_Date]])</f>
        <v>19</v>
      </c>
      <c r="N195" s="2">
        <f>Procurement_kpi_Analysis[[#This Row],[Defective_Units]]/Procurement_kpi_Analysis[[#This Row],[Quantity]]</f>
        <v>5.8050383351588172E-2</v>
      </c>
      <c r="O195" s="2">
        <f>(Procurement_kpi_Analysis[[#This Row],[Unit_Price]]-Procurement_kpi_Analysis[[#This Row],[Negotiated_Price]])*Procurement_kpi_Analysis[[#This Row],[Quantity]]</f>
        <v>3606.3500000000026</v>
      </c>
      <c r="P195" s="2">
        <f>Procurement_kpi_Analysis[[#This Row],[Total Savings]]/Procurement_kpi_Analysis[[#This Row],[Total Spend]]</f>
        <v>0.16417290108063187</v>
      </c>
      <c r="Q195" s="2" t="str">
        <f>IF(Procurement_kpi_Analysis[[#This Row],[Lead Time]]&lt;=14,"On Time","Late")</f>
        <v>Late</v>
      </c>
      <c r="R195" s="2">
        <f>Procurement_kpi_Analysis[[#This Row],[Unit_Price]]*Procurement_kpi_Analysis[[#This Row],[Quantity]]</f>
        <v>25573.13</v>
      </c>
      <c r="S195" s="2">
        <f>IF(Procurement_kpi_Analysis[[#This Row],[Compliance]]="Yes",1,0)</f>
        <v>1</v>
      </c>
      <c r="T195" s="2">
        <f>IF(Procurement_kpi_Analysis[[#This Row],[Compliance]]="No",1,0)</f>
        <v>0</v>
      </c>
    </row>
    <row r="196" spans="1:20" x14ac:dyDescent="0.3">
      <c r="A196" t="s">
        <v>221</v>
      </c>
      <c r="B196" t="s">
        <v>12</v>
      </c>
      <c r="C196" s="1">
        <v>44632</v>
      </c>
      <c r="D196" s="1">
        <v>44638</v>
      </c>
      <c r="E196" t="s">
        <v>24</v>
      </c>
      <c r="F196" t="s">
        <v>14</v>
      </c>
      <c r="G196">
        <v>792</v>
      </c>
      <c r="H196">
        <v>18.16</v>
      </c>
      <c r="I196">
        <v>17.25</v>
      </c>
      <c r="J196">
        <v>17</v>
      </c>
      <c r="K196" t="s">
        <v>15</v>
      </c>
      <c r="L196">
        <f>Procurement_kpi_Analysis[[#This Row],[Quantity]]*Procurement_kpi_Analysis[[#This Row],[Negotiated_Price]]</f>
        <v>13662</v>
      </c>
      <c r="M196">
        <f>IF(Procurement_kpi_Analysis[[#This Row],[Delivery_Date]]="","",Procurement_kpi_Analysis[[#This Row],[Delivery_Date]]-Procurement_kpi_Analysis[[#This Row],[Order_Date]])</f>
        <v>6</v>
      </c>
      <c r="N196" s="2">
        <f>Procurement_kpi_Analysis[[#This Row],[Defective_Units]]/Procurement_kpi_Analysis[[#This Row],[Quantity]]</f>
        <v>2.1464646464646464E-2</v>
      </c>
      <c r="O196" s="2">
        <f>(Procurement_kpi_Analysis[[#This Row],[Unit_Price]]-Procurement_kpi_Analysis[[#This Row],[Negotiated_Price]])*Procurement_kpi_Analysis[[#This Row],[Quantity]]</f>
        <v>720.72000000000014</v>
      </c>
      <c r="P196" s="2">
        <f>Procurement_kpi_Analysis[[#This Row],[Total Savings]]/Procurement_kpi_Analysis[[#This Row],[Total Spend]]</f>
        <v>5.2753623188405804E-2</v>
      </c>
      <c r="Q196" s="2" t="str">
        <f>IF(Procurement_kpi_Analysis[[#This Row],[Lead Time]]&lt;=14,"On Time","Late")</f>
        <v>On Time</v>
      </c>
      <c r="R196" s="2">
        <f>Procurement_kpi_Analysis[[#This Row],[Unit_Price]]*Procurement_kpi_Analysis[[#This Row],[Quantity]]</f>
        <v>14382.72</v>
      </c>
      <c r="S196" s="2">
        <f>IF(Procurement_kpi_Analysis[[#This Row],[Compliance]]="Yes",1,0)</f>
        <v>1</v>
      </c>
      <c r="T196" s="2">
        <f>IF(Procurement_kpi_Analysis[[#This Row],[Compliance]]="No",1,0)</f>
        <v>0</v>
      </c>
    </row>
    <row r="197" spans="1:20" x14ac:dyDescent="0.3">
      <c r="A197" t="s">
        <v>222</v>
      </c>
      <c r="B197" t="s">
        <v>29</v>
      </c>
      <c r="C197" s="1">
        <v>45107</v>
      </c>
      <c r="D197" s="1">
        <v>45110</v>
      </c>
      <c r="E197" t="s">
        <v>13</v>
      </c>
      <c r="F197" t="s">
        <v>33</v>
      </c>
      <c r="G197">
        <v>1314</v>
      </c>
      <c r="H197">
        <v>22.63</v>
      </c>
      <c r="I197">
        <v>21.06</v>
      </c>
      <c r="J197">
        <v>44</v>
      </c>
      <c r="K197" t="s">
        <v>15</v>
      </c>
      <c r="L197">
        <f>Procurement_kpi_Analysis[[#This Row],[Quantity]]*Procurement_kpi_Analysis[[#This Row],[Negotiated_Price]]</f>
        <v>27672.839999999997</v>
      </c>
      <c r="M197">
        <f>IF(Procurement_kpi_Analysis[[#This Row],[Delivery_Date]]="","",Procurement_kpi_Analysis[[#This Row],[Delivery_Date]]-Procurement_kpi_Analysis[[#This Row],[Order_Date]])</f>
        <v>3</v>
      </c>
      <c r="N197" s="2">
        <f>Procurement_kpi_Analysis[[#This Row],[Defective_Units]]/Procurement_kpi_Analysis[[#This Row],[Quantity]]</f>
        <v>3.3485540334855401E-2</v>
      </c>
      <c r="O197" s="2">
        <f>(Procurement_kpi_Analysis[[#This Row],[Unit_Price]]-Procurement_kpi_Analysis[[#This Row],[Negotiated_Price]])*Procurement_kpi_Analysis[[#This Row],[Quantity]]</f>
        <v>2062.9800000000005</v>
      </c>
      <c r="P197" s="2">
        <f>Procurement_kpi_Analysis[[#This Row],[Total Savings]]/Procurement_kpi_Analysis[[#This Row],[Total Spend]]</f>
        <v>7.4548907882241236E-2</v>
      </c>
      <c r="Q197" s="2" t="str">
        <f>IF(Procurement_kpi_Analysis[[#This Row],[Lead Time]]&lt;=14,"On Time","Late")</f>
        <v>On Time</v>
      </c>
      <c r="R197" s="2">
        <f>Procurement_kpi_Analysis[[#This Row],[Unit_Price]]*Procurement_kpi_Analysis[[#This Row],[Quantity]]</f>
        <v>29735.82</v>
      </c>
      <c r="S197" s="2">
        <f>IF(Procurement_kpi_Analysis[[#This Row],[Compliance]]="Yes",1,0)</f>
        <v>1</v>
      </c>
      <c r="T197" s="2">
        <f>IF(Procurement_kpi_Analysis[[#This Row],[Compliance]]="No",1,0)</f>
        <v>0</v>
      </c>
    </row>
    <row r="198" spans="1:20" x14ac:dyDescent="0.3">
      <c r="A198" t="s">
        <v>223</v>
      </c>
      <c r="B198" t="s">
        <v>23</v>
      </c>
      <c r="C198" s="1">
        <v>44690</v>
      </c>
      <c r="D198" s="1">
        <v>44703</v>
      </c>
      <c r="E198" t="s">
        <v>21</v>
      </c>
      <c r="F198" t="s">
        <v>18</v>
      </c>
      <c r="G198">
        <v>613</v>
      </c>
      <c r="H198">
        <v>52.5</v>
      </c>
      <c r="I198">
        <v>45.19</v>
      </c>
      <c r="J198">
        <v>70</v>
      </c>
      <c r="K198" t="s">
        <v>15</v>
      </c>
      <c r="L198">
        <f>Procurement_kpi_Analysis[[#This Row],[Quantity]]*Procurement_kpi_Analysis[[#This Row],[Negotiated_Price]]</f>
        <v>27701.469999999998</v>
      </c>
      <c r="M198">
        <f>IF(Procurement_kpi_Analysis[[#This Row],[Delivery_Date]]="","",Procurement_kpi_Analysis[[#This Row],[Delivery_Date]]-Procurement_kpi_Analysis[[#This Row],[Order_Date]])</f>
        <v>13</v>
      </c>
      <c r="N198" s="2">
        <f>Procurement_kpi_Analysis[[#This Row],[Defective_Units]]/Procurement_kpi_Analysis[[#This Row],[Quantity]]</f>
        <v>0.11419249592169657</v>
      </c>
      <c r="O198" s="2">
        <f>(Procurement_kpi_Analysis[[#This Row],[Unit_Price]]-Procurement_kpi_Analysis[[#This Row],[Negotiated_Price]])*Procurement_kpi_Analysis[[#This Row],[Quantity]]</f>
        <v>4481.0300000000016</v>
      </c>
      <c r="P198" s="2">
        <f>Procurement_kpi_Analysis[[#This Row],[Total Savings]]/Procurement_kpi_Analysis[[#This Row],[Total Spend]]</f>
        <v>0.1617614516485949</v>
      </c>
      <c r="Q198" s="2" t="str">
        <f>IF(Procurement_kpi_Analysis[[#This Row],[Lead Time]]&lt;=14,"On Time","Late")</f>
        <v>On Time</v>
      </c>
      <c r="R198" s="2">
        <f>Procurement_kpi_Analysis[[#This Row],[Unit_Price]]*Procurement_kpi_Analysis[[#This Row],[Quantity]]</f>
        <v>32182.5</v>
      </c>
      <c r="S198" s="2">
        <f>IF(Procurement_kpi_Analysis[[#This Row],[Compliance]]="Yes",1,0)</f>
        <v>1</v>
      </c>
      <c r="T198" s="2">
        <f>IF(Procurement_kpi_Analysis[[#This Row],[Compliance]]="No",1,0)</f>
        <v>0</v>
      </c>
    </row>
    <row r="199" spans="1:20" x14ac:dyDescent="0.3">
      <c r="A199" t="s">
        <v>224</v>
      </c>
      <c r="B199" t="s">
        <v>12</v>
      </c>
      <c r="C199" s="1">
        <v>44693</v>
      </c>
      <c r="D199" s="1">
        <v>44701</v>
      </c>
      <c r="E199" t="s">
        <v>13</v>
      </c>
      <c r="F199" t="s">
        <v>18</v>
      </c>
      <c r="G199">
        <v>1070</v>
      </c>
      <c r="H199">
        <v>29.14</v>
      </c>
      <c r="I199">
        <v>26.63</v>
      </c>
      <c r="J199">
        <v>24</v>
      </c>
      <c r="K199" t="s">
        <v>15</v>
      </c>
      <c r="L199">
        <f>Procurement_kpi_Analysis[[#This Row],[Quantity]]*Procurement_kpi_Analysis[[#This Row],[Negotiated_Price]]</f>
        <v>28494.1</v>
      </c>
      <c r="M199">
        <f>IF(Procurement_kpi_Analysis[[#This Row],[Delivery_Date]]="","",Procurement_kpi_Analysis[[#This Row],[Delivery_Date]]-Procurement_kpi_Analysis[[#This Row],[Order_Date]])</f>
        <v>8</v>
      </c>
      <c r="N199" s="2">
        <f>Procurement_kpi_Analysis[[#This Row],[Defective_Units]]/Procurement_kpi_Analysis[[#This Row],[Quantity]]</f>
        <v>2.2429906542056073E-2</v>
      </c>
      <c r="O199" s="2">
        <f>(Procurement_kpi_Analysis[[#This Row],[Unit_Price]]-Procurement_kpi_Analysis[[#This Row],[Negotiated_Price]])*Procurement_kpi_Analysis[[#This Row],[Quantity]]</f>
        <v>2685.7000000000016</v>
      </c>
      <c r="P199" s="2">
        <f>Procurement_kpi_Analysis[[#This Row],[Total Savings]]/Procurement_kpi_Analysis[[#This Row],[Total Spend]]</f>
        <v>9.4254600075103334E-2</v>
      </c>
      <c r="Q199" s="2" t="str">
        <f>IF(Procurement_kpi_Analysis[[#This Row],[Lead Time]]&lt;=14,"On Time","Late")</f>
        <v>On Time</v>
      </c>
      <c r="R199" s="2">
        <f>Procurement_kpi_Analysis[[#This Row],[Unit_Price]]*Procurement_kpi_Analysis[[#This Row],[Quantity]]</f>
        <v>31179.8</v>
      </c>
      <c r="S199" s="2">
        <f>IF(Procurement_kpi_Analysis[[#This Row],[Compliance]]="Yes",1,0)</f>
        <v>1</v>
      </c>
      <c r="T199" s="2">
        <f>IF(Procurement_kpi_Analysis[[#This Row],[Compliance]]="No",1,0)</f>
        <v>0</v>
      </c>
    </row>
    <row r="200" spans="1:20" x14ac:dyDescent="0.3">
      <c r="A200" t="s">
        <v>225</v>
      </c>
      <c r="B200" t="s">
        <v>20</v>
      </c>
      <c r="C200" s="1">
        <v>45237</v>
      </c>
      <c r="D200" s="1">
        <v>45256</v>
      </c>
      <c r="E200" t="s">
        <v>26</v>
      </c>
      <c r="F200" t="s">
        <v>33</v>
      </c>
      <c r="G200">
        <v>145</v>
      </c>
      <c r="H200">
        <v>47.49</v>
      </c>
      <c r="I200">
        <v>42.76</v>
      </c>
      <c r="J200">
        <v>6</v>
      </c>
      <c r="K200" t="s">
        <v>15</v>
      </c>
      <c r="L200">
        <f>Procurement_kpi_Analysis[[#This Row],[Quantity]]*Procurement_kpi_Analysis[[#This Row],[Negotiated_Price]]</f>
        <v>6200.2</v>
      </c>
      <c r="M200">
        <f>IF(Procurement_kpi_Analysis[[#This Row],[Delivery_Date]]="","",Procurement_kpi_Analysis[[#This Row],[Delivery_Date]]-Procurement_kpi_Analysis[[#This Row],[Order_Date]])</f>
        <v>19</v>
      </c>
      <c r="N200" s="2">
        <f>Procurement_kpi_Analysis[[#This Row],[Defective_Units]]/Procurement_kpi_Analysis[[#This Row],[Quantity]]</f>
        <v>4.1379310344827586E-2</v>
      </c>
      <c r="O200" s="2">
        <f>(Procurement_kpi_Analysis[[#This Row],[Unit_Price]]-Procurement_kpi_Analysis[[#This Row],[Negotiated_Price]])*Procurement_kpi_Analysis[[#This Row],[Quantity]]</f>
        <v>685.85000000000059</v>
      </c>
      <c r="P200" s="2">
        <f>Procurement_kpi_Analysis[[#This Row],[Total Savings]]/Procurement_kpi_Analysis[[#This Row],[Total Spend]]</f>
        <v>0.11061739943872788</v>
      </c>
      <c r="Q200" s="2" t="str">
        <f>IF(Procurement_kpi_Analysis[[#This Row],[Lead Time]]&lt;=14,"On Time","Late")</f>
        <v>Late</v>
      </c>
      <c r="R200" s="2">
        <f>Procurement_kpi_Analysis[[#This Row],[Unit_Price]]*Procurement_kpi_Analysis[[#This Row],[Quantity]]</f>
        <v>6886.05</v>
      </c>
      <c r="S200" s="2">
        <f>IF(Procurement_kpi_Analysis[[#This Row],[Compliance]]="Yes",1,0)</f>
        <v>1</v>
      </c>
      <c r="T200" s="2">
        <f>IF(Procurement_kpi_Analysis[[#This Row],[Compliance]]="No",1,0)</f>
        <v>0</v>
      </c>
    </row>
    <row r="201" spans="1:20" x14ac:dyDescent="0.3">
      <c r="A201" t="s">
        <v>226</v>
      </c>
      <c r="B201" t="s">
        <v>17</v>
      </c>
      <c r="C201" s="1">
        <v>45048</v>
      </c>
      <c r="D201" s="1">
        <v>45063</v>
      </c>
      <c r="E201" t="s">
        <v>26</v>
      </c>
      <c r="F201" t="s">
        <v>18</v>
      </c>
      <c r="G201">
        <v>1973</v>
      </c>
      <c r="H201">
        <v>59.73</v>
      </c>
      <c r="I201">
        <v>54.95</v>
      </c>
      <c r="J201">
        <v>291</v>
      </c>
      <c r="K201" t="s">
        <v>15</v>
      </c>
      <c r="L201">
        <f>Procurement_kpi_Analysis[[#This Row],[Quantity]]*Procurement_kpi_Analysis[[#This Row],[Negotiated_Price]]</f>
        <v>108416.35</v>
      </c>
      <c r="M201">
        <f>IF(Procurement_kpi_Analysis[[#This Row],[Delivery_Date]]="","",Procurement_kpi_Analysis[[#This Row],[Delivery_Date]]-Procurement_kpi_Analysis[[#This Row],[Order_Date]])</f>
        <v>15</v>
      </c>
      <c r="N201" s="2">
        <f>Procurement_kpi_Analysis[[#This Row],[Defective_Units]]/Procurement_kpi_Analysis[[#This Row],[Quantity]]</f>
        <v>0.14749113025848962</v>
      </c>
      <c r="O201" s="2">
        <f>(Procurement_kpi_Analysis[[#This Row],[Unit_Price]]-Procurement_kpi_Analysis[[#This Row],[Negotiated_Price]])*Procurement_kpi_Analysis[[#This Row],[Quantity]]</f>
        <v>9430.9399999999878</v>
      </c>
      <c r="P201" s="2">
        <f>Procurement_kpi_Analysis[[#This Row],[Total Savings]]/Procurement_kpi_Analysis[[#This Row],[Total Spend]]</f>
        <v>8.6988171064604075E-2</v>
      </c>
      <c r="Q201" s="2" t="str">
        <f>IF(Procurement_kpi_Analysis[[#This Row],[Lead Time]]&lt;=14,"On Time","Late")</f>
        <v>Late</v>
      </c>
      <c r="R201" s="2">
        <f>Procurement_kpi_Analysis[[#This Row],[Unit_Price]]*Procurement_kpi_Analysis[[#This Row],[Quantity]]</f>
        <v>117847.29</v>
      </c>
      <c r="S201" s="2">
        <f>IF(Procurement_kpi_Analysis[[#This Row],[Compliance]]="Yes",1,0)</f>
        <v>1</v>
      </c>
      <c r="T201" s="2">
        <f>IF(Procurement_kpi_Analysis[[#This Row],[Compliance]]="No",1,0)</f>
        <v>0</v>
      </c>
    </row>
    <row r="202" spans="1:20" x14ac:dyDescent="0.3">
      <c r="A202" t="s">
        <v>227</v>
      </c>
      <c r="B202" t="s">
        <v>29</v>
      </c>
      <c r="C202" s="1">
        <v>45124</v>
      </c>
      <c r="D202" s="1">
        <v>45139</v>
      </c>
      <c r="E202" t="s">
        <v>13</v>
      </c>
      <c r="F202" t="s">
        <v>18</v>
      </c>
      <c r="G202">
        <v>1807</v>
      </c>
      <c r="H202">
        <v>78.63</v>
      </c>
      <c r="I202">
        <v>73.08</v>
      </c>
      <c r="J202">
        <v>100</v>
      </c>
      <c r="K202" t="s">
        <v>15</v>
      </c>
      <c r="L202">
        <f>Procurement_kpi_Analysis[[#This Row],[Quantity]]*Procurement_kpi_Analysis[[#This Row],[Negotiated_Price]]</f>
        <v>132055.56</v>
      </c>
      <c r="M202">
        <f>IF(Procurement_kpi_Analysis[[#This Row],[Delivery_Date]]="","",Procurement_kpi_Analysis[[#This Row],[Delivery_Date]]-Procurement_kpi_Analysis[[#This Row],[Order_Date]])</f>
        <v>15</v>
      </c>
      <c r="N202" s="2">
        <f>Procurement_kpi_Analysis[[#This Row],[Defective_Units]]/Procurement_kpi_Analysis[[#This Row],[Quantity]]</f>
        <v>5.5340343110127282E-2</v>
      </c>
      <c r="O202" s="2">
        <f>(Procurement_kpi_Analysis[[#This Row],[Unit_Price]]-Procurement_kpi_Analysis[[#This Row],[Negotiated_Price]])*Procurement_kpi_Analysis[[#This Row],[Quantity]]</f>
        <v>10028.849999999995</v>
      </c>
      <c r="P202" s="2">
        <f>Procurement_kpi_Analysis[[#This Row],[Total Savings]]/Procurement_kpi_Analysis[[#This Row],[Total Spend]]</f>
        <v>7.5944170771756941E-2</v>
      </c>
      <c r="Q202" s="2" t="str">
        <f>IF(Procurement_kpi_Analysis[[#This Row],[Lead Time]]&lt;=14,"On Time","Late")</f>
        <v>Late</v>
      </c>
      <c r="R202" s="2">
        <f>Procurement_kpi_Analysis[[#This Row],[Unit_Price]]*Procurement_kpi_Analysis[[#This Row],[Quantity]]</f>
        <v>142084.41</v>
      </c>
      <c r="S202" s="2">
        <f>IF(Procurement_kpi_Analysis[[#This Row],[Compliance]]="Yes",1,0)</f>
        <v>1</v>
      </c>
      <c r="T202" s="2">
        <f>IF(Procurement_kpi_Analysis[[#This Row],[Compliance]]="No",1,0)</f>
        <v>0</v>
      </c>
    </row>
    <row r="203" spans="1:20" x14ac:dyDescent="0.3">
      <c r="A203" t="s">
        <v>228</v>
      </c>
      <c r="B203" t="s">
        <v>29</v>
      </c>
      <c r="C203" s="1">
        <v>44731</v>
      </c>
      <c r="D203" s="1">
        <v>44732</v>
      </c>
      <c r="E203" t="s">
        <v>39</v>
      </c>
      <c r="F203" t="s">
        <v>18</v>
      </c>
      <c r="G203">
        <v>534</v>
      </c>
      <c r="H203">
        <v>13.88</v>
      </c>
      <c r="I203">
        <v>12.51</v>
      </c>
      <c r="J203">
        <v>100</v>
      </c>
      <c r="K203" t="s">
        <v>15</v>
      </c>
      <c r="L203">
        <f>Procurement_kpi_Analysis[[#This Row],[Quantity]]*Procurement_kpi_Analysis[[#This Row],[Negotiated_Price]]</f>
        <v>6680.34</v>
      </c>
      <c r="M203">
        <f>IF(Procurement_kpi_Analysis[[#This Row],[Delivery_Date]]="","",Procurement_kpi_Analysis[[#This Row],[Delivery_Date]]-Procurement_kpi_Analysis[[#This Row],[Order_Date]])</f>
        <v>1</v>
      </c>
      <c r="N203" s="2">
        <f>Procurement_kpi_Analysis[[#This Row],[Defective_Units]]/Procurement_kpi_Analysis[[#This Row],[Quantity]]</f>
        <v>0.18726591760299627</v>
      </c>
      <c r="O203" s="2">
        <f>(Procurement_kpi_Analysis[[#This Row],[Unit_Price]]-Procurement_kpi_Analysis[[#This Row],[Negotiated_Price]])*Procurement_kpi_Analysis[[#This Row],[Quantity]]</f>
        <v>731.5800000000005</v>
      </c>
      <c r="P203" s="2">
        <f>Procurement_kpi_Analysis[[#This Row],[Total Savings]]/Procurement_kpi_Analysis[[#This Row],[Total Spend]]</f>
        <v>0.10951239008792973</v>
      </c>
      <c r="Q203" s="2" t="str">
        <f>IF(Procurement_kpi_Analysis[[#This Row],[Lead Time]]&lt;=14,"On Time","Late")</f>
        <v>On Time</v>
      </c>
      <c r="R203" s="2">
        <f>Procurement_kpi_Analysis[[#This Row],[Unit_Price]]*Procurement_kpi_Analysis[[#This Row],[Quantity]]</f>
        <v>7411.92</v>
      </c>
      <c r="S203" s="2">
        <f>IF(Procurement_kpi_Analysis[[#This Row],[Compliance]]="Yes",1,0)</f>
        <v>1</v>
      </c>
      <c r="T203" s="2">
        <f>IF(Procurement_kpi_Analysis[[#This Row],[Compliance]]="No",1,0)</f>
        <v>0</v>
      </c>
    </row>
    <row r="204" spans="1:20" x14ac:dyDescent="0.3">
      <c r="A204" t="s">
        <v>229</v>
      </c>
      <c r="B204" t="s">
        <v>12</v>
      </c>
      <c r="C204" s="1">
        <v>44833</v>
      </c>
      <c r="D204" s="1">
        <v>44848</v>
      </c>
      <c r="E204" t="s">
        <v>39</v>
      </c>
      <c r="F204" t="s">
        <v>18</v>
      </c>
      <c r="G204">
        <v>1480</v>
      </c>
      <c r="H204">
        <v>85.22</v>
      </c>
      <c r="I204">
        <v>75.48</v>
      </c>
      <c r="J204">
        <v>100</v>
      </c>
      <c r="K204" t="s">
        <v>15</v>
      </c>
      <c r="L204">
        <f>Procurement_kpi_Analysis[[#This Row],[Quantity]]*Procurement_kpi_Analysis[[#This Row],[Negotiated_Price]]</f>
        <v>111710.40000000001</v>
      </c>
      <c r="M204">
        <f>IF(Procurement_kpi_Analysis[[#This Row],[Delivery_Date]]="","",Procurement_kpi_Analysis[[#This Row],[Delivery_Date]]-Procurement_kpi_Analysis[[#This Row],[Order_Date]])</f>
        <v>15</v>
      </c>
      <c r="N204" s="2">
        <f>Procurement_kpi_Analysis[[#This Row],[Defective_Units]]/Procurement_kpi_Analysis[[#This Row],[Quantity]]</f>
        <v>6.7567567567567571E-2</v>
      </c>
      <c r="O204" s="2">
        <f>(Procurement_kpi_Analysis[[#This Row],[Unit_Price]]-Procurement_kpi_Analysis[[#This Row],[Negotiated_Price]])*Procurement_kpi_Analysis[[#This Row],[Quantity]]</f>
        <v>14415.199999999992</v>
      </c>
      <c r="P204" s="2">
        <f>Procurement_kpi_Analysis[[#This Row],[Total Savings]]/Procurement_kpi_Analysis[[#This Row],[Total Spend]]</f>
        <v>0.12904080551139366</v>
      </c>
      <c r="Q204" s="2" t="str">
        <f>IF(Procurement_kpi_Analysis[[#This Row],[Lead Time]]&lt;=14,"On Time","Late")</f>
        <v>Late</v>
      </c>
      <c r="R204" s="2">
        <f>Procurement_kpi_Analysis[[#This Row],[Unit_Price]]*Procurement_kpi_Analysis[[#This Row],[Quantity]]</f>
        <v>126125.59999999999</v>
      </c>
      <c r="S204" s="2">
        <f>IF(Procurement_kpi_Analysis[[#This Row],[Compliance]]="Yes",1,0)</f>
        <v>1</v>
      </c>
      <c r="T204" s="2">
        <f>IF(Procurement_kpi_Analysis[[#This Row],[Compliance]]="No",1,0)</f>
        <v>0</v>
      </c>
    </row>
    <row r="205" spans="1:20" x14ac:dyDescent="0.3">
      <c r="A205" t="s">
        <v>230</v>
      </c>
      <c r="B205" t="s">
        <v>12</v>
      </c>
      <c r="C205" s="1">
        <v>45102</v>
      </c>
      <c r="D205" s="1"/>
      <c r="E205" t="s">
        <v>13</v>
      </c>
      <c r="F205" t="s">
        <v>18</v>
      </c>
      <c r="G205">
        <v>280</v>
      </c>
      <c r="H205">
        <v>72.16</v>
      </c>
      <c r="I205">
        <v>62.38</v>
      </c>
      <c r="J205">
        <v>100</v>
      </c>
      <c r="K205" t="s">
        <v>15</v>
      </c>
      <c r="L205">
        <f>Procurement_kpi_Analysis[[#This Row],[Quantity]]*Procurement_kpi_Analysis[[#This Row],[Negotiated_Price]]</f>
        <v>17466.400000000001</v>
      </c>
      <c r="M205" t="str">
        <f>IF(Procurement_kpi_Analysis[[#This Row],[Delivery_Date]]="","",Procurement_kpi_Analysis[[#This Row],[Delivery_Date]]-Procurement_kpi_Analysis[[#This Row],[Order_Date]])</f>
        <v/>
      </c>
      <c r="N205" s="2">
        <f>Procurement_kpi_Analysis[[#This Row],[Defective_Units]]/Procurement_kpi_Analysis[[#This Row],[Quantity]]</f>
        <v>0.35714285714285715</v>
      </c>
      <c r="O205" s="2">
        <f>(Procurement_kpi_Analysis[[#This Row],[Unit_Price]]-Procurement_kpi_Analysis[[#This Row],[Negotiated_Price]])*Procurement_kpi_Analysis[[#This Row],[Quantity]]</f>
        <v>2738.3999999999983</v>
      </c>
      <c r="P205" s="2">
        <f>Procurement_kpi_Analysis[[#This Row],[Total Savings]]/Procurement_kpi_Analysis[[#This Row],[Total Spend]]</f>
        <v>0.15678101955755039</v>
      </c>
      <c r="Q205" s="2" t="str">
        <f>IF(Procurement_kpi_Analysis[[#This Row],[Lead Time]]&lt;=14,"On Time","Late")</f>
        <v>Late</v>
      </c>
      <c r="R205" s="2">
        <f>Procurement_kpi_Analysis[[#This Row],[Unit_Price]]*Procurement_kpi_Analysis[[#This Row],[Quantity]]</f>
        <v>20204.8</v>
      </c>
      <c r="S205" s="2">
        <f>IF(Procurement_kpi_Analysis[[#This Row],[Compliance]]="Yes",1,0)</f>
        <v>1</v>
      </c>
      <c r="T205" s="2">
        <f>IF(Procurement_kpi_Analysis[[#This Row],[Compliance]]="No",1,0)</f>
        <v>0</v>
      </c>
    </row>
    <row r="206" spans="1:20" x14ac:dyDescent="0.3">
      <c r="A206" t="s">
        <v>231</v>
      </c>
      <c r="B206" t="s">
        <v>23</v>
      </c>
      <c r="C206" s="1">
        <v>45183</v>
      </c>
      <c r="D206" s="1">
        <v>45189</v>
      </c>
      <c r="E206" t="s">
        <v>13</v>
      </c>
      <c r="F206" t="s">
        <v>14</v>
      </c>
      <c r="G206">
        <v>798</v>
      </c>
      <c r="H206">
        <v>19.09</v>
      </c>
      <c r="I206">
        <v>17.760000000000002</v>
      </c>
      <c r="J206">
        <v>100</v>
      </c>
      <c r="K206" t="s">
        <v>15</v>
      </c>
      <c r="L206">
        <f>Procurement_kpi_Analysis[[#This Row],[Quantity]]*Procurement_kpi_Analysis[[#This Row],[Negotiated_Price]]</f>
        <v>14172.480000000001</v>
      </c>
      <c r="M206">
        <f>IF(Procurement_kpi_Analysis[[#This Row],[Delivery_Date]]="","",Procurement_kpi_Analysis[[#This Row],[Delivery_Date]]-Procurement_kpi_Analysis[[#This Row],[Order_Date]])</f>
        <v>6</v>
      </c>
      <c r="N206" s="2">
        <f>Procurement_kpi_Analysis[[#This Row],[Defective_Units]]/Procurement_kpi_Analysis[[#This Row],[Quantity]]</f>
        <v>0.12531328320802004</v>
      </c>
      <c r="O206" s="2">
        <f>(Procurement_kpi_Analysis[[#This Row],[Unit_Price]]-Procurement_kpi_Analysis[[#This Row],[Negotiated_Price]])*Procurement_kpi_Analysis[[#This Row],[Quantity]]</f>
        <v>1061.3399999999986</v>
      </c>
      <c r="P206" s="2">
        <f>Procurement_kpi_Analysis[[#This Row],[Total Savings]]/Procurement_kpi_Analysis[[#This Row],[Total Spend]]</f>
        <v>7.4887387387387275E-2</v>
      </c>
      <c r="Q206" s="2" t="str">
        <f>IF(Procurement_kpi_Analysis[[#This Row],[Lead Time]]&lt;=14,"On Time","Late")</f>
        <v>On Time</v>
      </c>
      <c r="R206" s="2">
        <f>Procurement_kpi_Analysis[[#This Row],[Unit_Price]]*Procurement_kpi_Analysis[[#This Row],[Quantity]]</f>
        <v>15233.82</v>
      </c>
      <c r="S206" s="2">
        <f>IF(Procurement_kpi_Analysis[[#This Row],[Compliance]]="Yes",1,0)</f>
        <v>1</v>
      </c>
      <c r="T206" s="2">
        <f>IF(Procurement_kpi_Analysis[[#This Row],[Compliance]]="No",1,0)</f>
        <v>0</v>
      </c>
    </row>
    <row r="207" spans="1:20" x14ac:dyDescent="0.3">
      <c r="A207" t="s">
        <v>232</v>
      </c>
      <c r="B207" t="s">
        <v>29</v>
      </c>
      <c r="C207" s="1">
        <v>44995</v>
      </c>
      <c r="D207" s="1">
        <v>45007</v>
      </c>
      <c r="E207" t="s">
        <v>39</v>
      </c>
      <c r="F207" t="s">
        <v>18</v>
      </c>
      <c r="G207">
        <v>1728</v>
      </c>
      <c r="H207">
        <v>94.83</v>
      </c>
      <c r="I207">
        <v>90.2</v>
      </c>
      <c r="J207">
        <v>100</v>
      </c>
      <c r="K207" t="s">
        <v>15</v>
      </c>
      <c r="L207">
        <f>Procurement_kpi_Analysis[[#This Row],[Quantity]]*Procurement_kpi_Analysis[[#This Row],[Negotiated_Price]]</f>
        <v>155865.60000000001</v>
      </c>
      <c r="M207">
        <f>IF(Procurement_kpi_Analysis[[#This Row],[Delivery_Date]]="","",Procurement_kpi_Analysis[[#This Row],[Delivery_Date]]-Procurement_kpi_Analysis[[#This Row],[Order_Date]])</f>
        <v>12</v>
      </c>
      <c r="N207" s="2">
        <f>Procurement_kpi_Analysis[[#This Row],[Defective_Units]]/Procurement_kpi_Analysis[[#This Row],[Quantity]]</f>
        <v>5.7870370370370371E-2</v>
      </c>
      <c r="O207" s="2">
        <f>(Procurement_kpi_Analysis[[#This Row],[Unit_Price]]-Procurement_kpi_Analysis[[#This Row],[Negotiated_Price]])*Procurement_kpi_Analysis[[#This Row],[Quantity]]</f>
        <v>8000.6399999999921</v>
      </c>
      <c r="P207" s="2">
        <f>Procurement_kpi_Analysis[[#This Row],[Total Savings]]/Procurement_kpi_Analysis[[#This Row],[Total Spend]]</f>
        <v>5.1330376940132982E-2</v>
      </c>
      <c r="Q207" s="2" t="str">
        <f>IF(Procurement_kpi_Analysis[[#This Row],[Lead Time]]&lt;=14,"On Time","Late")</f>
        <v>On Time</v>
      </c>
      <c r="R207" s="2">
        <f>Procurement_kpi_Analysis[[#This Row],[Unit_Price]]*Procurement_kpi_Analysis[[#This Row],[Quantity]]</f>
        <v>163866.23999999999</v>
      </c>
      <c r="S207" s="2">
        <f>IF(Procurement_kpi_Analysis[[#This Row],[Compliance]]="Yes",1,0)</f>
        <v>1</v>
      </c>
      <c r="T207" s="2">
        <f>IF(Procurement_kpi_Analysis[[#This Row],[Compliance]]="No",1,0)</f>
        <v>0</v>
      </c>
    </row>
    <row r="208" spans="1:20" x14ac:dyDescent="0.3">
      <c r="A208" t="s">
        <v>233</v>
      </c>
      <c r="B208" t="s">
        <v>29</v>
      </c>
      <c r="C208" s="1">
        <v>44778</v>
      </c>
      <c r="D208" s="1"/>
      <c r="E208" t="s">
        <v>21</v>
      </c>
      <c r="F208" t="s">
        <v>18</v>
      </c>
      <c r="G208">
        <v>1244</v>
      </c>
      <c r="H208">
        <v>96.13</v>
      </c>
      <c r="I208">
        <v>84.78</v>
      </c>
      <c r="J208">
        <v>43</v>
      </c>
      <c r="K208" t="s">
        <v>15</v>
      </c>
      <c r="L208">
        <f>Procurement_kpi_Analysis[[#This Row],[Quantity]]*Procurement_kpi_Analysis[[#This Row],[Negotiated_Price]]</f>
        <v>105466.32</v>
      </c>
      <c r="M208" t="str">
        <f>IF(Procurement_kpi_Analysis[[#This Row],[Delivery_Date]]="","",Procurement_kpi_Analysis[[#This Row],[Delivery_Date]]-Procurement_kpi_Analysis[[#This Row],[Order_Date]])</f>
        <v/>
      </c>
      <c r="N208" s="2">
        <f>Procurement_kpi_Analysis[[#This Row],[Defective_Units]]/Procurement_kpi_Analysis[[#This Row],[Quantity]]</f>
        <v>3.4565916398713828E-2</v>
      </c>
      <c r="O208" s="2">
        <f>(Procurement_kpi_Analysis[[#This Row],[Unit_Price]]-Procurement_kpi_Analysis[[#This Row],[Negotiated_Price]])*Procurement_kpi_Analysis[[#This Row],[Quantity]]</f>
        <v>14119.399999999992</v>
      </c>
      <c r="P208" s="2">
        <f>Procurement_kpi_Analysis[[#This Row],[Total Savings]]/Procurement_kpi_Analysis[[#This Row],[Total Spend]]</f>
        <v>0.13387591413069111</v>
      </c>
      <c r="Q208" s="2" t="str">
        <f>IF(Procurement_kpi_Analysis[[#This Row],[Lead Time]]&lt;=14,"On Time","Late")</f>
        <v>Late</v>
      </c>
      <c r="R208" s="2">
        <f>Procurement_kpi_Analysis[[#This Row],[Unit_Price]]*Procurement_kpi_Analysis[[#This Row],[Quantity]]</f>
        <v>119585.72</v>
      </c>
      <c r="S208" s="2">
        <f>IF(Procurement_kpi_Analysis[[#This Row],[Compliance]]="Yes",1,0)</f>
        <v>1</v>
      </c>
      <c r="T208" s="2">
        <f>IF(Procurement_kpi_Analysis[[#This Row],[Compliance]]="No",1,0)</f>
        <v>0</v>
      </c>
    </row>
    <row r="209" spans="1:20" x14ac:dyDescent="0.3">
      <c r="A209" t="s">
        <v>234</v>
      </c>
      <c r="B209" t="s">
        <v>23</v>
      </c>
      <c r="C209" s="1">
        <v>45114</v>
      </c>
      <c r="D209" s="1">
        <v>45128</v>
      </c>
      <c r="E209" t="s">
        <v>13</v>
      </c>
      <c r="F209" t="s">
        <v>18</v>
      </c>
      <c r="G209">
        <v>590</v>
      </c>
      <c r="H209">
        <v>16.89</v>
      </c>
      <c r="I209">
        <v>15.56</v>
      </c>
      <c r="J209">
        <v>46</v>
      </c>
      <c r="K209" t="s">
        <v>27</v>
      </c>
      <c r="L209">
        <f>Procurement_kpi_Analysis[[#This Row],[Quantity]]*Procurement_kpi_Analysis[[#This Row],[Negotiated_Price]]</f>
        <v>9180.4</v>
      </c>
      <c r="M209">
        <f>IF(Procurement_kpi_Analysis[[#This Row],[Delivery_Date]]="","",Procurement_kpi_Analysis[[#This Row],[Delivery_Date]]-Procurement_kpi_Analysis[[#This Row],[Order_Date]])</f>
        <v>14</v>
      </c>
      <c r="N209" s="2">
        <f>Procurement_kpi_Analysis[[#This Row],[Defective_Units]]/Procurement_kpi_Analysis[[#This Row],[Quantity]]</f>
        <v>7.796610169491526E-2</v>
      </c>
      <c r="O209" s="2">
        <f>(Procurement_kpi_Analysis[[#This Row],[Unit_Price]]-Procurement_kpi_Analysis[[#This Row],[Negotiated_Price]])*Procurement_kpi_Analysis[[#This Row],[Quantity]]</f>
        <v>784.7</v>
      </c>
      <c r="P209" s="2">
        <f>Procurement_kpi_Analysis[[#This Row],[Total Savings]]/Procurement_kpi_Analysis[[#This Row],[Total Spend]]</f>
        <v>8.5475578406169678E-2</v>
      </c>
      <c r="Q209" s="2" t="str">
        <f>IF(Procurement_kpi_Analysis[[#This Row],[Lead Time]]&lt;=14,"On Time","Late")</f>
        <v>On Time</v>
      </c>
      <c r="R209" s="2">
        <f>Procurement_kpi_Analysis[[#This Row],[Unit_Price]]*Procurement_kpi_Analysis[[#This Row],[Quantity]]</f>
        <v>9965.1</v>
      </c>
      <c r="S209" s="2">
        <f>IF(Procurement_kpi_Analysis[[#This Row],[Compliance]]="Yes",1,0)</f>
        <v>0</v>
      </c>
      <c r="T209" s="2">
        <f>IF(Procurement_kpi_Analysis[[#This Row],[Compliance]]="No",1,0)</f>
        <v>1</v>
      </c>
    </row>
    <row r="210" spans="1:20" x14ac:dyDescent="0.3">
      <c r="A210" t="s">
        <v>235</v>
      </c>
      <c r="B210" t="s">
        <v>17</v>
      </c>
      <c r="C210" s="1">
        <v>45268</v>
      </c>
      <c r="D210" s="1">
        <v>45283</v>
      </c>
      <c r="E210" t="s">
        <v>24</v>
      </c>
      <c r="F210" t="s">
        <v>18</v>
      </c>
      <c r="G210">
        <v>1109</v>
      </c>
      <c r="H210">
        <v>38.93</v>
      </c>
      <c r="I210">
        <v>33.33</v>
      </c>
      <c r="J210">
        <v>152</v>
      </c>
      <c r="K210" t="s">
        <v>15</v>
      </c>
      <c r="L210">
        <f>Procurement_kpi_Analysis[[#This Row],[Quantity]]*Procurement_kpi_Analysis[[#This Row],[Negotiated_Price]]</f>
        <v>36962.97</v>
      </c>
      <c r="M210">
        <f>IF(Procurement_kpi_Analysis[[#This Row],[Delivery_Date]]="","",Procurement_kpi_Analysis[[#This Row],[Delivery_Date]]-Procurement_kpi_Analysis[[#This Row],[Order_Date]])</f>
        <v>15</v>
      </c>
      <c r="N210" s="2">
        <f>Procurement_kpi_Analysis[[#This Row],[Defective_Units]]/Procurement_kpi_Analysis[[#This Row],[Quantity]]</f>
        <v>0.13706041478809738</v>
      </c>
      <c r="O210" s="2">
        <f>(Procurement_kpi_Analysis[[#This Row],[Unit_Price]]-Procurement_kpi_Analysis[[#This Row],[Negotiated_Price]])*Procurement_kpi_Analysis[[#This Row],[Quantity]]</f>
        <v>6210.4000000000015</v>
      </c>
      <c r="P210" s="2">
        <f>Procurement_kpi_Analysis[[#This Row],[Total Savings]]/Procurement_kpi_Analysis[[#This Row],[Total Spend]]</f>
        <v>0.16801680168016805</v>
      </c>
      <c r="Q210" s="2" t="str">
        <f>IF(Procurement_kpi_Analysis[[#This Row],[Lead Time]]&lt;=14,"On Time","Late")</f>
        <v>Late</v>
      </c>
      <c r="R210" s="2">
        <f>Procurement_kpi_Analysis[[#This Row],[Unit_Price]]*Procurement_kpi_Analysis[[#This Row],[Quantity]]</f>
        <v>43173.37</v>
      </c>
      <c r="S210" s="2">
        <f>IF(Procurement_kpi_Analysis[[#This Row],[Compliance]]="Yes",1,0)</f>
        <v>1</v>
      </c>
      <c r="T210" s="2">
        <f>IF(Procurement_kpi_Analysis[[#This Row],[Compliance]]="No",1,0)</f>
        <v>0</v>
      </c>
    </row>
    <row r="211" spans="1:20" x14ac:dyDescent="0.3">
      <c r="A211" t="s">
        <v>236</v>
      </c>
      <c r="B211" t="s">
        <v>23</v>
      </c>
      <c r="C211" s="1">
        <v>44767</v>
      </c>
      <c r="D211" s="1">
        <v>44774</v>
      </c>
      <c r="E211" t="s">
        <v>21</v>
      </c>
      <c r="F211" t="s">
        <v>18</v>
      </c>
      <c r="G211">
        <v>574</v>
      </c>
      <c r="H211">
        <v>85.03</v>
      </c>
      <c r="I211">
        <v>82.55</v>
      </c>
      <c r="J211">
        <v>54</v>
      </c>
      <c r="K211" t="s">
        <v>15</v>
      </c>
      <c r="L211">
        <f>Procurement_kpi_Analysis[[#This Row],[Quantity]]*Procurement_kpi_Analysis[[#This Row],[Negotiated_Price]]</f>
        <v>47383.7</v>
      </c>
      <c r="M211">
        <f>IF(Procurement_kpi_Analysis[[#This Row],[Delivery_Date]]="","",Procurement_kpi_Analysis[[#This Row],[Delivery_Date]]-Procurement_kpi_Analysis[[#This Row],[Order_Date]])</f>
        <v>7</v>
      </c>
      <c r="N211" s="2">
        <f>Procurement_kpi_Analysis[[#This Row],[Defective_Units]]/Procurement_kpi_Analysis[[#This Row],[Quantity]]</f>
        <v>9.4076655052264813E-2</v>
      </c>
      <c r="O211" s="2">
        <f>(Procurement_kpi_Analysis[[#This Row],[Unit_Price]]-Procurement_kpi_Analysis[[#This Row],[Negotiated_Price]])*Procurement_kpi_Analysis[[#This Row],[Quantity]]</f>
        <v>1423.5200000000023</v>
      </c>
      <c r="P211" s="2">
        <f>Procurement_kpi_Analysis[[#This Row],[Total Savings]]/Procurement_kpi_Analysis[[#This Row],[Total Spend]]</f>
        <v>3.0042398546335603E-2</v>
      </c>
      <c r="Q211" s="2" t="str">
        <f>IF(Procurement_kpi_Analysis[[#This Row],[Lead Time]]&lt;=14,"On Time","Late")</f>
        <v>On Time</v>
      </c>
      <c r="R211" s="2">
        <f>Procurement_kpi_Analysis[[#This Row],[Unit_Price]]*Procurement_kpi_Analysis[[#This Row],[Quantity]]</f>
        <v>48807.22</v>
      </c>
      <c r="S211" s="2">
        <f>IF(Procurement_kpi_Analysis[[#This Row],[Compliance]]="Yes",1,0)</f>
        <v>1</v>
      </c>
      <c r="T211" s="2">
        <f>IF(Procurement_kpi_Analysis[[#This Row],[Compliance]]="No",1,0)</f>
        <v>0</v>
      </c>
    </row>
    <row r="212" spans="1:20" x14ac:dyDescent="0.3">
      <c r="A212" t="s">
        <v>237</v>
      </c>
      <c r="B212" t="s">
        <v>20</v>
      </c>
      <c r="C212" s="1">
        <v>45292</v>
      </c>
      <c r="D212" s="1"/>
      <c r="E212" t="s">
        <v>13</v>
      </c>
      <c r="F212" t="s">
        <v>18</v>
      </c>
      <c r="G212">
        <v>1233</v>
      </c>
      <c r="H212">
        <v>86.62</v>
      </c>
      <c r="I212">
        <v>76.59</v>
      </c>
      <c r="J212">
        <v>65</v>
      </c>
      <c r="K212" t="s">
        <v>15</v>
      </c>
      <c r="L212">
        <f>Procurement_kpi_Analysis[[#This Row],[Quantity]]*Procurement_kpi_Analysis[[#This Row],[Negotiated_Price]]</f>
        <v>94435.47</v>
      </c>
      <c r="M212" t="str">
        <f>IF(Procurement_kpi_Analysis[[#This Row],[Delivery_Date]]="","",Procurement_kpi_Analysis[[#This Row],[Delivery_Date]]-Procurement_kpi_Analysis[[#This Row],[Order_Date]])</f>
        <v/>
      </c>
      <c r="N212" s="2">
        <f>Procurement_kpi_Analysis[[#This Row],[Defective_Units]]/Procurement_kpi_Analysis[[#This Row],[Quantity]]</f>
        <v>5.2716950527169508E-2</v>
      </c>
      <c r="O212" s="2">
        <f>(Procurement_kpi_Analysis[[#This Row],[Unit_Price]]-Procurement_kpi_Analysis[[#This Row],[Negotiated_Price]])*Procurement_kpi_Analysis[[#This Row],[Quantity]]</f>
        <v>12366.990000000002</v>
      </c>
      <c r="P212" s="2">
        <f>Procurement_kpi_Analysis[[#This Row],[Total Savings]]/Procurement_kpi_Analysis[[#This Row],[Total Spend]]</f>
        <v>0.13095704400052227</v>
      </c>
      <c r="Q212" s="2" t="str">
        <f>IF(Procurement_kpi_Analysis[[#This Row],[Lead Time]]&lt;=14,"On Time","Late")</f>
        <v>Late</v>
      </c>
      <c r="R212" s="2">
        <f>Procurement_kpi_Analysis[[#This Row],[Unit_Price]]*Procurement_kpi_Analysis[[#This Row],[Quantity]]</f>
        <v>106802.46</v>
      </c>
      <c r="S212" s="2">
        <f>IF(Procurement_kpi_Analysis[[#This Row],[Compliance]]="Yes",1,0)</f>
        <v>1</v>
      </c>
      <c r="T212" s="2">
        <f>IF(Procurement_kpi_Analysis[[#This Row],[Compliance]]="No",1,0)</f>
        <v>0</v>
      </c>
    </row>
    <row r="213" spans="1:20" x14ac:dyDescent="0.3">
      <c r="A213" t="s">
        <v>238</v>
      </c>
      <c r="B213" t="s">
        <v>20</v>
      </c>
      <c r="C213" s="1">
        <v>44881</v>
      </c>
      <c r="D213" s="1">
        <v>44885</v>
      </c>
      <c r="E213" t="s">
        <v>24</v>
      </c>
      <c r="F213" t="s">
        <v>18</v>
      </c>
      <c r="G213">
        <v>1912</v>
      </c>
      <c r="H213">
        <v>27.94</v>
      </c>
      <c r="I213">
        <v>25.59</v>
      </c>
      <c r="J213">
        <v>83</v>
      </c>
      <c r="K213" t="s">
        <v>27</v>
      </c>
      <c r="L213">
        <f>Procurement_kpi_Analysis[[#This Row],[Quantity]]*Procurement_kpi_Analysis[[#This Row],[Negotiated_Price]]</f>
        <v>48928.08</v>
      </c>
      <c r="M213">
        <f>IF(Procurement_kpi_Analysis[[#This Row],[Delivery_Date]]="","",Procurement_kpi_Analysis[[#This Row],[Delivery_Date]]-Procurement_kpi_Analysis[[#This Row],[Order_Date]])</f>
        <v>4</v>
      </c>
      <c r="N213" s="2">
        <f>Procurement_kpi_Analysis[[#This Row],[Defective_Units]]/Procurement_kpi_Analysis[[#This Row],[Quantity]]</f>
        <v>4.3410041841004186E-2</v>
      </c>
      <c r="O213" s="2">
        <f>(Procurement_kpi_Analysis[[#This Row],[Unit_Price]]-Procurement_kpi_Analysis[[#This Row],[Negotiated_Price]])*Procurement_kpi_Analysis[[#This Row],[Quantity]]</f>
        <v>4493.2000000000025</v>
      </c>
      <c r="P213" s="2">
        <f>Procurement_kpi_Analysis[[#This Row],[Total Savings]]/Procurement_kpi_Analysis[[#This Row],[Total Spend]]</f>
        <v>9.18327471668621E-2</v>
      </c>
      <c r="Q213" s="2" t="str">
        <f>IF(Procurement_kpi_Analysis[[#This Row],[Lead Time]]&lt;=14,"On Time","Late")</f>
        <v>On Time</v>
      </c>
      <c r="R213" s="2">
        <f>Procurement_kpi_Analysis[[#This Row],[Unit_Price]]*Procurement_kpi_Analysis[[#This Row],[Quantity]]</f>
        <v>53421.279999999999</v>
      </c>
      <c r="S213" s="2">
        <f>IF(Procurement_kpi_Analysis[[#This Row],[Compliance]]="Yes",1,0)</f>
        <v>0</v>
      </c>
      <c r="T213" s="2">
        <f>IF(Procurement_kpi_Analysis[[#This Row],[Compliance]]="No",1,0)</f>
        <v>1</v>
      </c>
    </row>
    <row r="214" spans="1:20" x14ac:dyDescent="0.3">
      <c r="A214" t="s">
        <v>239</v>
      </c>
      <c r="B214" t="s">
        <v>12</v>
      </c>
      <c r="C214" s="1">
        <v>44970</v>
      </c>
      <c r="D214" s="1">
        <v>44989</v>
      </c>
      <c r="E214" t="s">
        <v>24</v>
      </c>
      <c r="F214" t="s">
        <v>18</v>
      </c>
      <c r="G214">
        <v>1772</v>
      </c>
      <c r="H214">
        <v>30.72</v>
      </c>
      <c r="I214">
        <v>27.76</v>
      </c>
      <c r="J214">
        <v>46</v>
      </c>
      <c r="K214" t="s">
        <v>27</v>
      </c>
      <c r="L214">
        <f>Procurement_kpi_Analysis[[#This Row],[Quantity]]*Procurement_kpi_Analysis[[#This Row],[Negotiated_Price]]</f>
        <v>49190.720000000001</v>
      </c>
      <c r="M214">
        <f>IF(Procurement_kpi_Analysis[[#This Row],[Delivery_Date]]="","",Procurement_kpi_Analysis[[#This Row],[Delivery_Date]]-Procurement_kpi_Analysis[[#This Row],[Order_Date]])</f>
        <v>19</v>
      </c>
      <c r="N214" s="2">
        <f>Procurement_kpi_Analysis[[#This Row],[Defective_Units]]/Procurement_kpi_Analysis[[#This Row],[Quantity]]</f>
        <v>2.5959367945823927E-2</v>
      </c>
      <c r="O214" s="2">
        <f>(Procurement_kpi_Analysis[[#This Row],[Unit_Price]]-Procurement_kpi_Analysis[[#This Row],[Negotiated_Price]])*Procurement_kpi_Analysis[[#This Row],[Quantity]]</f>
        <v>5245.1199999999953</v>
      </c>
      <c r="P214" s="2">
        <f>Procurement_kpi_Analysis[[#This Row],[Total Savings]]/Procurement_kpi_Analysis[[#This Row],[Total Spend]]</f>
        <v>0.10662824207492785</v>
      </c>
      <c r="Q214" s="2" t="str">
        <f>IF(Procurement_kpi_Analysis[[#This Row],[Lead Time]]&lt;=14,"On Time","Late")</f>
        <v>Late</v>
      </c>
      <c r="R214" s="2">
        <f>Procurement_kpi_Analysis[[#This Row],[Unit_Price]]*Procurement_kpi_Analysis[[#This Row],[Quantity]]</f>
        <v>54435.839999999997</v>
      </c>
      <c r="S214" s="2">
        <f>IF(Procurement_kpi_Analysis[[#This Row],[Compliance]]="Yes",1,0)</f>
        <v>0</v>
      </c>
      <c r="T214" s="2">
        <f>IF(Procurement_kpi_Analysis[[#This Row],[Compliance]]="No",1,0)</f>
        <v>1</v>
      </c>
    </row>
    <row r="215" spans="1:20" x14ac:dyDescent="0.3">
      <c r="A215" t="s">
        <v>240</v>
      </c>
      <c r="B215" t="s">
        <v>23</v>
      </c>
      <c r="C215" s="1">
        <v>45249</v>
      </c>
      <c r="D215" s="1">
        <v>45259</v>
      </c>
      <c r="E215" t="s">
        <v>13</v>
      </c>
      <c r="F215" t="s">
        <v>18</v>
      </c>
      <c r="G215">
        <v>1316</v>
      </c>
      <c r="H215">
        <v>48.11</v>
      </c>
      <c r="I215">
        <v>41.9</v>
      </c>
      <c r="J215">
        <v>135</v>
      </c>
      <c r="K215" t="s">
        <v>15</v>
      </c>
      <c r="L215">
        <f>Procurement_kpi_Analysis[[#This Row],[Quantity]]*Procurement_kpi_Analysis[[#This Row],[Negotiated_Price]]</f>
        <v>55140.4</v>
      </c>
      <c r="M215">
        <f>IF(Procurement_kpi_Analysis[[#This Row],[Delivery_Date]]="","",Procurement_kpi_Analysis[[#This Row],[Delivery_Date]]-Procurement_kpi_Analysis[[#This Row],[Order_Date]])</f>
        <v>10</v>
      </c>
      <c r="N215" s="2">
        <f>Procurement_kpi_Analysis[[#This Row],[Defective_Units]]/Procurement_kpi_Analysis[[#This Row],[Quantity]]</f>
        <v>0.10258358662613981</v>
      </c>
      <c r="O215" s="2">
        <f>(Procurement_kpi_Analysis[[#This Row],[Unit_Price]]-Procurement_kpi_Analysis[[#This Row],[Negotiated_Price]])*Procurement_kpi_Analysis[[#This Row],[Quantity]]</f>
        <v>8172.3600000000015</v>
      </c>
      <c r="P215" s="2">
        <f>Procurement_kpi_Analysis[[#This Row],[Total Savings]]/Procurement_kpi_Analysis[[#This Row],[Total Spend]]</f>
        <v>0.14821002386634846</v>
      </c>
      <c r="Q215" s="2" t="str">
        <f>IF(Procurement_kpi_Analysis[[#This Row],[Lead Time]]&lt;=14,"On Time","Late")</f>
        <v>On Time</v>
      </c>
      <c r="R215" s="2">
        <f>Procurement_kpi_Analysis[[#This Row],[Unit_Price]]*Procurement_kpi_Analysis[[#This Row],[Quantity]]</f>
        <v>63312.76</v>
      </c>
      <c r="S215" s="2">
        <f>IF(Procurement_kpi_Analysis[[#This Row],[Compliance]]="Yes",1,0)</f>
        <v>1</v>
      </c>
      <c r="T215" s="2">
        <f>IF(Procurement_kpi_Analysis[[#This Row],[Compliance]]="No",1,0)</f>
        <v>0</v>
      </c>
    </row>
    <row r="216" spans="1:20" x14ac:dyDescent="0.3">
      <c r="A216" t="s">
        <v>241</v>
      </c>
      <c r="B216" t="s">
        <v>23</v>
      </c>
      <c r="C216" s="1">
        <v>45227</v>
      </c>
      <c r="D216" s="1"/>
      <c r="E216" t="s">
        <v>13</v>
      </c>
      <c r="F216" t="s">
        <v>18</v>
      </c>
      <c r="G216">
        <v>1159</v>
      </c>
      <c r="H216">
        <v>59.24</v>
      </c>
      <c r="I216">
        <v>58.08</v>
      </c>
      <c r="J216">
        <v>0</v>
      </c>
      <c r="K216" t="s">
        <v>15</v>
      </c>
      <c r="L216">
        <f>Procurement_kpi_Analysis[[#This Row],[Quantity]]*Procurement_kpi_Analysis[[#This Row],[Negotiated_Price]]</f>
        <v>67314.720000000001</v>
      </c>
      <c r="M216" t="str">
        <f>IF(Procurement_kpi_Analysis[[#This Row],[Delivery_Date]]="","",Procurement_kpi_Analysis[[#This Row],[Delivery_Date]]-Procurement_kpi_Analysis[[#This Row],[Order_Date]])</f>
        <v/>
      </c>
      <c r="N216" s="2">
        <f>Procurement_kpi_Analysis[[#This Row],[Defective_Units]]/Procurement_kpi_Analysis[[#This Row],[Quantity]]</f>
        <v>0</v>
      </c>
      <c r="O216" s="2">
        <f>(Procurement_kpi_Analysis[[#This Row],[Unit_Price]]-Procurement_kpi_Analysis[[#This Row],[Negotiated_Price]])*Procurement_kpi_Analysis[[#This Row],[Quantity]]</f>
        <v>1344.4400000000044</v>
      </c>
      <c r="P216" s="2">
        <f>Procurement_kpi_Analysis[[#This Row],[Total Savings]]/Procurement_kpi_Analysis[[#This Row],[Total Spend]]</f>
        <v>1.9972451790633672E-2</v>
      </c>
      <c r="Q216" s="2" t="str">
        <f>IF(Procurement_kpi_Analysis[[#This Row],[Lead Time]]&lt;=14,"On Time","Late")</f>
        <v>Late</v>
      </c>
      <c r="R216" s="2">
        <f>Procurement_kpi_Analysis[[#This Row],[Unit_Price]]*Procurement_kpi_Analysis[[#This Row],[Quantity]]</f>
        <v>68659.16</v>
      </c>
      <c r="S216" s="2">
        <f>IF(Procurement_kpi_Analysis[[#This Row],[Compliance]]="Yes",1,0)</f>
        <v>1</v>
      </c>
      <c r="T216" s="2">
        <f>IF(Procurement_kpi_Analysis[[#This Row],[Compliance]]="No",1,0)</f>
        <v>0</v>
      </c>
    </row>
    <row r="217" spans="1:20" x14ac:dyDescent="0.3">
      <c r="A217" t="s">
        <v>242</v>
      </c>
      <c r="B217" t="s">
        <v>12</v>
      </c>
      <c r="C217" s="1">
        <v>44944</v>
      </c>
      <c r="D217" s="1">
        <v>44957</v>
      </c>
      <c r="E217" t="s">
        <v>13</v>
      </c>
      <c r="F217" t="s">
        <v>18</v>
      </c>
      <c r="G217">
        <v>1869</v>
      </c>
      <c r="H217">
        <v>69.58</v>
      </c>
      <c r="I217">
        <v>67.5</v>
      </c>
      <c r="J217">
        <v>31</v>
      </c>
      <c r="K217" t="s">
        <v>15</v>
      </c>
      <c r="L217">
        <f>Procurement_kpi_Analysis[[#This Row],[Quantity]]*Procurement_kpi_Analysis[[#This Row],[Negotiated_Price]]</f>
        <v>126157.5</v>
      </c>
      <c r="M217">
        <f>IF(Procurement_kpi_Analysis[[#This Row],[Delivery_Date]]="","",Procurement_kpi_Analysis[[#This Row],[Delivery_Date]]-Procurement_kpi_Analysis[[#This Row],[Order_Date]])</f>
        <v>13</v>
      </c>
      <c r="N217" s="2">
        <f>Procurement_kpi_Analysis[[#This Row],[Defective_Units]]/Procurement_kpi_Analysis[[#This Row],[Quantity]]</f>
        <v>1.6586409844836811E-2</v>
      </c>
      <c r="O217" s="2">
        <f>(Procurement_kpi_Analysis[[#This Row],[Unit_Price]]-Procurement_kpi_Analysis[[#This Row],[Negotiated_Price]])*Procurement_kpi_Analysis[[#This Row],[Quantity]]</f>
        <v>3887.5199999999968</v>
      </c>
      <c r="P217" s="2">
        <f>Procurement_kpi_Analysis[[#This Row],[Total Savings]]/Procurement_kpi_Analysis[[#This Row],[Total Spend]]</f>
        <v>3.0814814814814788E-2</v>
      </c>
      <c r="Q217" s="2" t="str">
        <f>IF(Procurement_kpi_Analysis[[#This Row],[Lead Time]]&lt;=14,"On Time","Late")</f>
        <v>On Time</v>
      </c>
      <c r="R217" s="2">
        <f>Procurement_kpi_Analysis[[#This Row],[Unit_Price]]*Procurement_kpi_Analysis[[#This Row],[Quantity]]</f>
        <v>130045.02</v>
      </c>
      <c r="S217" s="2">
        <f>IF(Procurement_kpi_Analysis[[#This Row],[Compliance]]="Yes",1,0)</f>
        <v>1</v>
      </c>
      <c r="T217" s="2">
        <f>IF(Procurement_kpi_Analysis[[#This Row],[Compliance]]="No",1,0)</f>
        <v>0</v>
      </c>
    </row>
    <row r="218" spans="1:20" x14ac:dyDescent="0.3">
      <c r="A218" t="s">
        <v>243</v>
      </c>
      <c r="B218" t="s">
        <v>17</v>
      </c>
      <c r="C218" s="1">
        <v>45010</v>
      </c>
      <c r="D218" s="1">
        <v>45029</v>
      </c>
      <c r="E218" t="s">
        <v>24</v>
      </c>
      <c r="F218" t="s">
        <v>18</v>
      </c>
      <c r="G218">
        <v>627</v>
      </c>
      <c r="H218">
        <v>46.23</v>
      </c>
      <c r="I218">
        <v>42.87</v>
      </c>
      <c r="J218">
        <v>0</v>
      </c>
      <c r="K218" t="s">
        <v>15</v>
      </c>
      <c r="L218">
        <f>Procurement_kpi_Analysis[[#This Row],[Quantity]]*Procurement_kpi_Analysis[[#This Row],[Negotiated_Price]]</f>
        <v>26879.489999999998</v>
      </c>
      <c r="M218">
        <f>IF(Procurement_kpi_Analysis[[#This Row],[Delivery_Date]]="","",Procurement_kpi_Analysis[[#This Row],[Delivery_Date]]-Procurement_kpi_Analysis[[#This Row],[Order_Date]])</f>
        <v>19</v>
      </c>
      <c r="N218" s="2">
        <f>Procurement_kpi_Analysis[[#This Row],[Defective_Units]]/Procurement_kpi_Analysis[[#This Row],[Quantity]]</f>
        <v>0</v>
      </c>
      <c r="O218" s="2">
        <f>(Procurement_kpi_Analysis[[#This Row],[Unit_Price]]-Procurement_kpi_Analysis[[#This Row],[Negotiated_Price]])*Procurement_kpi_Analysis[[#This Row],[Quantity]]</f>
        <v>2106.7199999999998</v>
      </c>
      <c r="P218" s="2">
        <f>Procurement_kpi_Analysis[[#This Row],[Total Savings]]/Procurement_kpi_Analysis[[#This Row],[Total Spend]]</f>
        <v>7.8376487053883837E-2</v>
      </c>
      <c r="Q218" s="2" t="str">
        <f>IF(Procurement_kpi_Analysis[[#This Row],[Lead Time]]&lt;=14,"On Time","Late")</f>
        <v>Late</v>
      </c>
      <c r="R218" s="2">
        <f>Procurement_kpi_Analysis[[#This Row],[Unit_Price]]*Procurement_kpi_Analysis[[#This Row],[Quantity]]</f>
        <v>28986.21</v>
      </c>
      <c r="S218" s="2">
        <f>IF(Procurement_kpi_Analysis[[#This Row],[Compliance]]="Yes",1,0)</f>
        <v>1</v>
      </c>
      <c r="T218" s="2">
        <f>IF(Procurement_kpi_Analysis[[#This Row],[Compliance]]="No",1,0)</f>
        <v>0</v>
      </c>
    </row>
    <row r="219" spans="1:20" x14ac:dyDescent="0.3">
      <c r="A219" t="s">
        <v>244</v>
      </c>
      <c r="B219" t="s">
        <v>23</v>
      </c>
      <c r="C219" s="1">
        <v>45091</v>
      </c>
      <c r="D219" s="1">
        <v>45093</v>
      </c>
      <c r="E219" t="s">
        <v>26</v>
      </c>
      <c r="F219" t="s">
        <v>35</v>
      </c>
      <c r="G219">
        <v>731</v>
      </c>
      <c r="H219">
        <v>56.02</v>
      </c>
      <c r="I219">
        <v>54.78</v>
      </c>
      <c r="J219">
        <v>70</v>
      </c>
      <c r="K219" t="s">
        <v>27</v>
      </c>
      <c r="L219">
        <f>Procurement_kpi_Analysis[[#This Row],[Quantity]]*Procurement_kpi_Analysis[[#This Row],[Negotiated_Price]]</f>
        <v>40044.18</v>
      </c>
      <c r="M219">
        <f>IF(Procurement_kpi_Analysis[[#This Row],[Delivery_Date]]="","",Procurement_kpi_Analysis[[#This Row],[Delivery_Date]]-Procurement_kpi_Analysis[[#This Row],[Order_Date]])</f>
        <v>2</v>
      </c>
      <c r="N219" s="2">
        <f>Procurement_kpi_Analysis[[#This Row],[Defective_Units]]/Procurement_kpi_Analysis[[#This Row],[Quantity]]</f>
        <v>9.575923392612859E-2</v>
      </c>
      <c r="O219" s="2">
        <f>(Procurement_kpi_Analysis[[#This Row],[Unit_Price]]-Procurement_kpi_Analysis[[#This Row],[Negotiated_Price]])*Procurement_kpi_Analysis[[#This Row],[Quantity]]</f>
        <v>906.44000000000142</v>
      </c>
      <c r="P219" s="2">
        <f>Procurement_kpi_Analysis[[#This Row],[Total Savings]]/Procurement_kpi_Analysis[[#This Row],[Total Spend]]</f>
        <v>2.2635998539613032E-2</v>
      </c>
      <c r="Q219" s="2" t="str">
        <f>IF(Procurement_kpi_Analysis[[#This Row],[Lead Time]]&lt;=14,"On Time","Late")</f>
        <v>On Time</v>
      </c>
      <c r="R219" s="2">
        <f>Procurement_kpi_Analysis[[#This Row],[Unit_Price]]*Procurement_kpi_Analysis[[#This Row],[Quantity]]</f>
        <v>40950.620000000003</v>
      </c>
      <c r="S219" s="2">
        <f>IF(Procurement_kpi_Analysis[[#This Row],[Compliance]]="Yes",1,0)</f>
        <v>0</v>
      </c>
      <c r="T219" s="2">
        <f>IF(Procurement_kpi_Analysis[[#This Row],[Compliance]]="No",1,0)</f>
        <v>1</v>
      </c>
    </row>
    <row r="220" spans="1:20" x14ac:dyDescent="0.3">
      <c r="A220" t="s">
        <v>245</v>
      </c>
      <c r="B220" t="s">
        <v>29</v>
      </c>
      <c r="C220" s="1">
        <v>45024</v>
      </c>
      <c r="D220" s="1"/>
      <c r="E220" t="s">
        <v>13</v>
      </c>
      <c r="F220" t="s">
        <v>14</v>
      </c>
      <c r="G220">
        <v>606</v>
      </c>
      <c r="H220">
        <v>83.07</v>
      </c>
      <c r="I220">
        <v>79.22</v>
      </c>
      <c r="J220">
        <v>16</v>
      </c>
      <c r="K220" t="s">
        <v>15</v>
      </c>
      <c r="L220">
        <f>Procurement_kpi_Analysis[[#This Row],[Quantity]]*Procurement_kpi_Analysis[[#This Row],[Negotiated_Price]]</f>
        <v>48007.32</v>
      </c>
      <c r="M220" t="str">
        <f>IF(Procurement_kpi_Analysis[[#This Row],[Delivery_Date]]="","",Procurement_kpi_Analysis[[#This Row],[Delivery_Date]]-Procurement_kpi_Analysis[[#This Row],[Order_Date]])</f>
        <v/>
      </c>
      <c r="N220" s="2">
        <f>Procurement_kpi_Analysis[[#This Row],[Defective_Units]]/Procurement_kpi_Analysis[[#This Row],[Quantity]]</f>
        <v>2.6402640264026403E-2</v>
      </c>
      <c r="O220" s="2">
        <f>(Procurement_kpi_Analysis[[#This Row],[Unit_Price]]-Procurement_kpi_Analysis[[#This Row],[Negotiated_Price]])*Procurement_kpi_Analysis[[#This Row],[Quantity]]</f>
        <v>2333.0999999999967</v>
      </c>
      <c r="P220" s="2">
        <f>Procurement_kpi_Analysis[[#This Row],[Total Savings]]/Procurement_kpi_Analysis[[#This Row],[Total Spend]]</f>
        <v>4.8598838677101672E-2</v>
      </c>
      <c r="Q220" s="2" t="str">
        <f>IF(Procurement_kpi_Analysis[[#This Row],[Lead Time]]&lt;=14,"On Time","Late")</f>
        <v>Late</v>
      </c>
      <c r="R220" s="2">
        <f>Procurement_kpi_Analysis[[#This Row],[Unit_Price]]*Procurement_kpi_Analysis[[#This Row],[Quantity]]</f>
        <v>50340.42</v>
      </c>
      <c r="S220" s="2">
        <f>IF(Procurement_kpi_Analysis[[#This Row],[Compliance]]="Yes",1,0)</f>
        <v>1</v>
      </c>
      <c r="T220" s="2">
        <f>IF(Procurement_kpi_Analysis[[#This Row],[Compliance]]="No",1,0)</f>
        <v>0</v>
      </c>
    </row>
    <row r="221" spans="1:20" x14ac:dyDescent="0.3">
      <c r="A221" t="s">
        <v>246</v>
      </c>
      <c r="B221" t="s">
        <v>23</v>
      </c>
      <c r="C221" s="1">
        <v>44685</v>
      </c>
      <c r="D221" s="1">
        <v>44695</v>
      </c>
      <c r="E221" t="s">
        <v>13</v>
      </c>
      <c r="F221" t="s">
        <v>18</v>
      </c>
      <c r="G221">
        <v>1647</v>
      </c>
      <c r="H221">
        <v>13.57</v>
      </c>
      <c r="I221">
        <v>12.33</v>
      </c>
      <c r="J221">
        <v>157</v>
      </c>
      <c r="K221" t="s">
        <v>15</v>
      </c>
      <c r="L221">
        <f>Procurement_kpi_Analysis[[#This Row],[Quantity]]*Procurement_kpi_Analysis[[#This Row],[Negotiated_Price]]</f>
        <v>20307.509999999998</v>
      </c>
      <c r="M221">
        <f>IF(Procurement_kpi_Analysis[[#This Row],[Delivery_Date]]="","",Procurement_kpi_Analysis[[#This Row],[Delivery_Date]]-Procurement_kpi_Analysis[[#This Row],[Order_Date]])</f>
        <v>10</v>
      </c>
      <c r="N221" s="2">
        <f>Procurement_kpi_Analysis[[#This Row],[Defective_Units]]/Procurement_kpi_Analysis[[#This Row],[Quantity]]</f>
        <v>9.532483302975106E-2</v>
      </c>
      <c r="O221" s="2">
        <f>(Procurement_kpi_Analysis[[#This Row],[Unit_Price]]-Procurement_kpi_Analysis[[#This Row],[Negotiated_Price]])*Procurement_kpi_Analysis[[#This Row],[Quantity]]</f>
        <v>2042.2800000000004</v>
      </c>
      <c r="P221" s="2">
        <f>Procurement_kpi_Analysis[[#This Row],[Total Savings]]/Procurement_kpi_Analysis[[#This Row],[Total Spend]]</f>
        <v>0.10056772100567724</v>
      </c>
      <c r="Q221" s="2" t="str">
        <f>IF(Procurement_kpi_Analysis[[#This Row],[Lead Time]]&lt;=14,"On Time","Late")</f>
        <v>On Time</v>
      </c>
      <c r="R221" s="2">
        <f>Procurement_kpi_Analysis[[#This Row],[Unit_Price]]*Procurement_kpi_Analysis[[#This Row],[Quantity]]</f>
        <v>22349.79</v>
      </c>
      <c r="S221" s="2">
        <f>IF(Procurement_kpi_Analysis[[#This Row],[Compliance]]="Yes",1,0)</f>
        <v>1</v>
      </c>
      <c r="T221" s="2">
        <f>IF(Procurement_kpi_Analysis[[#This Row],[Compliance]]="No",1,0)</f>
        <v>0</v>
      </c>
    </row>
    <row r="222" spans="1:20" x14ac:dyDescent="0.3">
      <c r="A222" t="s">
        <v>247</v>
      </c>
      <c r="B222" t="s">
        <v>17</v>
      </c>
      <c r="C222" s="1">
        <v>44815</v>
      </c>
      <c r="D222" s="1">
        <v>44823</v>
      </c>
      <c r="E222" t="s">
        <v>21</v>
      </c>
      <c r="F222" t="s">
        <v>18</v>
      </c>
      <c r="G222">
        <v>1062</v>
      </c>
      <c r="H222">
        <v>34.03</v>
      </c>
      <c r="I222">
        <v>30.46</v>
      </c>
      <c r="J222">
        <v>0</v>
      </c>
      <c r="K222" t="s">
        <v>15</v>
      </c>
      <c r="L222">
        <f>Procurement_kpi_Analysis[[#This Row],[Quantity]]*Procurement_kpi_Analysis[[#This Row],[Negotiated_Price]]</f>
        <v>32348.52</v>
      </c>
      <c r="M222">
        <f>IF(Procurement_kpi_Analysis[[#This Row],[Delivery_Date]]="","",Procurement_kpi_Analysis[[#This Row],[Delivery_Date]]-Procurement_kpi_Analysis[[#This Row],[Order_Date]])</f>
        <v>8</v>
      </c>
      <c r="N222" s="2">
        <f>Procurement_kpi_Analysis[[#This Row],[Defective_Units]]/Procurement_kpi_Analysis[[#This Row],[Quantity]]</f>
        <v>0</v>
      </c>
      <c r="O222" s="2">
        <f>(Procurement_kpi_Analysis[[#This Row],[Unit_Price]]-Procurement_kpi_Analysis[[#This Row],[Negotiated_Price]])*Procurement_kpi_Analysis[[#This Row],[Quantity]]</f>
        <v>3791.34</v>
      </c>
      <c r="P222" s="2">
        <f>Procurement_kpi_Analysis[[#This Row],[Total Savings]]/Procurement_kpi_Analysis[[#This Row],[Total Spend]]</f>
        <v>0.11720288903479974</v>
      </c>
      <c r="Q222" s="2" t="str">
        <f>IF(Procurement_kpi_Analysis[[#This Row],[Lead Time]]&lt;=14,"On Time","Late")</f>
        <v>On Time</v>
      </c>
      <c r="R222" s="2">
        <f>Procurement_kpi_Analysis[[#This Row],[Unit_Price]]*Procurement_kpi_Analysis[[#This Row],[Quantity]]</f>
        <v>36139.86</v>
      </c>
      <c r="S222" s="2">
        <f>IF(Procurement_kpi_Analysis[[#This Row],[Compliance]]="Yes",1,0)</f>
        <v>1</v>
      </c>
      <c r="T222" s="2">
        <f>IF(Procurement_kpi_Analysis[[#This Row],[Compliance]]="No",1,0)</f>
        <v>0</v>
      </c>
    </row>
    <row r="223" spans="1:20" x14ac:dyDescent="0.3">
      <c r="A223" t="s">
        <v>248</v>
      </c>
      <c r="B223" t="s">
        <v>23</v>
      </c>
      <c r="C223" s="1">
        <v>44792</v>
      </c>
      <c r="D223" s="1">
        <v>44804</v>
      </c>
      <c r="E223" t="s">
        <v>13</v>
      </c>
      <c r="F223" t="s">
        <v>18</v>
      </c>
      <c r="G223">
        <v>695</v>
      </c>
      <c r="H223">
        <v>76.8</v>
      </c>
      <c r="I223">
        <v>69.760000000000005</v>
      </c>
      <c r="J223">
        <v>0</v>
      </c>
      <c r="K223" t="s">
        <v>27</v>
      </c>
      <c r="L223">
        <f>Procurement_kpi_Analysis[[#This Row],[Quantity]]*Procurement_kpi_Analysis[[#This Row],[Negotiated_Price]]</f>
        <v>48483.200000000004</v>
      </c>
      <c r="M223">
        <f>IF(Procurement_kpi_Analysis[[#This Row],[Delivery_Date]]="","",Procurement_kpi_Analysis[[#This Row],[Delivery_Date]]-Procurement_kpi_Analysis[[#This Row],[Order_Date]])</f>
        <v>12</v>
      </c>
      <c r="N223" s="2">
        <f>Procurement_kpi_Analysis[[#This Row],[Defective_Units]]/Procurement_kpi_Analysis[[#This Row],[Quantity]]</f>
        <v>0</v>
      </c>
      <c r="O223" s="2">
        <f>(Procurement_kpi_Analysis[[#This Row],[Unit_Price]]-Procurement_kpi_Analysis[[#This Row],[Negotiated_Price]])*Procurement_kpi_Analysis[[#This Row],[Quantity]]</f>
        <v>4892.7999999999947</v>
      </c>
      <c r="P223" s="2">
        <f>Procurement_kpi_Analysis[[#This Row],[Total Savings]]/Procurement_kpi_Analysis[[#This Row],[Total Spend]]</f>
        <v>0.10091743119266043</v>
      </c>
      <c r="Q223" s="2" t="str">
        <f>IF(Procurement_kpi_Analysis[[#This Row],[Lead Time]]&lt;=14,"On Time","Late")</f>
        <v>On Time</v>
      </c>
      <c r="R223" s="2">
        <f>Procurement_kpi_Analysis[[#This Row],[Unit_Price]]*Procurement_kpi_Analysis[[#This Row],[Quantity]]</f>
        <v>53376</v>
      </c>
      <c r="S223" s="2">
        <f>IF(Procurement_kpi_Analysis[[#This Row],[Compliance]]="Yes",1,0)</f>
        <v>0</v>
      </c>
      <c r="T223" s="2">
        <f>IF(Procurement_kpi_Analysis[[#This Row],[Compliance]]="No",1,0)</f>
        <v>1</v>
      </c>
    </row>
    <row r="224" spans="1:20" x14ac:dyDescent="0.3">
      <c r="A224" t="s">
        <v>249</v>
      </c>
      <c r="B224" t="s">
        <v>29</v>
      </c>
      <c r="C224" s="1">
        <v>44627</v>
      </c>
      <c r="D224" s="1">
        <v>44634</v>
      </c>
      <c r="E224" t="s">
        <v>21</v>
      </c>
      <c r="F224" t="s">
        <v>18</v>
      </c>
      <c r="G224">
        <v>845</v>
      </c>
      <c r="H224">
        <v>91.47</v>
      </c>
      <c r="I224">
        <v>86.97</v>
      </c>
      <c r="J224">
        <v>0</v>
      </c>
      <c r="K224" t="s">
        <v>15</v>
      </c>
      <c r="L224">
        <f>Procurement_kpi_Analysis[[#This Row],[Quantity]]*Procurement_kpi_Analysis[[#This Row],[Negotiated_Price]]</f>
        <v>73489.649999999994</v>
      </c>
      <c r="M224">
        <f>IF(Procurement_kpi_Analysis[[#This Row],[Delivery_Date]]="","",Procurement_kpi_Analysis[[#This Row],[Delivery_Date]]-Procurement_kpi_Analysis[[#This Row],[Order_Date]])</f>
        <v>7</v>
      </c>
      <c r="N224" s="2">
        <f>Procurement_kpi_Analysis[[#This Row],[Defective_Units]]/Procurement_kpi_Analysis[[#This Row],[Quantity]]</f>
        <v>0</v>
      </c>
      <c r="O224" s="2">
        <f>(Procurement_kpi_Analysis[[#This Row],[Unit_Price]]-Procurement_kpi_Analysis[[#This Row],[Negotiated_Price]])*Procurement_kpi_Analysis[[#This Row],[Quantity]]</f>
        <v>3802.5</v>
      </c>
      <c r="P224" s="2">
        <f>Procurement_kpi_Analysis[[#This Row],[Total Savings]]/Procurement_kpi_Analysis[[#This Row],[Total Spend]]</f>
        <v>5.1741979993101074E-2</v>
      </c>
      <c r="Q224" s="2" t="str">
        <f>IF(Procurement_kpi_Analysis[[#This Row],[Lead Time]]&lt;=14,"On Time","Late")</f>
        <v>On Time</v>
      </c>
      <c r="R224" s="2">
        <f>Procurement_kpi_Analysis[[#This Row],[Unit_Price]]*Procurement_kpi_Analysis[[#This Row],[Quantity]]</f>
        <v>77292.149999999994</v>
      </c>
      <c r="S224" s="2">
        <f>IF(Procurement_kpi_Analysis[[#This Row],[Compliance]]="Yes",1,0)</f>
        <v>1</v>
      </c>
      <c r="T224" s="2">
        <f>IF(Procurement_kpi_Analysis[[#This Row],[Compliance]]="No",1,0)</f>
        <v>0</v>
      </c>
    </row>
    <row r="225" spans="1:20" x14ac:dyDescent="0.3">
      <c r="A225" t="s">
        <v>250</v>
      </c>
      <c r="B225" t="s">
        <v>20</v>
      </c>
      <c r="C225" s="1">
        <v>44908</v>
      </c>
      <c r="D225" s="1">
        <v>44913</v>
      </c>
      <c r="E225" t="s">
        <v>21</v>
      </c>
      <c r="F225" t="s">
        <v>18</v>
      </c>
      <c r="G225">
        <v>1101</v>
      </c>
      <c r="H225">
        <v>59.13</v>
      </c>
      <c r="I225">
        <v>52.51</v>
      </c>
      <c r="J225">
        <v>54</v>
      </c>
      <c r="K225" t="s">
        <v>15</v>
      </c>
      <c r="L225">
        <f>Procurement_kpi_Analysis[[#This Row],[Quantity]]*Procurement_kpi_Analysis[[#This Row],[Negotiated_Price]]</f>
        <v>57813.509999999995</v>
      </c>
      <c r="M225">
        <f>IF(Procurement_kpi_Analysis[[#This Row],[Delivery_Date]]="","",Procurement_kpi_Analysis[[#This Row],[Delivery_Date]]-Procurement_kpi_Analysis[[#This Row],[Order_Date]])</f>
        <v>5</v>
      </c>
      <c r="N225" s="2">
        <f>Procurement_kpi_Analysis[[#This Row],[Defective_Units]]/Procurement_kpi_Analysis[[#This Row],[Quantity]]</f>
        <v>4.9046321525885561E-2</v>
      </c>
      <c r="O225" s="2">
        <f>(Procurement_kpi_Analysis[[#This Row],[Unit_Price]]-Procurement_kpi_Analysis[[#This Row],[Negotiated_Price]])*Procurement_kpi_Analysis[[#This Row],[Quantity]]</f>
        <v>7288.6200000000053</v>
      </c>
      <c r="P225" s="2">
        <f>Procurement_kpi_Analysis[[#This Row],[Total Savings]]/Procurement_kpi_Analysis[[#This Row],[Total Spend]]</f>
        <v>0.12607122452866132</v>
      </c>
      <c r="Q225" s="2" t="str">
        <f>IF(Procurement_kpi_Analysis[[#This Row],[Lead Time]]&lt;=14,"On Time","Late")</f>
        <v>On Time</v>
      </c>
      <c r="R225" s="2">
        <f>Procurement_kpi_Analysis[[#This Row],[Unit_Price]]*Procurement_kpi_Analysis[[#This Row],[Quantity]]</f>
        <v>65102.130000000005</v>
      </c>
      <c r="S225" s="2">
        <f>IF(Procurement_kpi_Analysis[[#This Row],[Compliance]]="Yes",1,0)</f>
        <v>1</v>
      </c>
      <c r="T225" s="2">
        <f>IF(Procurement_kpi_Analysis[[#This Row],[Compliance]]="No",1,0)</f>
        <v>0</v>
      </c>
    </row>
    <row r="226" spans="1:20" x14ac:dyDescent="0.3">
      <c r="A226" t="s">
        <v>251</v>
      </c>
      <c r="B226" t="s">
        <v>20</v>
      </c>
      <c r="C226" s="1">
        <v>44583</v>
      </c>
      <c r="D226" s="1">
        <v>44585</v>
      </c>
      <c r="E226" t="s">
        <v>26</v>
      </c>
      <c r="F226" t="s">
        <v>18</v>
      </c>
      <c r="G226">
        <v>1693</v>
      </c>
      <c r="H226">
        <v>57.89</v>
      </c>
      <c r="I226">
        <v>49.84</v>
      </c>
      <c r="J226">
        <v>88</v>
      </c>
      <c r="K226" t="s">
        <v>15</v>
      </c>
      <c r="L226">
        <f>Procurement_kpi_Analysis[[#This Row],[Quantity]]*Procurement_kpi_Analysis[[#This Row],[Negotiated_Price]]</f>
        <v>84379.12000000001</v>
      </c>
      <c r="M226">
        <f>IF(Procurement_kpi_Analysis[[#This Row],[Delivery_Date]]="","",Procurement_kpi_Analysis[[#This Row],[Delivery_Date]]-Procurement_kpi_Analysis[[#This Row],[Order_Date]])</f>
        <v>2</v>
      </c>
      <c r="N226" s="2">
        <f>Procurement_kpi_Analysis[[#This Row],[Defective_Units]]/Procurement_kpi_Analysis[[#This Row],[Quantity]]</f>
        <v>5.1978735971647962E-2</v>
      </c>
      <c r="O226" s="2">
        <f>(Procurement_kpi_Analysis[[#This Row],[Unit_Price]]-Procurement_kpi_Analysis[[#This Row],[Negotiated_Price]])*Procurement_kpi_Analysis[[#This Row],[Quantity]]</f>
        <v>13628.649999999996</v>
      </c>
      <c r="P226" s="2">
        <f>Procurement_kpi_Analysis[[#This Row],[Total Savings]]/Procurement_kpi_Analysis[[#This Row],[Total Spend]]</f>
        <v>0.16151685393258419</v>
      </c>
      <c r="Q226" s="2" t="str">
        <f>IF(Procurement_kpi_Analysis[[#This Row],[Lead Time]]&lt;=14,"On Time","Late")</f>
        <v>On Time</v>
      </c>
      <c r="R226" s="2">
        <f>Procurement_kpi_Analysis[[#This Row],[Unit_Price]]*Procurement_kpi_Analysis[[#This Row],[Quantity]]</f>
        <v>98007.77</v>
      </c>
      <c r="S226" s="2">
        <f>IF(Procurement_kpi_Analysis[[#This Row],[Compliance]]="Yes",1,0)</f>
        <v>1</v>
      </c>
      <c r="T226" s="2">
        <f>IF(Procurement_kpi_Analysis[[#This Row],[Compliance]]="No",1,0)</f>
        <v>0</v>
      </c>
    </row>
    <row r="227" spans="1:20" x14ac:dyDescent="0.3">
      <c r="A227" t="s">
        <v>252</v>
      </c>
      <c r="B227" t="s">
        <v>17</v>
      </c>
      <c r="C227" s="1">
        <v>45164</v>
      </c>
      <c r="D227" s="1">
        <v>45179</v>
      </c>
      <c r="E227" t="s">
        <v>13</v>
      </c>
      <c r="F227" t="s">
        <v>14</v>
      </c>
      <c r="G227">
        <v>1629</v>
      </c>
      <c r="H227">
        <v>21.51</v>
      </c>
      <c r="I227">
        <v>19.41</v>
      </c>
      <c r="J227">
        <v>250</v>
      </c>
      <c r="K227" t="s">
        <v>27</v>
      </c>
      <c r="L227">
        <f>Procurement_kpi_Analysis[[#This Row],[Quantity]]*Procurement_kpi_Analysis[[#This Row],[Negotiated_Price]]</f>
        <v>31618.89</v>
      </c>
      <c r="M227">
        <f>IF(Procurement_kpi_Analysis[[#This Row],[Delivery_Date]]="","",Procurement_kpi_Analysis[[#This Row],[Delivery_Date]]-Procurement_kpi_Analysis[[#This Row],[Order_Date]])</f>
        <v>15</v>
      </c>
      <c r="N227" s="2">
        <f>Procurement_kpi_Analysis[[#This Row],[Defective_Units]]/Procurement_kpi_Analysis[[#This Row],[Quantity]]</f>
        <v>0.1534683855125844</v>
      </c>
      <c r="O227" s="2">
        <f>(Procurement_kpi_Analysis[[#This Row],[Unit_Price]]-Procurement_kpi_Analysis[[#This Row],[Negotiated_Price]])*Procurement_kpi_Analysis[[#This Row],[Quantity]]</f>
        <v>3420.9000000000024</v>
      </c>
      <c r="P227" s="2">
        <f>Procurement_kpi_Analysis[[#This Row],[Total Savings]]/Procurement_kpi_Analysis[[#This Row],[Total Spend]]</f>
        <v>0.10819165378670796</v>
      </c>
      <c r="Q227" s="2" t="str">
        <f>IF(Procurement_kpi_Analysis[[#This Row],[Lead Time]]&lt;=14,"On Time","Late")</f>
        <v>Late</v>
      </c>
      <c r="R227" s="2">
        <f>Procurement_kpi_Analysis[[#This Row],[Unit_Price]]*Procurement_kpi_Analysis[[#This Row],[Quantity]]</f>
        <v>35039.79</v>
      </c>
      <c r="S227" s="2">
        <f>IF(Procurement_kpi_Analysis[[#This Row],[Compliance]]="Yes",1,0)</f>
        <v>0</v>
      </c>
      <c r="T227" s="2">
        <f>IF(Procurement_kpi_Analysis[[#This Row],[Compliance]]="No",1,0)</f>
        <v>1</v>
      </c>
    </row>
    <row r="228" spans="1:20" x14ac:dyDescent="0.3">
      <c r="A228" t="s">
        <v>253</v>
      </c>
      <c r="B228" t="s">
        <v>17</v>
      </c>
      <c r="C228" s="1">
        <v>45129</v>
      </c>
      <c r="D228" s="1">
        <v>45141</v>
      </c>
      <c r="E228" t="s">
        <v>26</v>
      </c>
      <c r="F228" t="s">
        <v>18</v>
      </c>
      <c r="G228">
        <v>1413</v>
      </c>
      <c r="H228">
        <v>54.79</v>
      </c>
      <c r="I228">
        <v>50.42</v>
      </c>
      <c r="J228">
        <v>0</v>
      </c>
      <c r="K228" t="s">
        <v>15</v>
      </c>
      <c r="L228">
        <f>Procurement_kpi_Analysis[[#This Row],[Quantity]]*Procurement_kpi_Analysis[[#This Row],[Negotiated_Price]]</f>
        <v>71243.460000000006</v>
      </c>
      <c r="M228">
        <f>IF(Procurement_kpi_Analysis[[#This Row],[Delivery_Date]]="","",Procurement_kpi_Analysis[[#This Row],[Delivery_Date]]-Procurement_kpi_Analysis[[#This Row],[Order_Date]])</f>
        <v>12</v>
      </c>
      <c r="N228" s="2">
        <f>Procurement_kpi_Analysis[[#This Row],[Defective_Units]]/Procurement_kpi_Analysis[[#This Row],[Quantity]]</f>
        <v>0</v>
      </c>
      <c r="O228" s="2">
        <f>(Procurement_kpi_Analysis[[#This Row],[Unit_Price]]-Procurement_kpi_Analysis[[#This Row],[Negotiated_Price]])*Procurement_kpi_Analysis[[#This Row],[Quantity]]</f>
        <v>6174.8099999999968</v>
      </c>
      <c r="P228" s="2">
        <f>Procurement_kpi_Analysis[[#This Row],[Total Savings]]/Procurement_kpi_Analysis[[#This Row],[Total Spend]]</f>
        <v>8.6671955573185189E-2</v>
      </c>
      <c r="Q228" s="2" t="str">
        <f>IF(Procurement_kpi_Analysis[[#This Row],[Lead Time]]&lt;=14,"On Time","Late")</f>
        <v>On Time</v>
      </c>
      <c r="R228" s="2">
        <f>Procurement_kpi_Analysis[[#This Row],[Unit_Price]]*Procurement_kpi_Analysis[[#This Row],[Quantity]]</f>
        <v>77418.27</v>
      </c>
      <c r="S228" s="2">
        <f>IF(Procurement_kpi_Analysis[[#This Row],[Compliance]]="Yes",1,0)</f>
        <v>1</v>
      </c>
      <c r="T228" s="2">
        <f>IF(Procurement_kpi_Analysis[[#This Row],[Compliance]]="No",1,0)</f>
        <v>0</v>
      </c>
    </row>
    <row r="229" spans="1:20" x14ac:dyDescent="0.3">
      <c r="A229" t="s">
        <v>254</v>
      </c>
      <c r="B229" t="s">
        <v>29</v>
      </c>
      <c r="C229" s="1">
        <v>44797</v>
      </c>
      <c r="D229" s="1">
        <v>44800</v>
      </c>
      <c r="E229" t="s">
        <v>24</v>
      </c>
      <c r="F229" t="s">
        <v>18</v>
      </c>
      <c r="G229">
        <v>1871</v>
      </c>
      <c r="H229">
        <v>59.96</v>
      </c>
      <c r="I229">
        <v>58.54</v>
      </c>
      <c r="J229">
        <v>47</v>
      </c>
      <c r="K229" t="s">
        <v>15</v>
      </c>
      <c r="L229">
        <f>Procurement_kpi_Analysis[[#This Row],[Quantity]]*Procurement_kpi_Analysis[[#This Row],[Negotiated_Price]]</f>
        <v>109528.34</v>
      </c>
      <c r="M229">
        <f>IF(Procurement_kpi_Analysis[[#This Row],[Delivery_Date]]="","",Procurement_kpi_Analysis[[#This Row],[Delivery_Date]]-Procurement_kpi_Analysis[[#This Row],[Order_Date]])</f>
        <v>3</v>
      </c>
      <c r="N229" s="2">
        <f>Procurement_kpi_Analysis[[#This Row],[Defective_Units]]/Procurement_kpi_Analysis[[#This Row],[Quantity]]</f>
        <v>2.512025654730091E-2</v>
      </c>
      <c r="O229" s="2">
        <f>(Procurement_kpi_Analysis[[#This Row],[Unit_Price]]-Procurement_kpi_Analysis[[#This Row],[Negotiated_Price]])*Procurement_kpi_Analysis[[#This Row],[Quantity]]</f>
        <v>2656.8200000000033</v>
      </c>
      <c r="P229" s="2">
        <f>Procurement_kpi_Analysis[[#This Row],[Total Savings]]/Procurement_kpi_Analysis[[#This Row],[Total Spend]]</f>
        <v>2.4256918346429825E-2</v>
      </c>
      <c r="Q229" s="2" t="str">
        <f>IF(Procurement_kpi_Analysis[[#This Row],[Lead Time]]&lt;=14,"On Time","Late")</f>
        <v>On Time</v>
      </c>
      <c r="R229" s="2">
        <f>Procurement_kpi_Analysis[[#This Row],[Unit_Price]]*Procurement_kpi_Analysis[[#This Row],[Quantity]]</f>
        <v>112185.16</v>
      </c>
      <c r="S229" s="2">
        <f>IF(Procurement_kpi_Analysis[[#This Row],[Compliance]]="Yes",1,0)</f>
        <v>1</v>
      </c>
      <c r="T229" s="2">
        <f>IF(Procurement_kpi_Analysis[[#This Row],[Compliance]]="No",1,0)</f>
        <v>0</v>
      </c>
    </row>
    <row r="230" spans="1:20" x14ac:dyDescent="0.3">
      <c r="A230" t="s">
        <v>255</v>
      </c>
      <c r="B230" t="s">
        <v>20</v>
      </c>
      <c r="C230" s="1">
        <v>45164</v>
      </c>
      <c r="D230" s="1"/>
      <c r="E230" t="s">
        <v>26</v>
      </c>
      <c r="F230" t="s">
        <v>18</v>
      </c>
      <c r="G230">
        <v>1404</v>
      </c>
      <c r="H230">
        <v>34.85</v>
      </c>
      <c r="I230">
        <v>30.5</v>
      </c>
      <c r="J230">
        <v>78</v>
      </c>
      <c r="K230" t="s">
        <v>15</v>
      </c>
      <c r="L230">
        <f>Procurement_kpi_Analysis[[#This Row],[Quantity]]*Procurement_kpi_Analysis[[#This Row],[Negotiated_Price]]</f>
        <v>42822</v>
      </c>
      <c r="M230" t="str">
        <f>IF(Procurement_kpi_Analysis[[#This Row],[Delivery_Date]]="","",Procurement_kpi_Analysis[[#This Row],[Delivery_Date]]-Procurement_kpi_Analysis[[#This Row],[Order_Date]])</f>
        <v/>
      </c>
      <c r="N230" s="2">
        <f>Procurement_kpi_Analysis[[#This Row],[Defective_Units]]/Procurement_kpi_Analysis[[#This Row],[Quantity]]</f>
        <v>5.5555555555555552E-2</v>
      </c>
      <c r="O230" s="2">
        <f>(Procurement_kpi_Analysis[[#This Row],[Unit_Price]]-Procurement_kpi_Analysis[[#This Row],[Negotiated_Price]])*Procurement_kpi_Analysis[[#This Row],[Quantity]]</f>
        <v>6107.4000000000024</v>
      </c>
      <c r="P230" s="2">
        <f>Procurement_kpi_Analysis[[#This Row],[Total Savings]]/Procurement_kpi_Analysis[[#This Row],[Total Spend]]</f>
        <v>0.14262295081967219</v>
      </c>
      <c r="Q230" s="2" t="str">
        <f>IF(Procurement_kpi_Analysis[[#This Row],[Lead Time]]&lt;=14,"On Time","Late")</f>
        <v>Late</v>
      </c>
      <c r="R230" s="2">
        <f>Procurement_kpi_Analysis[[#This Row],[Unit_Price]]*Procurement_kpi_Analysis[[#This Row],[Quantity]]</f>
        <v>48929.4</v>
      </c>
      <c r="S230" s="2">
        <f>IF(Procurement_kpi_Analysis[[#This Row],[Compliance]]="Yes",1,0)</f>
        <v>1</v>
      </c>
      <c r="T230" s="2">
        <f>IF(Procurement_kpi_Analysis[[#This Row],[Compliance]]="No",1,0)</f>
        <v>0</v>
      </c>
    </row>
    <row r="231" spans="1:20" x14ac:dyDescent="0.3">
      <c r="A231" t="s">
        <v>256</v>
      </c>
      <c r="B231" t="s">
        <v>20</v>
      </c>
      <c r="C231" s="1">
        <v>44787</v>
      </c>
      <c r="D231" s="1">
        <v>44801</v>
      </c>
      <c r="E231" t="s">
        <v>39</v>
      </c>
      <c r="F231" t="s">
        <v>18</v>
      </c>
      <c r="G231">
        <v>1713</v>
      </c>
      <c r="H231">
        <v>35.43</v>
      </c>
      <c r="I231">
        <v>34.11</v>
      </c>
      <c r="J231">
        <v>74</v>
      </c>
      <c r="K231" t="s">
        <v>15</v>
      </c>
      <c r="L231">
        <f>Procurement_kpi_Analysis[[#This Row],[Quantity]]*Procurement_kpi_Analysis[[#This Row],[Negotiated_Price]]</f>
        <v>58430.43</v>
      </c>
      <c r="M231">
        <f>IF(Procurement_kpi_Analysis[[#This Row],[Delivery_Date]]="","",Procurement_kpi_Analysis[[#This Row],[Delivery_Date]]-Procurement_kpi_Analysis[[#This Row],[Order_Date]])</f>
        <v>14</v>
      </c>
      <c r="N231" s="2">
        <f>Procurement_kpi_Analysis[[#This Row],[Defective_Units]]/Procurement_kpi_Analysis[[#This Row],[Quantity]]</f>
        <v>4.3199065966141273E-2</v>
      </c>
      <c r="O231" s="2">
        <f>(Procurement_kpi_Analysis[[#This Row],[Unit_Price]]-Procurement_kpi_Analysis[[#This Row],[Negotiated_Price]])*Procurement_kpi_Analysis[[#This Row],[Quantity]]</f>
        <v>2261.1600000000003</v>
      </c>
      <c r="P231" s="2">
        <f>Procurement_kpi_Analysis[[#This Row],[Total Savings]]/Procurement_kpi_Analysis[[#This Row],[Total Spend]]</f>
        <v>3.8698328935795959E-2</v>
      </c>
      <c r="Q231" s="2" t="str">
        <f>IF(Procurement_kpi_Analysis[[#This Row],[Lead Time]]&lt;=14,"On Time","Late")</f>
        <v>On Time</v>
      </c>
      <c r="R231" s="2">
        <f>Procurement_kpi_Analysis[[#This Row],[Unit_Price]]*Procurement_kpi_Analysis[[#This Row],[Quantity]]</f>
        <v>60691.59</v>
      </c>
      <c r="S231" s="2">
        <f>IF(Procurement_kpi_Analysis[[#This Row],[Compliance]]="Yes",1,0)</f>
        <v>1</v>
      </c>
      <c r="T231" s="2">
        <f>IF(Procurement_kpi_Analysis[[#This Row],[Compliance]]="No",1,0)</f>
        <v>0</v>
      </c>
    </row>
    <row r="232" spans="1:20" x14ac:dyDescent="0.3">
      <c r="A232" t="s">
        <v>257</v>
      </c>
      <c r="B232" t="s">
        <v>20</v>
      </c>
      <c r="C232" s="1">
        <v>44569</v>
      </c>
      <c r="D232" s="1">
        <v>44574</v>
      </c>
      <c r="E232" t="s">
        <v>39</v>
      </c>
      <c r="F232" t="s">
        <v>18</v>
      </c>
      <c r="G232">
        <v>1579</v>
      </c>
      <c r="H232">
        <v>43.96</v>
      </c>
      <c r="I232">
        <v>43.41</v>
      </c>
      <c r="J232">
        <v>74</v>
      </c>
      <c r="K232" t="s">
        <v>15</v>
      </c>
      <c r="L232">
        <f>Procurement_kpi_Analysis[[#This Row],[Quantity]]*Procurement_kpi_Analysis[[#This Row],[Negotiated_Price]]</f>
        <v>68544.39</v>
      </c>
      <c r="M232">
        <f>IF(Procurement_kpi_Analysis[[#This Row],[Delivery_Date]]="","",Procurement_kpi_Analysis[[#This Row],[Delivery_Date]]-Procurement_kpi_Analysis[[#This Row],[Order_Date]])</f>
        <v>5</v>
      </c>
      <c r="N232" s="2">
        <f>Procurement_kpi_Analysis[[#This Row],[Defective_Units]]/Procurement_kpi_Analysis[[#This Row],[Quantity]]</f>
        <v>4.6865104496516784E-2</v>
      </c>
      <c r="O232" s="2">
        <f>(Procurement_kpi_Analysis[[#This Row],[Unit_Price]]-Procurement_kpi_Analysis[[#This Row],[Negotiated_Price]])*Procurement_kpi_Analysis[[#This Row],[Quantity]]</f>
        <v>868.45000000000675</v>
      </c>
      <c r="P232" s="2">
        <f>Procurement_kpi_Analysis[[#This Row],[Total Savings]]/Procurement_kpi_Analysis[[#This Row],[Total Spend]]</f>
        <v>1.2669891730016224E-2</v>
      </c>
      <c r="Q232" s="2" t="str">
        <f>IF(Procurement_kpi_Analysis[[#This Row],[Lead Time]]&lt;=14,"On Time","Late")</f>
        <v>On Time</v>
      </c>
      <c r="R232" s="2">
        <f>Procurement_kpi_Analysis[[#This Row],[Unit_Price]]*Procurement_kpi_Analysis[[#This Row],[Quantity]]</f>
        <v>69412.84</v>
      </c>
      <c r="S232" s="2">
        <f>IF(Procurement_kpi_Analysis[[#This Row],[Compliance]]="Yes",1,0)</f>
        <v>1</v>
      </c>
      <c r="T232" s="2">
        <f>IF(Procurement_kpi_Analysis[[#This Row],[Compliance]]="No",1,0)</f>
        <v>0</v>
      </c>
    </row>
    <row r="233" spans="1:20" x14ac:dyDescent="0.3">
      <c r="A233" t="s">
        <v>258</v>
      </c>
      <c r="B233" t="s">
        <v>20</v>
      </c>
      <c r="C233" s="1">
        <v>44634</v>
      </c>
      <c r="D233" s="1">
        <v>44646</v>
      </c>
      <c r="E233" t="s">
        <v>39</v>
      </c>
      <c r="F233" t="s">
        <v>18</v>
      </c>
      <c r="G233">
        <v>1421</v>
      </c>
      <c r="H233">
        <v>11.92</v>
      </c>
      <c r="I233">
        <v>11.72</v>
      </c>
      <c r="J233">
        <v>76</v>
      </c>
      <c r="K233" t="s">
        <v>15</v>
      </c>
      <c r="L233">
        <f>Procurement_kpi_Analysis[[#This Row],[Quantity]]*Procurement_kpi_Analysis[[#This Row],[Negotiated_Price]]</f>
        <v>16654.120000000003</v>
      </c>
      <c r="M233">
        <f>IF(Procurement_kpi_Analysis[[#This Row],[Delivery_Date]]="","",Procurement_kpi_Analysis[[#This Row],[Delivery_Date]]-Procurement_kpi_Analysis[[#This Row],[Order_Date]])</f>
        <v>12</v>
      </c>
      <c r="N233" s="2">
        <f>Procurement_kpi_Analysis[[#This Row],[Defective_Units]]/Procurement_kpi_Analysis[[#This Row],[Quantity]]</f>
        <v>5.3483462350457422E-2</v>
      </c>
      <c r="O233" s="2">
        <f>(Procurement_kpi_Analysis[[#This Row],[Unit_Price]]-Procurement_kpi_Analysis[[#This Row],[Negotiated_Price]])*Procurement_kpi_Analysis[[#This Row],[Quantity]]</f>
        <v>284.19999999999897</v>
      </c>
      <c r="P233" s="2">
        <f>Procurement_kpi_Analysis[[#This Row],[Total Savings]]/Procurement_kpi_Analysis[[#This Row],[Total Spend]]</f>
        <v>1.7064846416382187E-2</v>
      </c>
      <c r="Q233" s="2" t="str">
        <f>IF(Procurement_kpi_Analysis[[#This Row],[Lead Time]]&lt;=14,"On Time","Late")</f>
        <v>On Time</v>
      </c>
      <c r="R233" s="2">
        <f>Procurement_kpi_Analysis[[#This Row],[Unit_Price]]*Procurement_kpi_Analysis[[#This Row],[Quantity]]</f>
        <v>16938.32</v>
      </c>
      <c r="S233" s="2">
        <f>IF(Procurement_kpi_Analysis[[#This Row],[Compliance]]="Yes",1,0)</f>
        <v>1</v>
      </c>
      <c r="T233" s="2">
        <f>IF(Procurement_kpi_Analysis[[#This Row],[Compliance]]="No",1,0)</f>
        <v>0</v>
      </c>
    </row>
    <row r="234" spans="1:20" x14ac:dyDescent="0.3">
      <c r="A234" t="s">
        <v>259</v>
      </c>
      <c r="B234" t="s">
        <v>29</v>
      </c>
      <c r="C234" s="1">
        <v>45286</v>
      </c>
      <c r="D234" s="1">
        <v>45295</v>
      </c>
      <c r="E234" t="s">
        <v>21</v>
      </c>
      <c r="F234" t="s">
        <v>18</v>
      </c>
      <c r="G234">
        <v>1546</v>
      </c>
      <c r="H234">
        <v>43.47</v>
      </c>
      <c r="I234">
        <v>37.369999999999997</v>
      </c>
      <c r="J234">
        <v>53</v>
      </c>
      <c r="K234" t="s">
        <v>15</v>
      </c>
      <c r="L234">
        <f>Procurement_kpi_Analysis[[#This Row],[Quantity]]*Procurement_kpi_Analysis[[#This Row],[Negotiated_Price]]</f>
        <v>57774.02</v>
      </c>
      <c r="M234">
        <f>IF(Procurement_kpi_Analysis[[#This Row],[Delivery_Date]]="","",Procurement_kpi_Analysis[[#This Row],[Delivery_Date]]-Procurement_kpi_Analysis[[#This Row],[Order_Date]])</f>
        <v>9</v>
      </c>
      <c r="N234" s="2">
        <f>Procurement_kpi_Analysis[[#This Row],[Defective_Units]]/Procurement_kpi_Analysis[[#This Row],[Quantity]]</f>
        <v>3.428201811125485E-2</v>
      </c>
      <c r="O234" s="2">
        <f>(Procurement_kpi_Analysis[[#This Row],[Unit_Price]]-Procurement_kpi_Analysis[[#This Row],[Negotiated_Price]])*Procurement_kpi_Analysis[[#This Row],[Quantity]]</f>
        <v>9430.6000000000022</v>
      </c>
      <c r="P234" s="2">
        <f>Procurement_kpi_Analysis[[#This Row],[Total Savings]]/Procurement_kpi_Analysis[[#This Row],[Total Spend]]</f>
        <v>0.16323253947016328</v>
      </c>
      <c r="Q234" s="2" t="str">
        <f>IF(Procurement_kpi_Analysis[[#This Row],[Lead Time]]&lt;=14,"On Time","Late")</f>
        <v>On Time</v>
      </c>
      <c r="R234" s="2">
        <f>Procurement_kpi_Analysis[[#This Row],[Unit_Price]]*Procurement_kpi_Analysis[[#This Row],[Quantity]]</f>
        <v>67204.62</v>
      </c>
      <c r="S234" s="2">
        <f>IF(Procurement_kpi_Analysis[[#This Row],[Compliance]]="Yes",1,0)</f>
        <v>1</v>
      </c>
      <c r="T234" s="2">
        <f>IF(Procurement_kpi_Analysis[[#This Row],[Compliance]]="No",1,0)</f>
        <v>0</v>
      </c>
    </row>
    <row r="235" spans="1:20" x14ac:dyDescent="0.3">
      <c r="A235" t="s">
        <v>260</v>
      </c>
      <c r="B235" t="s">
        <v>17</v>
      </c>
      <c r="C235" s="1">
        <v>45208</v>
      </c>
      <c r="D235" s="1">
        <v>45217</v>
      </c>
      <c r="E235" t="s">
        <v>39</v>
      </c>
      <c r="F235" t="s">
        <v>18</v>
      </c>
      <c r="G235">
        <v>1304</v>
      </c>
      <c r="H235">
        <v>32.08</v>
      </c>
      <c r="I235">
        <v>29.36</v>
      </c>
      <c r="J235">
        <v>0</v>
      </c>
      <c r="K235" t="s">
        <v>15</v>
      </c>
      <c r="L235">
        <f>Procurement_kpi_Analysis[[#This Row],[Quantity]]*Procurement_kpi_Analysis[[#This Row],[Negotiated_Price]]</f>
        <v>38285.440000000002</v>
      </c>
      <c r="M235">
        <f>IF(Procurement_kpi_Analysis[[#This Row],[Delivery_Date]]="","",Procurement_kpi_Analysis[[#This Row],[Delivery_Date]]-Procurement_kpi_Analysis[[#This Row],[Order_Date]])</f>
        <v>9</v>
      </c>
      <c r="N235" s="2">
        <f>Procurement_kpi_Analysis[[#This Row],[Defective_Units]]/Procurement_kpi_Analysis[[#This Row],[Quantity]]</f>
        <v>0</v>
      </c>
      <c r="O235" s="2">
        <f>(Procurement_kpi_Analysis[[#This Row],[Unit_Price]]-Procurement_kpi_Analysis[[#This Row],[Negotiated_Price]])*Procurement_kpi_Analysis[[#This Row],[Quantity]]</f>
        <v>3546.8799999999983</v>
      </c>
      <c r="P235" s="2">
        <f>Procurement_kpi_Analysis[[#This Row],[Total Savings]]/Procurement_kpi_Analysis[[#This Row],[Total Spend]]</f>
        <v>9.2643051771117119E-2</v>
      </c>
      <c r="Q235" s="2" t="str">
        <f>IF(Procurement_kpi_Analysis[[#This Row],[Lead Time]]&lt;=14,"On Time","Late")</f>
        <v>On Time</v>
      </c>
      <c r="R235" s="2">
        <f>Procurement_kpi_Analysis[[#This Row],[Unit_Price]]*Procurement_kpi_Analysis[[#This Row],[Quantity]]</f>
        <v>41832.32</v>
      </c>
      <c r="S235" s="2">
        <f>IF(Procurement_kpi_Analysis[[#This Row],[Compliance]]="Yes",1,0)</f>
        <v>1</v>
      </c>
      <c r="T235" s="2">
        <f>IF(Procurement_kpi_Analysis[[#This Row],[Compliance]]="No",1,0)</f>
        <v>0</v>
      </c>
    </row>
    <row r="236" spans="1:20" x14ac:dyDescent="0.3">
      <c r="A236" t="s">
        <v>261</v>
      </c>
      <c r="B236" t="s">
        <v>17</v>
      </c>
      <c r="C236" s="1">
        <v>44622</v>
      </c>
      <c r="D236" s="1"/>
      <c r="E236" t="s">
        <v>26</v>
      </c>
      <c r="F236" t="s">
        <v>18</v>
      </c>
      <c r="G236">
        <v>239</v>
      </c>
      <c r="H236">
        <v>39.869999999999997</v>
      </c>
      <c r="I236">
        <v>35.47</v>
      </c>
      <c r="J236">
        <v>32</v>
      </c>
      <c r="K236" t="s">
        <v>15</v>
      </c>
      <c r="L236">
        <f>Procurement_kpi_Analysis[[#This Row],[Quantity]]*Procurement_kpi_Analysis[[#This Row],[Negotiated_Price]]</f>
        <v>8477.33</v>
      </c>
      <c r="M236" t="str">
        <f>IF(Procurement_kpi_Analysis[[#This Row],[Delivery_Date]]="","",Procurement_kpi_Analysis[[#This Row],[Delivery_Date]]-Procurement_kpi_Analysis[[#This Row],[Order_Date]])</f>
        <v/>
      </c>
      <c r="N236" s="2">
        <f>Procurement_kpi_Analysis[[#This Row],[Defective_Units]]/Procurement_kpi_Analysis[[#This Row],[Quantity]]</f>
        <v>0.13389121338912133</v>
      </c>
      <c r="O236" s="2">
        <f>(Procurement_kpi_Analysis[[#This Row],[Unit_Price]]-Procurement_kpi_Analysis[[#This Row],[Negotiated_Price]])*Procurement_kpi_Analysis[[#This Row],[Quantity]]</f>
        <v>1051.5999999999997</v>
      </c>
      <c r="P236" s="2">
        <f>Procurement_kpi_Analysis[[#This Row],[Total Savings]]/Procurement_kpi_Analysis[[#This Row],[Total Spend]]</f>
        <v>0.12404849168311245</v>
      </c>
      <c r="Q236" s="2" t="str">
        <f>IF(Procurement_kpi_Analysis[[#This Row],[Lead Time]]&lt;=14,"On Time","Late")</f>
        <v>Late</v>
      </c>
      <c r="R236" s="2">
        <f>Procurement_kpi_Analysis[[#This Row],[Unit_Price]]*Procurement_kpi_Analysis[[#This Row],[Quantity]]</f>
        <v>9528.93</v>
      </c>
      <c r="S236" s="2">
        <f>IF(Procurement_kpi_Analysis[[#This Row],[Compliance]]="Yes",1,0)</f>
        <v>1</v>
      </c>
      <c r="T236" s="2">
        <f>IF(Procurement_kpi_Analysis[[#This Row],[Compliance]]="No",1,0)</f>
        <v>0</v>
      </c>
    </row>
    <row r="237" spans="1:20" x14ac:dyDescent="0.3">
      <c r="A237" t="s">
        <v>262</v>
      </c>
      <c r="B237" t="s">
        <v>12</v>
      </c>
      <c r="C237" s="1">
        <v>44796</v>
      </c>
      <c r="D237" s="1"/>
      <c r="E237" t="s">
        <v>13</v>
      </c>
      <c r="F237" t="s">
        <v>18</v>
      </c>
      <c r="G237">
        <v>1298</v>
      </c>
      <c r="H237">
        <v>21.51</v>
      </c>
      <c r="I237">
        <v>20.83</v>
      </c>
      <c r="J237">
        <v>0</v>
      </c>
      <c r="K237" t="s">
        <v>15</v>
      </c>
      <c r="L237">
        <f>Procurement_kpi_Analysis[[#This Row],[Quantity]]*Procurement_kpi_Analysis[[#This Row],[Negotiated_Price]]</f>
        <v>27037.339999999997</v>
      </c>
      <c r="M237" t="str">
        <f>IF(Procurement_kpi_Analysis[[#This Row],[Delivery_Date]]="","",Procurement_kpi_Analysis[[#This Row],[Delivery_Date]]-Procurement_kpi_Analysis[[#This Row],[Order_Date]])</f>
        <v/>
      </c>
      <c r="N237" s="2">
        <f>Procurement_kpi_Analysis[[#This Row],[Defective_Units]]/Procurement_kpi_Analysis[[#This Row],[Quantity]]</f>
        <v>0</v>
      </c>
      <c r="O237" s="2">
        <f>(Procurement_kpi_Analysis[[#This Row],[Unit_Price]]-Procurement_kpi_Analysis[[#This Row],[Negotiated_Price]])*Procurement_kpi_Analysis[[#This Row],[Quantity]]</f>
        <v>882.64000000000419</v>
      </c>
      <c r="P237" s="2">
        <f>Procurement_kpi_Analysis[[#This Row],[Total Savings]]/Procurement_kpi_Analysis[[#This Row],[Total Spend]]</f>
        <v>3.2645223235717877E-2</v>
      </c>
      <c r="Q237" s="2" t="str">
        <f>IF(Procurement_kpi_Analysis[[#This Row],[Lead Time]]&lt;=14,"On Time","Late")</f>
        <v>Late</v>
      </c>
      <c r="R237" s="2">
        <f>Procurement_kpi_Analysis[[#This Row],[Unit_Price]]*Procurement_kpi_Analysis[[#This Row],[Quantity]]</f>
        <v>27919.980000000003</v>
      </c>
      <c r="S237" s="2">
        <f>IF(Procurement_kpi_Analysis[[#This Row],[Compliance]]="Yes",1,0)</f>
        <v>1</v>
      </c>
      <c r="T237" s="2">
        <f>IF(Procurement_kpi_Analysis[[#This Row],[Compliance]]="No",1,0)</f>
        <v>0</v>
      </c>
    </row>
    <row r="238" spans="1:20" x14ac:dyDescent="0.3">
      <c r="A238" t="s">
        <v>263</v>
      </c>
      <c r="B238" t="s">
        <v>17</v>
      </c>
      <c r="C238" s="1">
        <v>44631</v>
      </c>
      <c r="D238" s="1"/>
      <c r="E238" t="s">
        <v>21</v>
      </c>
      <c r="F238" t="s">
        <v>18</v>
      </c>
      <c r="G238">
        <v>1458</v>
      </c>
      <c r="H238">
        <v>91.05</v>
      </c>
      <c r="I238">
        <v>81.56</v>
      </c>
      <c r="J238">
        <v>220</v>
      </c>
      <c r="K238" t="s">
        <v>15</v>
      </c>
      <c r="L238">
        <f>Procurement_kpi_Analysis[[#This Row],[Quantity]]*Procurement_kpi_Analysis[[#This Row],[Negotiated_Price]]</f>
        <v>118914.48000000001</v>
      </c>
      <c r="M238" t="str">
        <f>IF(Procurement_kpi_Analysis[[#This Row],[Delivery_Date]]="","",Procurement_kpi_Analysis[[#This Row],[Delivery_Date]]-Procurement_kpi_Analysis[[#This Row],[Order_Date]])</f>
        <v/>
      </c>
      <c r="N238" s="2">
        <f>Procurement_kpi_Analysis[[#This Row],[Defective_Units]]/Procurement_kpi_Analysis[[#This Row],[Quantity]]</f>
        <v>0.15089163237311384</v>
      </c>
      <c r="O238" s="2">
        <f>(Procurement_kpi_Analysis[[#This Row],[Unit_Price]]-Procurement_kpi_Analysis[[#This Row],[Negotiated_Price]])*Procurement_kpi_Analysis[[#This Row],[Quantity]]</f>
        <v>13836.419999999993</v>
      </c>
      <c r="P238" s="2">
        <f>Procurement_kpi_Analysis[[#This Row],[Total Savings]]/Procurement_kpi_Analysis[[#This Row],[Total Spend]]</f>
        <v>0.11635605689063259</v>
      </c>
      <c r="Q238" s="2" t="str">
        <f>IF(Procurement_kpi_Analysis[[#This Row],[Lead Time]]&lt;=14,"On Time","Late")</f>
        <v>Late</v>
      </c>
      <c r="R238" s="2">
        <f>Procurement_kpi_Analysis[[#This Row],[Unit_Price]]*Procurement_kpi_Analysis[[#This Row],[Quantity]]</f>
        <v>132750.9</v>
      </c>
      <c r="S238" s="2">
        <f>IF(Procurement_kpi_Analysis[[#This Row],[Compliance]]="Yes",1,0)</f>
        <v>1</v>
      </c>
      <c r="T238" s="2">
        <f>IF(Procurement_kpi_Analysis[[#This Row],[Compliance]]="No",1,0)</f>
        <v>0</v>
      </c>
    </row>
    <row r="239" spans="1:20" x14ac:dyDescent="0.3">
      <c r="A239" t="s">
        <v>264</v>
      </c>
      <c r="B239" t="s">
        <v>20</v>
      </c>
      <c r="C239" s="1">
        <v>44594</v>
      </c>
      <c r="D239" s="1">
        <v>44605</v>
      </c>
      <c r="E239" t="s">
        <v>21</v>
      </c>
      <c r="F239" t="s">
        <v>18</v>
      </c>
      <c r="G239">
        <v>1450</v>
      </c>
      <c r="H239">
        <v>63.74</v>
      </c>
      <c r="I239">
        <v>59.11</v>
      </c>
      <c r="J239">
        <v>71</v>
      </c>
      <c r="K239" t="s">
        <v>15</v>
      </c>
      <c r="L239">
        <f>Procurement_kpi_Analysis[[#This Row],[Quantity]]*Procurement_kpi_Analysis[[#This Row],[Negotiated_Price]]</f>
        <v>85709.5</v>
      </c>
      <c r="M239">
        <f>IF(Procurement_kpi_Analysis[[#This Row],[Delivery_Date]]="","",Procurement_kpi_Analysis[[#This Row],[Delivery_Date]]-Procurement_kpi_Analysis[[#This Row],[Order_Date]])</f>
        <v>11</v>
      </c>
      <c r="N239" s="2">
        <f>Procurement_kpi_Analysis[[#This Row],[Defective_Units]]/Procurement_kpi_Analysis[[#This Row],[Quantity]]</f>
        <v>4.8965517241379312E-2</v>
      </c>
      <c r="O239" s="2">
        <f>(Procurement_kpi_Analysis[[#This Row],[Unit_Price]]-Procurement_kpi_Analysis[[#This Row],[Negotiated_Price]])*Procurement_kpi_Analysis[[#This Row],[Quantity]]</f>
        <v>6713.5000000000036</v>
      </c>
      <c r="P239" s="2">
        <f>Procurement_kpi_Analysis[[#This Row],[Total Savings]]/Procurement_kpi_Analysis[[#This Row],[Total Spend]]</f>
        <v>7.8328540010150605E-2</v>
      </c>
      <c r="Q239" s="2" t="str">
        <f>IF(Procurement_kpi_Analysis[[#This Row],[Lead Time]]&lt;=14,"On Time","Late")</f>
        <v>On Time</v>
      </c>
      <c r="R239" s="2">
        <f>Procurement_kpi_Analysis[[#This Row],[Unit_Price]]*Procurement_kpi_Analysis[[#This Row],[Quantity]]</f>
        <v>92423</v>
      </c>
      <c r="S239" s="2">
        <f>IF(Procurement_kpi_Analysis[[#This Row],[Compliance]]="Yes",1,0)</f>
        <v>1</v>
      </c>
      <c r="T239" s="2">
        <f>IF(Procurement_kpi_Analysis[[#This Row],[Compliance]]="No",1,0)</f>
        <v>0</v>
      </c>
    </row>
    <row r="240" spans="1:20" x14ac:dyDescent="0.3">
      <c r="A240" t="s">
        <v>265</v>
      </c>
      <c r="B240" t="s">
        <v>23</v>
      </c>
      <c r="C240" s="1">
        <v>44900</v>
      </c>
      <c r="D240" s="1">
        <v>44915</v>
      </c>
      <c r="E240" t="s">
        <v>39</v>
      </c>
      <c r="F240" t="s">
        <v>18</v>
      </c>
      <c r="G240">
        <v>1356</v>
      </c>
      <c r="H240">
        <v>75.03</v>
      </c>
      <c r="I240">
        <v>63.86</v>
      </c>
      <c r="J240">
        <v>131</v>
      </c>
      <c r="K240" t="s">
        <v>15</v>
      </c>
      <c r="L240">
        <f>Procurement_kpi_Analysis[[#This Row],[Quantity]]*Procurement_kpi_Analysis[[#This Row],[Negotiated_Price]]</f>
        <v>86594.16</v>
      </c>
      <c r="M240">
        <f>IF(Procurement_kpi_Analysis[[#This Row],[Delivery_Date]]="","",Procurement_kpi_Analysis[[#This Row],[Delivery_Date]]-Procurement_kpi_Analysis[[#This Row],[Order_Date]])</f>
        <v>15</v>
      </c>
      <c r="N240" s="2">
        <f>Procurement_kpi_Analysis[[#This Row],[Defective_Units]]/Procurement_kpi_Analysis[[#This Row],[Quantity]]</f>
        <v>9.6607669616519176E-2</v>
      </c>
      <c r="O240" s="2">
        <f>(Procurement_kpi_Analysis[[#This Row],[Unit_Price]]-Procurement_kpi_Analysis[[#This Row],[Negotiated_Price]])*Procurement_kpi_Analysis[[#This Row],[Quantity]]</f>
        <v>15146.520000000002</v>
      </c>
      <c r="P240" s="2">
        <f>Procurement_kpi_Analysis[[#This Row],[Total Savings]]/Procurement_kpi_Analysis[[#This Row],[Total Spend]]</f>
        <v>0.17491387409959289</v>
      </c>
      <c r="Q240" s="2" t="str">
        <f>IF(Procurement_kpi_Analysis[[#This Row],[Lead Time]]&lt;=14,"On Time","Late")</f>
        <v>Late</v>
      </c>
      <c r="R240" s="2">
        <f>Procurement_kpi_Analysis[[#This Row],[Unit_Price]]*Procurement_kpi_Analysis[[#This Row],[Quantity]]</f>
        <v>101740.68000000001</v>
      </c>
      <c r="S240" s="2">
        <f>IF(Procurement_kpi_Analysis[[#This Row],[Compliance]]="Yes",1,0)</f>
        <v>1</v>
      </c>
      <c r="T240" s="2">
        <f>IF(Procurement_kpi_Analysis[[#This Row],[Compliance]]="No",1,0)</f>
        <v>0</v>
      </c>
    </row>
    <row r="241" spans="1:20" x14ac:dyDescent="0.3">
      <c r="A241" t="s">
        <v>266</v>
      </c>
      <c r="B241" t="s">
        <v>20</v>
      </c>
      <c r="C241" s="1">
        <v>44634</v>
      </c>
      <c r="D241" s="1"/>
      <c r="E241" t="s">
        <v>24</v>
      </c>
      <c r="F241" t="s">
        <v>18</v>
      </c>
      <c r="G241">
        <v>682</v>
      </c>
      <c r="H241">
        <v>81.84</v>
      </c>
      <c r="I241">
        <v>71.86</v>
      </c>
      <c r="J241">
        <v>40</v>
      </c>
      <c r="K241" t="s">
        <v>15</v>
      </c>
      <c r="L241">
        <f>Procurement_kpi_Analysis[[#This Row],[Quantity]]*Procurement_kpi_Analysis[[#This Row],[Negotiated_Price]]</f>
        <v>49008.52</v>
      </c>
      <c r="M241" t="str">
        <f>IF(Procurement_kpi_Analysis[[#This Row],[Delivery_Date]]="","",Procurement_kpi_Analysis[[#This Row],[Delivery_Date]]-Procurement_kpi_Analysis[[#This Row],[Order_Date]])</f>
        <v/>
      </c>
      <c r="N241" s="2">
        <f>Procurement_kpi_Analysis[[#This Row],[Defective_Units]]/Procurement_kpi_Analysis[[#This Row],[Quantity]]</f>
        <v>5.865102639296188E-2</v>
      </c>
      <c r="O241" s="2">
        <f>(Procurement_kpi_Analysis[[#This Row],[Unit_Price]]-Procurement_kpi_Analysis[[#This Row],[Negotiated_Price]])*Procurement_kpi_Analysis[[#This Row],[Quantity]]</f>
        <v>6806.3600000000024</v>
      </c>
      <c r="P241" s="2">
        <f>Procurement_kpi_Analysis[[#This Row],[Total Savings]]/Procurement_kpi_Analysis[[#This Row],[Total Spend]]</f>
        <v>0.13888115780684671</v>
      </c>
      <c r="Q241" s="2" t="str">
        <f>IF(Procurement_kpi_Analysis[[#This Row],[Lead Time]]&lt;=14,"On Time","Late")</f>
        <v>Late</v>
      </c>
      <c r="R241" s="2">
        <f>Procurement_kpi_Analysis[[#This Row],[Unit_Price]]*Procurement_kpi_Analysis[[#This Row],[Quantity]]</f>
        <v>55814.880000000005</v>
      </c>
      <c r="S241" s="2">
        <f>IF(Procurement_kpi_Analysis[[#This Row],[Compliance]]="Yes",1,0)</f>
        <v>1</v>
      </c>
      <c r="T241" s="2">
        <f>IF(Procurement_kpi_Analysis[[#This Row],[Compliance]]="No",1,0)</f>
        <v>0</v>
      </c>
    </row>
    <row r="242" spans="1:20" x14ac:dyDescent="0.3">
      <c r="A242" t="s">
        <v>267</v>
      </c>
      <c r="B242" t="s">
        <v>20</v>
      </c>
      <c r="C242" s="1">
        <v>45088</v>
      </c>
      <c r="D242" s="1">
        <v>45096</v>
      </c>
      <c r="E242" t="s">
        <v>24</v>
      </c>
      <c r="F242" t="s">
        <v>18</v>
      </c>
      <c r="G242">
        <v>677</v>
      </c>
      <c r="H242">
        <v>59.52</v>
      </c>
      <c r="I242">
        <v>55.29</v>
      </c>
      <c r="J242">
        <v>39</v>
      </c>
      <c r="K242" t="s">
        <v>15</v>
      </c>
      <c r="L242">
        <f>Procurement_kpi_Analysis[[#This Row],[Quantity]]*Procurement_kpi_Analysis[[#This Row],[Negotiated_Price]]</f>
        <v>37431.33</v>
      </c>
      <c r="M242">
        <f>IF(Procurement_kpi_Analysis[[#This Row],[Delivery_Date]]="","",Procurement_kpi_Analysis[[#This Row],[Delivery_Date]]-Procurement_kpi_Analysis[[#This Row],[Order_Date]])</f>
        <v>8</v>
      </c>
      <c r="N242" s="2">
        <f>Procurement_kpi_Analysis[[#This Row],[Defective_Units]]/Procurement_kpi_Analysis[[#This Row],[Quantity]]</f>
        <v>5.7607090103397339E-2</v>
      </c>
      <c r="O242" s="2">
        <f>(Procurement_kpi_Analysis[[#This Row],[Unit_Price]]-Procurement_kpi_Analysis[[#This Row],[Negotiated_Price]])*Procurement_kpi_Analysis[[#This Row],[Quantity]]</f>
        <v>2863.7100000000028</v>
      </c>
      <c r="P242" s="2">
        <f>Procurement_kpi_Analysis[[#This Row],[Total Savings]]/Procurement_kpi_Analysis[[#This Row],[Total Spend]]</f>
        <v>7.6505697232772729E-2</v>
      </c>
      <c r="Q242" s="2" t="str">
        <f>IF(Procurement_kpi_Analysis[[#This Row],[Lead Time]]&lt;=14,"On Time","Late")</f>
        <v>On Time</v>
      </c>
      <c r="R242" s="2">
        <f>Procurement_kpi_Analysis[[#This Row],[Unit_Price]]*Procurement_kpi_Analysis[[#This Row],[Quantity]]</f>
        <v>40295.040000000001</v>
      </c>
      <c r="S242" s="2">
        <f>IF(Procurement_kpi_Analysis[[#This Row],[Compliance]]="Yes",1,0)</f>
        <v>1</v>
      </c>
      <c r="T242" s="2">
        <f>IF(Procurement_kpi_Analysis[[#This Row],[Compliance]]="No",1,0)</f>
        <v>0</v>
      </c>
    </row>
    <row r="243" spans="1:20" x14ac:dyDescent="0.3">
      <c r="A243" t="s">
        <v>268</v>
      </c>
      <c r="B243" t="s">
        <v>17</v>
      </c>
      <c r="C243" s="1">
        <v>44805</v>
      </c>
      <c r="D243" s="1">
        <v>44818</v>
      </c>
      <c r="E243" t="s">
        <v>13</v>
      </c>
      <c r="F243" t="s">
        <v>18</v>
      </c>
      <c r="G243">
        <v>1022</v>
      </c>
      <c r="H243">
        <v>18.54</v>
      </c>
      <c r="I243">
        <v>16.55</v>
      </c>
      <c r="J243">
        <v>150</v>
      </c>
      <c r="K243" t="s">
        <v>15</v>
      </c>
      <c r="L243">
        <f>Procurement_kpi_Analysis[[#This Row],[Quantity]]*Procurement_kpi_Analysis[[#This Row],[Negotiated_Price]]</f>
        <v>16914.100000000002</v>
      </c>
      <c r="M243">
        <f>IF(Procurement_kpi_Analysis[[#This Row],[Delivery_Date]]="","",Procurement_kpi_Analysis[[#This Row],[Delivery_Date]]-Procurement_kpi_Analysis[[#This Row],[Order_Date]])</f>
        <v>13</v>
      </c>
      <c r="N243" s="2">
        <f>Procurement_kpi_Analysis[[#This Row],[Defective_Units]]/Procurement_kpi_Analysis[[#This Row],[Quantity]]</f>
        <v>0.14677103718199608</v>
      </c>
      <c r="O243" s="2">
        <f>(Procurement_kpi_Analysis[[#This Row],[Unit_Price]]-Procurement_kpi_Analysis[[#This Row],[Negotiated_Price]])*Procurement_kpi_Analysis[[#This Row],[Quantity]]</f>
        <v>2033.7799999999984</v>
      </c>
      <c r="P243" s="2">
        <f>Procurement_kpi_Analysis[[#This Row],[Total Savings]]/Procurement_kpi_Analysis[[#This Row],[Total Spend]]</f>
        <v>0.12024169184290019</v>
      </c>
      <c r="Q243" s="2" t="str">
        <f>IF(Procurement_kpi_Analysis[[#This Row],[Lead Time]]&lt;=14,"On Time","Late")</f>
        <v>On Time</v>
      </c>
      <c r="R243" s="2">
        <f>Procurement_kpi_Analysis[[#This Row],[Unit_Price]]*Procurement_kpi_Analysis[[#This Row],[Quantity]]</f>
        <v>18947.879999999997</v>
      </c>
      <c r="S243" s="2">
        <f>IF(Procurement_kpi_Analysis[[#This Row],[Compliance]]="Yes",1,0)</f>
        <v>1</v>
      </c>
      <c r="T243" s="2">
        <f>IF(Procurement_kpi_Analysis[[#This Row],[Compliance]]="No",1,0)</f>
        <v>0</v>
      </c>
    </row>
    <row r="244" spans="1:20" x14ac:dyDescent="0.3">
      <c r="A244" t="s">
        <v>269</v>
      </c>
      <c r="B244" t="s">
        <v>12</v>
      </c>
      <c r="C244" s="1">
        <v>44847</v>
      </c>
      <c r="D244" s="1"/>
      <c r="E244" t="s">
        <v>26</v>
      </c>
      <c r="F244" t="s">
        <v>18</v>
      </c>
      <c r="G244">
        <v>1818</v>
      </c>
      <c r="H244">
        <v>60.96</v>
      </c>
      <c r="I244">
        <v>57.13</v>
      </c>
      <c r="J244">
        <v>41</v>
      </c>
      <c r="K244" t="s">
        <v>15</v>
      </c>
      <c r="L244">
        <f>Procurement_kpi_Analysis[[#This Row],[Quantity]]*Procurement_kpi_Analysis[[#This Row],[Negotiated_Price]]</f>
        <v>103862.34000000001</v>
      </c>
      <c r="M244" t="str">
        <f>IF(Procurement_kpi_Analysis[[#This Row],[Delivery_Date]]="","",Procurement_kpi_Analysis[[#This Row],[Delivery_Date]]-Procurement_kpi_Analysis[[#This Row],[Order_Date]])</f>
        <v/>
      </c>
      <c r="N244" s="2">
        <f>Procurement_kpi_Analysis[[#This Row],[Defective_Units]]/Procurement_kpi_Analysis[[#This Row],[Quantity]]</f>
        <v>2.2552255225522552E-2</v>
      </c>
      <c r="O244" s="2">
        <f>(Procurement_kpi_Analysis[[#This Row],[Unit_Price]]-Procurement_kpi_Analysis[[#This Row],[Negotiated_Price]])*Procurement_kpi_Analysis[[#This Row],[Quantity]]</f>
        <v>6962.9399999999969</v>
      </c>
      <c r="P244" s="2">
        <f>Procurement_kpi_Analysis[[#This Row],[Total Savings]]/Procurement_kpi_Analysis[[#This Row],[Total Spend]]</f>
        <v>6.7040084018904211E-2</v>
      </c>
      <c r="Q244" s="2" t="str">
        <f>IF(Procurement_kpi_Analysis[[#This Row],[Lead Time]]&lt;=14,"On Time","Late")</f>
        <v>Late</v>
      </c>
      <c r="R244" s="2">
        <f>Procurement_kpi_Analysis[[#This Row],[Unit_Price]]*Procurement_kpi_Analysis[[#This Row],[Quantity]]</f>
        <v>110825.28</v>
      </c>
      <c r="S244" s="2">
        <f>IF(Procurement_kpi_Analysis[[#This Row],[Compliance]]="Yes",1,0)</f>
        <v>1</v>
      </c>
      <c r="T244" s="2">
        <f>IF(Procurement_kpi_Analysis[[#This Row],[Compliance]]="No",1,0)</f>
        <v>0</v>
      </c>
    </row>
    <row r="245" spans="1:20" x14ac:dyDescent="0.3">
      <c r="A245" t="s">
        <v>270</v>
      </c>
      <c r="B245" t="s">
        <v>29</v>
      </c>
      <c r="C245" s="1">
        <v>45247</v>
      </c>
      <c r="D245" s="1">
        <v>45259</v>
      </c>
      <c r="E245" t="s">
        <v>39</v>
      </c>
      <c r="F245" t="s">
        <v>18</v>
      </c>
      <c r="G245">
        <v>1332</v>
      </c>
      <c r="H245">
        <v>69.73</v>
      </c>
      <c r="I245">
        <v>63.8</v>
      </c>
      <c r="J245">
        <v>41</v>
      </c>
      <c r="K245" t="s">
        <v>15</v>
      </c>
      <c r="L245">
        <f>Procurement_kpi_Analysis[[#This Row],[Quantity]]*Procurement_kpi_Analysis[[#This Row],[Negotiated_Price]]</f>
        <v>84981.599999999991</v>
      </c>
      <c r="M245">
        <f>IF(Procurement_kpi_Analysis[[#This Row],[Delivery_Date]]="","",Procurement_kpi_Analysis[[#This Row],[Delivery_Date]]-Procurement_kpi_Analysis[[#This Row],[Order_Date]])</f>
        <v>12</v>
      </c>
      <c r="N245" s="2">
        <f>Procurement_kpi_Analysis[[#This Row],[Defective_Units]]/Procurement_kpi_Analysis[[#This Row],[Quantity]]</f>
        <v>3.0780780780780781E-2</v>
      </c>
      <c r="O245" s="2">
        <f>(Procurement_kpi_Analysis[[#This Row],[Unit_Price]]-Procurement_kpi_Analysis[[#This Row],[Negotiated_Price]])*Procurement_kpi_Analysis[[#This Row],[Quantity]]</f>
        <v>7898.7600000000093</v>
      </c>
      <c r="P245" s="2">
        <f>Procurement_kpi_Analysis[[#This Row],[Total Savings]]/Procurement_kpi_Analysis[[#This Row],[Total Spend]]</f>
        <v>9.2946708463949965E-2</v>
      </c>
      <c r="Q245" s="2" t="str">
        <f>IF(Procurement_kpi_Analysis[[#This Row],[Lead Time]]&lt;=14,"On Time","Late")</f>
        <v>On Time</v>
      </c>
      <c r="R245" s="2">
        <f>Procurement_kpi_Analysis[[#This Row],[Unit_Price]]*Procurement_kpi_Analysis[[#This Row],[Quantity]]</f>
        <v>92880.36</v>
      </c>
      <c r="S245" s="2">
        <f>IF(Procurement_kpi_Analysis[[#This Row],[Compliance]]="Yes",1,0)</f>
        <v>1</v>
      </c>
      <c r="T245" s="2">
        <f>IF(Procurement_kpi_Analysis[[#This Row],[Compliance]]="No",1,0)</f>
        <v>0</v>
      </c>
    </row>
    <row r="246" spans="1:20" x14ac:dyDescent="0.3">
      <c r="A246" t="s">
        <v>271</v>
      </c>
      <c r="B246" t="s">
        <v>23</v>
      </c>
      <c r="C246" s="1">
        <v>45059</v>
      </c>
      <c r="D246" s="1">
        <v>45072</v>
      </c>
      <c r="E246" t="s">
        <v>26</v>
      </c>
      <c r="F246" t="s">
        <v>18</v>
      </c>
      <c r="G246">
        <v>1432</v>
      </c>
      <c r="H246">
        <v>83.26</v>
      </c>
      <c r="I246">
        <v>77.67</v>
      </c>
      <c r="J246">
        <v>174</v>
      </c>
      <c r="K246" t="s">
        <v>15</v>
      </c>
      <c r="L246">
        <f>Procurement_kpi_Analysis[[#This Row],[Quantity]]*Procurement_kpi_Analysis[[#This Row],[Negotiated_Price]]</f>
        <v>111223.44</v>
      </c>
      <c r="M246">
        <f>IF(Procurement_kpi_Analysis[[#This Row],[Delivery_Date]]="","",Procurement_kpi_Analysis[[#This Row],[Delivery_Date]]-Procurement_kpi_Analysis[[#This Row],[Order_Date]])</f>
        <v>13</v>
      </c>
      <c r="N246" s="2">
        <f>Procurement_kpi_Analysis[[#This Row],[Defective_Units]]/Procurement_kpi_Analysis[[#This Row],[Quantity]]</f>
        <v>0.12150837988826815</v>
      </c>
      <c r="O246" s="2">
        <f>(Procurement_kpi_Analysis[[#This Row],[Unit_Price]]-Procurement_kpi_Analysis[[#This Row],[Negotiated_Price]])*Procurement_kpi_Analysis[[#This Row],[Quantity]]</f>
        <v>8004.8800000000047</v>
      </c>
      <c r="P246" s="2">
        <f>Procurement_kpi_Analysis[[#This Row],[Total Savings]]/Procurement_kpi_Analysis[[#This Row],[Total Spend]]</f>
        <v>7.1971160036049989E-2</v>
      </c>
      <c r="Q246" s="2" t="str">
        <f>IF(Procurement_kpi_Analysis[[#This Row],[Lead Time]]&lt;=14,"On Time","Late")</f>
        <v>On Time</v>
      </c>
      <c r="R246" s="2">
        <f>Procurement_kpi_Analysis[[#This Row],[Unit_Price]]*Procurement_kpi_Analysis[[#This Row],[Quantity]]</f>
        <v>119228.32</v>
      </c>
      <c r="S246" s="2">
        <f>IF(Procurement_kpi_Analysis[[#This Row],[Compliance]]="Yes",1,0)</f>
        <v>1</v>
      </c>
      <c r="T246" s="2">
        <f>IF(Procurement_kpi_Analysis[[#This Row],[Compliance]]="No",1,0)</f>
        <v>0</v>
      </c>
    </row>
    <row r="247" spans="1:20" x14ac:dyDescent="0.3">
      <c r="A247" t="s">
        <v>272</v>
      </c>
      <c r="B247" t="s">
        <v>23</v>
      </c>
      <c r="C247" s="1">
        <v>44781</v>
      </c>
      <c r="D247" s="1">
        <v>44799</v>
      </c>
      <c r="E247" t="s">
        <v>24</v>
      </c>
      <c r="F247" t="s">
        <v>35</v>
      </c>
      <c r="G247">
        <v>759</v>
      </c>
      <c r="H247">
        <v>50.56</v>
      </c>
      <c r="I247">
        <v>46.47</v>
      </c>
      <c r="J247">
        <v>63</v>
      </c>
      <c r="K247" t="s">
        <v>27</v>
      </c>
      <c r="L247">
        <f>Procurement_kpi_Analysis[[#This Row],[Quantity]]*Procurement_kpi_Analysis[[#This Row],[Negotiated_Price]]</f>
        <v>35270.729999999996</v>
      </c>
      <c r="M247">
        <f>IF(Procurement_kpi_Analysis[[#This Row],[Delivery_Date]]="","",Procurement_kpi_Analysis[[#This Row],[Delivery_Date]]-Procurement_kpi_Analysis[[#This Row],[Order_Date]])</f>
        <v>18</v>
      </c>
      <c r="N247" s="2">
        <f>Procurement_kpi_Analysis[[#This Row],[Defective_Units]]/Procurement_kpi_Analysis[[#This Row],[Quantity]]</f>
        <v>8.3003952569169967E-2</v>
      </c>
      <c r="O247" s="2">
        <f>(Procurement_kpi_Analysis[[#This Row],[Unit_Price]]-Procurement_kpi_Analysis[[#This Row],[Negotiated_Price]])*Procurement_kpi_Analysis[[#This Row],[Quantity]]</f>
        <v>3104.3100000000027</v>
      </c>
      <c r="P247" s="2">
        <f>Procurement_kpi_Analysis[[#This Row],[Total Savings]]/Procurement_kpi_Analysis[[#This Row],[Total Spend]]</f>
        <v>8.8013772326232059E-2</v>
      </c>
      <c r="Q247" s="2" t="str">
        <f>IF(Procurement_kpi_Analysis[[#This Row],[Lead Time]]&lt;=14,"On Time","Late")</f>
        <v>Late</v>
      </c>
      <c r="R247" s="2">
        <f>Procurement_kpi_Analysis[[#This Row],[Unit_Price]]*Procurement_kpi_Analysis[[#This Row],[Quantity]]</f>
        <v>38375.040000000001</v>
      </c>
      <c r="S247" s="2">
        <f>IF(Procurement_kpi_Analysis[[#This Row],[Compliance]]="Yes",1,0)</f>
        <v>0</v>
      </c>
      <c r="T247" s="2">
        <f>IF(Procurement_kpi_Analysis[[#This Row],[Compliance]]="No",1,0)</f>
        <v>1</v>
      </c>
    </row>
    <row r="248" spans="1:20" x14ac:dyDescent="0.3">
      <c r="A248" t="s">
        <v>273</v>
      </c>
      <c r="B248" t="s">
        <v>12</v>
      </c>
      <c r="C248" s="1">
        <v>45114</v>
      </c>
      <c r="D248" s="1">
        <v>45126</v>
      </c>
      <c r="E248" t="s">
        <v>24</v>
      </c>
      <c r="F248" t="s">
        <v>18</v>
      </c>
      <c r="G248">
        <v>1529</v>
      </c>
      <c r="H248">
        <v>23.42</v>
      </c>
      <c r="I248">
        <v>22.44</v>
      </c>
      <c r="J248">
        <v>30</v>
      </c>
      <c r="K248" t="s">
        <v>15</v>
      </c>
      <c r="L248">
        <f>Procurement_kpi_Analysis[[#This Row],[Quantity]]*Procurement_kpi_Analysis[[#This Row],[Negotiated_Price]]</f>
        <v>34310.76</v>
      </c>
      <c r="M248">
        <f>IF(Procurement_kpi_Analysis[[#This Row],[Delivery_Date]]="","",Procurement_kpi_Analysis[[#This Row],[Delivery_Date]]-Procurement_kpi_Analysis[[#This Row],[Order_Date]])</f>
        <v>12</v>
      </c>
      <c r="N248" s="2">
        <f>Procurement_kpi_Analysis[[#This Row],[Defective_Units]]/Procurement_kpi_Analysis[[#This Row],[Quantity]]</f>
        <v>1.962066710268149E-2</v>
      </c>
      <c r="O248" s="2">
        <f>(Procurement_kpi_Analysis[[#This Row],[Unit_Price]]-Procurement_kpi_Analysis[[#This Row],[Negotiated_Price]])*Procurement_kpi_Analysis[[#This Row],[Quantity]]</f>
        <v>1498.4200000000008</v>
      </c>
      <c r="P248" s="2">
        <f>Procurement_kpi_Analysis[[#This Row],[Total Savings]]/Procurement_kpi_Analysis[[#This Row],[Total Spend]]</f>
        <v>4.3672014260249574E-2</v>
      </c>
      <c r="Q248" s="2" t="str">
        <f>IF(Procurement_kpi_Analysis[[#This Row],[Lead Time]]&lt;=14,"On Time","Late")</f>
        <v>On Time</v>
      </c>
      <c r="R248" s="2">
        <f>Procurement_kpi_Analysis[[#This Row],[Unit_Price]]*Procurement_kpi_Analysis[[#This Row],[Quantity]]</f>
        <v>35809.18</v>
      </c>
      <c r="S248" s="2">
        <f>IF(Procurement_kpi_Analysis[[#This Row],[Compliance]]="Yes",1,0)</f>
        <v>1</v>
      </c>
      <c r="T248" s="2">
        <f>IF(Procurement_kpi_Analysis[[#This Row],[Compliance]]="No",1,0)</f>
        <v>0</v>
      </c>
    </row>
    <row r="249" spans="1:20" x14ac:dyDescent="0.3">
      <c r="A249" t="s">
        <v>274</v>
      </c>
      <c r="B249" t="s">
        <v>20</v>
      </c>
      <c r="C249" s="1">
        <v>44697</v>
      </c>
      <c r="D249" s="1">
        <v>44706</v>
      </c>
      <c r="E249" t="s">
        <v>39</v>
      </c>
      <c r="F249" t="s">
        <v>18</v>
      </c>
      <c r="G249">
        <v>1484</v>
      </c>
      <c r="H249">
        <v>36.25</v>
      </c>
      <c r="I249">
        <v>31.8</v>
      </c>
      <c r="J249">
        <v>61</v>
      </c>
      <c r="K249" t="s">
        <v>15</v>
      </c>
      <c r="L249">
        <f>Procurement_kpi_Analysis[[#This Row],[Quantity]]*Procurement_kpi_Analysis[[#This Row],[Negotiated_Price]]</f>
        <v>47191.200000000004</v>
      </c>
      <c r="M249">
        <f>IF(Procurement_kpi_Analysis[[#This Row],[Delivery_Date]]="","",Procurement_kpi_Analysis[[#This Row],[Delivery_Date]]-Procurement_kpi_Analysis[[#This Row],[Order_Date]])</f>
        <v>9</v>
      </c>
      <c r="N249" s="2">
        <f>Procurement_kpi_Analysis[[#This Row],[Defective_Units]]/Procurement_kpi_Analysis[[#This Row],[Quantity]]</f>
        <v>4.1105121293800541E-2</v>
      </c>
      <c r="O249" s="2">
        <f>(Procurement_kpi_Analysis[[#This Row],[Unit_Price]]-Procurement_kpi_Analysis[[#This Row],[Negotiated_Price]])*Procurement_kpi_Analysis[[#This Row],[Quantity]]</f>
        <v>6603.7999999999993</v>
      </c>
      <c r="P249" s="2">
        <f>Procurement_kpi_Analysis[[#This Row],[Total Savings]]/Procurement_kpi_Analysis[[#This Row],[Total Spend]]</f>
        <v>0.13993710691823896</v>
      </c>
      <c r="Q249" s="2" t="str">
        <f>IF(Procurement_kpi_Analysis[[#This Row],[Lead Time]]&lt;=14,"On Time","Late")</f>
        <v>On Time</v>
      </c>
      <c r="R249" s="2">
        <f>Procurement_kpi_Analysis[[#This Row],[Unit_Price]]*Procurement_kpi_Analysis[[#This Row],[Quantity]]</f>
        <v>53795</v>
      </c>
      <c r="S249" s="2">
        <f>IF(Procurement_kpi_Analysis[[#This Row],[Compliance]]="Yes",1,0)</f>
        <v>1</v>
      </c>
      <c r="T249" s="2">
        <f>IF(Procurement_kpi_Analysis[[#This Row],[Compliance]]="No",1,0)</f>
        <v>0</v>
      </c>
    </row>
    <row r="250" spans="1:20" x14ac:dyDescent="0.3">
      <c r="A250" t="s">
        <v>275</v>
      </c>
      <c r="B250" t="s">
        <v>29</v>
      </c>
      <c r="C250" s="1">
        <v>45146</v>
      </c>
      <c r="D250" s="1">
        <v>45158</v>
      </c>
      <c r="E250" t="s">
        <v>24</v>
      </c>
      <c r="F250" t="s">
        <v>18</v>
      </c>
      <c r="G250">
        <v>698</v>
      </c>
      <c r="H250">
        <v>46.73</v>
      </c>
      <c r="I250">
        <v>45.61</v>
      </c>
      <c r="J250">
        <v>15</v>
      </c>
      <c r="K250" t="s">
        <v>15</v>
      </c>
      <c r="L250">
        <f>Procurement_kpi_Analysis[[#This Row],[Quantity]]*Procurement_kpi_Analysis[[#This Row],[Negotiated_Price]]</f>
        <v>31835.78</v>
      </c>
      <c r="M250">
        <f>IF(Procurement_kpi_Analysis[[#This Row],[Delivery_Date]]="","",Procurement_kpi_Analysis[[#This Row],[Delivery_Date]]-Procurement_kpi_Analysis[[#This Row],[Order_Date]])</f>
        <v>12</v>
      </c>
      <c r="N250" s="2">
        <f>Procurement_kpi_Analysis[[#This Row],[Defective_Units]]/Procurement_kpi_Analysis[[#This Row],[Quantity]]</f>
        <v>2.148997134670487E-2</v>
      </c>
      <c r="O250" s="2">
        <f>(Procurement_kpi_Analysis[[#This Row],[Unit_Price]]-Procurement_kpi_Analysis[[#This Row],[Negotiated_Price]])*Procurement_kpi_Analysis[[#This Row],[Quantity]]</f>
        <v>781.75999999999817</v>
      </c>
      <c r="P250" s="2">
        <f>Procurement_kpi_Analysis[[#This Row],[Total Savings]]/Procurement_kpi_Analysis[[#This Row],[Total Spend]]</f>
        <v>2.4556018417013756E-2</v>
      </c>
      <c r="Q250" s="2" t="str">
        <f>IF(Procurement_kpi_Analysis[[#This Row],[Lead Time]]&lt;=14,"On Time","Late")</f>
        <v>On Time</v>
      </c>
      <c r="R250" s="2">
        <f>Procurement_kpi_Analysis[[#This Row],[Unit_Price]]*Procurement_kpi_Analysis[[#This Row],[Quantity]]</f>
        <v>32617.539999999997</v>
      </c>
      <c r="S250" s="2">
        <f>IF(Procurement_kpi_Analysis[[#This Row],[Compliance]]="Yes",1,0)</f>
        <v>1</v>
      </c>
      <c r="T250" s="2">
        <f>IF(Procurement_kpi_Analysis[[#This Row],[Compliance]]="No",1,0)</f>
        <v>0</v>
      </c>
    </row>
    <row r="251" spans="1:20" x14ac:dyDescent="0.3">
      <c r="A251" t="s">
        <v>276</v>
      </c>
      <c r="B251" t="s">
        <v>29</v>
      </c>
      <c r="C251" s="1">
        <v>45152</v>
      </c>
      <c r="D251" s="1">
        <v>45160</v>
      </c>
      <c r="E251" t="s">
        <v>24</v>
      </c>
      <c r="F251" t="s">
        <v>35</v>
      </c>
      <c r="G251">
        <v>367</v>
      </c>
      <c r="H251">
        <v>74.61</v>
      </c>
      <c r="I251">
        <v>71.36</v>
      </c>
      <c r="J251">
        <v>13</v>
      </c>
      <c r="K251" t="s">
        <v>15</v>
      </c>
      <c r="L251">
        <f>Procurement_kpi_Analysis[[#This Row],[Quantity]]*Procurement_kpi_Analysis[[#This Row],[Negotiated_Price]]</f>
        <v>26189.119999999999</v>
      </c>
      <c r="M251">
        <f>IF(Procurement_kpi_Analysis[[#This Row],[Delivery_Date]]="","",Procurement_kpi_Analysis[[#This Row],[Delivery_Date]]-Procurement_kpi_Analysis[[#This Row],[Order_Date]])</f>
        <v>8</v>
      </c>
      <c r="N251" s="2">
        <f>Procurement_kpi_Analysis[[#This Row],[Defective_Units]]/Procurement_kpi_Analysis[[#This Row],[Quantity]]</f>
        <v>3.5422343324250684E-2</v>
      </c>
      <c r="O251" s="2">
        <f>(Procurement_kpi_Analysis[[#This Row],[Unit_Price]]-Procurement_kpi_Analysis[[#This Row],[Negotiated_Price]])*Procurement_kpi_Analysis[[#This Row],[Quantity]]</f>
        <v>1192.75</v>
      </c>
      <c r="P251" s="2">
        <f>Procurement_kpi_Analysis[[#This Row],[Total Savings]]/Procurement_kpi_Analysis[[#This Row],[Total Spend]]</f>
        <v>4.554372197309417E-2</v>
      </c>
      <c r="Q251" s="2" t="str">
        <f>IF(Procurement_kpi_Analysis[[#This Row],[Lead Time]]&lt;=14,"On Time","Late")</f>
        <v>On Time</v>
      </c>
      <c r="R251" s="2">
        <f>Procurement_kpi_Analysis[[#This Row],[Unit_Price]]*Procurement_kpi_Analysis[[#This Row],[Quantity]]</f>
        <v>27381.87</v>
      </c>
      <c r="S251" s="2">
        <f>IF(Procurement_kpi_Analysis[[#This Row],[Compliance]]="Yes",1,0)</f>
        <v>1</v>
      </c>
      <c r="T251" s="2">
        <f>IF(Procurement_kpi_Analysis[[#This Row],[Compliance]]="No",1,0)</f>
        <v>0</v>
      </c>
    </row>
    <row r="252" spans="1:20" x14ac:dyDescent="0.3">
      <c r="A252" t="s">
        <v>277</v>
      </c>
      <c r="B252" t="s">
        <v>29</v>
      </c>
      <c r="C252" s="1">
        <v>45046</v>
      </c>
      <c r="D252" s="1">
        <v>45066</v>
      </c>
      <c r="E252" t="s">
        <v>13</v>
      </c>
      <c r="F252" t="s">
        <v>33</v>
      </c>
      <c r="G252">
        <v>1750</v>
      </c>
      <c r="H252">
        <v>65.97</v>
      </c>
      <c r="I252">
        <v>58.34</v>
      </c>
      <c r="J252">
        <v>50</v>
      </c>
      <c r="K252" t="s">
        <v>15</v>
      </c>
      <c r="L252">
        <f>Procurement_kpi_Analysis[[#This Row],[Quantity]]*Procurement_kpi_Analysis[[#This Row],[Negotiated_Price]]</f>
        <v>102095</v>
      </c>
      <c r="M252">
        <f>IF(Procurement_kpi_Analysis[[#This Row],[Delivery_Date]]="","",Procurement_kpi_Analysis[[#This Row],[Delivery_Date]]-Procurement_kpi_Analysis[[#This Row],[Order_Date]])</f>
        <v>20</v>
      </c>
      <c r="N252" s="2">
        <f>Procurement_kpi_Analysis[[#This Row],[Defective_Units]]/Procurement_kpi_Analysis[[#This Row],[Quantity]]</f>
        <v>2.8571428571428571E-2</v>
      </c>
      <c r="O252" s="2">
        <f>(Procurement_kpi_Analysis[[#This Row],[Unit_Price]]-Procurement_kpi_Analysis[[#This Row],[Negotiated_Price]])*Procurement_kpi_Analysis[[#This Row],[Quantity]]</f>
        <v>13352.499999999993</v>
      </c>
      <c r="P252" s="2">
        <f>Procurement_kpi_Analysis[[#This Row],[Total Savings]]/Procurement_kpi_Analysis[[#This Row],[Total Spend]]</f>
        <v>0.13078505313678429</v>
      </c>
      <c r="Q252" s="2" t="str">
        <f>IF(Procurement_kpi_Analysis[[#This Row],[Lead Time]]&lt;=14,"On Time","Late")</f>
        <v>Late</v>
      </c>
      <c r="R252" s="2">
        <f>Procurement_kpi_Analysis[[#This Row],[Unit_Price]]*Procurement_kpi_Analysis[[#This Row],[Quantity]]</f>
        <v>115447.5</v>
      </c>
      <c r="S252" s="2">
        <f>IF(Procurement_kpi_Analysis[[#This Row],[Compliance]]="Yes",1,0)</f>
        <v>1</v>
      </c>
      <c r="T252" s="2">
        <f>IF(Procurement_kpi_Analysis[[#This Row],[Compliance]]="No",1,0)</f>
        <v>0</v>
      </c>
    </row>
    <row r="253" spans="1:20" x14ac:dyDescent="0.3">
      <c r="A253" t="s">
        <v>278</v>
      </c>
      <c r="B253" t="s">
        <v>17</v>
      </c>
      <c r="C253" s="1">
        <v>44810</v>
      </c>
      <c r="D253" s="1">
        <v>44828</v>
      </c>
      <c r="E253" t="s">
        <v>13</v>
      </c>
      <c r="F253" t="s">
        <v>33</v>
      </c>
      <c r="G253">
        <v>1298</v>
      </c>
      <c r="H253">
        <v>43.73</v>
      </c>
      <c r="I253">
        <v>37.21</v>
      </c>
      <c r="J253">
        <v>0</v>
      </c>
      <c r="K253" t="s">
        <v>27</v>
      </c>
      <c r="L253">
        <f>Procurement_kpi_Analysis[[#This Row],[Quantity]]*Procurement_kpi_Analysis[[#This Row],[Negotiated_Price]]</f>
        <v>48298.58</v>
      </c>
      <c r="M253">
        <f>IF(Procurement_kpi_Analysis[[#This Row],[Delivery_Date]]="","",Procurement_kpi_Analysis[[#This Row],[Delivery_Date]]-Procurement_kpi_Analysis[[#This Row],[Order_Date]])</f>
        <v>18</v>
      </c>
      <c r="N253" s="2">
        <f>Procurement_kpi_Analysis[[#This Row],[Defective_Units]]/Procurement_kpi_Analysis[[#This Row],[Quantity]]</f>
        <v>0</v>
      </c>
      <c r="O253" s="2">
        <f>(Procurement_kpi_Analysis[[#This Row],[Unit_Price]]-Procurement_kpi_Analysis[[#This Row],[Negotiated_Price]])*Procurement_kpi_Analysis[[#This Row],[Quantity]]</f>
        <v>8462.9599999999955</v>
      </c>
      <c r="P253" s="2">
        <f>Procurement_kpi_Analysis[[#This Row],[Total Savings]]/Procurement_kpi_Analysis[[#This Row],[Total Spend]]</f>
        <v>0.1752217145928513</v>
      </c>
      <c r="Q253" s="2" t="str">
        <f>IF(Procurement_kpi_Analysis[[#This Row],[Lead Time]]&lt;=14,"On Time","Late")</f>
        <v>Late</v>
      </c>
      <c r="R253" s="2">
        <f>Procurement_kpi_Analysis[[#This Row],[Unit_Price]]*Procurement_kpi_Analysis[[#This Row],[Quantity]]</f>
        <v>56761.539999999994</v>
      </c>
      <c r="S253" s="2">
        <f>IF(Procurement_kpi_Analysis[[#This Row],[Compliance]]="Yes",1,0)</f>
        <v>0</v>
      </c>
      <c r="T253" s="2">
        <f>IF(Procurement_kpi_Analysis[[#This Row],[Compliance]]="No",1,0)</f>
        <v>1</v>
      </c>
    </row>
    <row r="254" spans="1:20" x14ac:dyDescent="0.3">
      <c r="A254" t="s">
        <v>279</v>
      </c>
      <c r="B254" t="s">
        <v>20</v>
      </c>
      <c r="C254" s="1">
        <v>45046</v>
      </c>
      <c r="D254" s="1">
        <v>45066</v>
      </c>
      <c r="E254" t="s">
        <v>24</v>
      </c>
      <c r="F254" t="s">
        <v>18</v>
      </c>
      <c r="G254">
        <v>1892</v>
      </c>
      <c r="H254">
        <v>106.2</v>
      </c>
      <c r="I254">
        <v>96.37</v>
      </c>
      <c r="J254">
        <v>93</v>
      </c>
      <c r="K254" t="s">
        <v>15</v>
      </c>
      <c r="L254">
        <f>Procurement_kpi_Analysis[[#This Row],[Quantity]]*Procurement_kpi_Analysis[[#This Row],[Negotiated_Price]]</f>
        <v>182332.04</v>
      </c>
      <c r="M254">
        <f>IF(Procurement_kpi_Analysis[[#This Row],[Delivery_Date]]="","",Procurement_kpi_Analysis[[#This Row],[Delivery_Date]]-Procurement_kpi_Analysis[[#This Row],[Order_Date]])</f>
        <v>20</v>
      </c>
      <c r="N254" s="2">
        <f>Procurement_kpi_Analysis[[#This Row],[Defective_Units]]/Procurement_kpi_Analysis[[#This Row],[Quantity]]</f>
        <v>4.915433403805497E-2</v>
      </c>
      <c r="O254" s="2">
        <f>(Procurement_kpi_Analysis[[#This Row],[Unit_Price]]-Procurement_kpi_Analysis[[#This Row],[Negotiated_Price]])*Procurement_kpi_Analysis[[#This Row],[Quantity]]</f>
        <v>18598.359999999997</v>
      </c>
      <c r="P254" s="2">
        <f>Procurement_kpi_Analysis[[#This Row],[Total Savings]]/Procurement_kpi_Analysis[[#This Row],[Total Spend]]</f>
        <v>0.10200269793504201</v>
      </c>
      <c r="Q254" s="2" t="str">
        <f>IF(Procurement_kpi_Analysis[[#This Row],[Lead Time]]&lt;=14,"On Time","Late")</f>
        <v>Late</v>
      </c>
      <c r="R254" s="2">
        <f>Procurement_kpi_Analysis[[#This Row],[Unit_Price]]*Procurement_kpi_Analysis[[#This Row],[Quantity]]</f>
        <v>200930.4</v>
      </c>
      <c r="S254" s="2">
        <f>IF(Procurement_kpi_Analysis[[#This Row],[Compliance]]="Yes",1,0)</f>
        <v>1</v>
      </c>
      <c r="T254" s="2">
        <f>IF(Procurement_kpi_Analysis[[#This Row],[Compliance]]="No",1,0)</f>
        <v>0</v>
      </c>
    </row>
    <row r="255" spans="1:20" x14ac:dyDescent="0.3">
      <c r="A255" t="s">
        <v>280</v>
      </c>
      <c r="B255" t="s">
        <v>23</v>
      </c>
      <c r="C255" s="1">
        <v>44978</v>
      </c>
      <c r="D255" s="1">
        <v>44981</v>
      </c>
      <c r="E255" t="s">
        <v>39</v>
      </c>
      <c r="F255" t="s">
        <v>18</v>
      </c>
      <c r="G255">
        <v>1307</v>
      </c>
      <c r="H255">
        <v>68.709999999999994</v>
      </c>
      <c r="I255">
        <v>60.64</v>
      </c>
      <c r="J255">
        <v>141</v>
      </c>
      <c r="K255" t="s">
        <v>15</v>
      </c>
      <c r="L255">
        <f>Procurement_kpi_Analysis[[#This Row],[Quantity]]*Procurement_kpi_Analysis[[#This Row],[Negotiated_Price]]</f>
        <v>79256.479999999996</v>
      </c>
      <c r="M255">
        <f>IF(Procurement_kpi_Analysis[[#This Row],[Delivery_Date]]="","",Procurement_kpi_Analysis[[#This Row],[Delivery_Date]]-Procurement_kpi_Analysis[[#This Row],[Order_Date]])</f>
        <v>3</v>
      </c>
      <c r="N255" s="2">
        <f>Procurement_kpi_Analysis[[#This Row],[Defective_Units]]/Procurement_kpi_Analysis[[#This Row],[Quantity]]</f>
        <v>0.10788064269319052</v>
      </c>
      <c r="O255" s="2">
        <f>(Procurement_kpi_Analysis[[#This Row],[Unit_Price]]-Procurement_kpi_Analysis[[#This Row],[Negotiated_Price]])*Procurement_kpi_Analysis[[#This Row],[Quantity]]</f>
        <v>10547.489999999991</v>
      </c>
      <c r="P255" s="2">
        <f>Procurement_kpi_Analysis[[#This Row],[Total Savings]]/Procurement_kpi_Analysis[[#This Row],[Total Spend]]</f>
        <v>0.13308047493403682</v>
      </c>
      <c r="Q255" s="2" t="str">
        <f>IF(Procurement_kpi_Analysis[[#This Row],[Lead Time]]&lt;=14,"On Time","Late")</f>
        <v>On Time</v>
      </c>
      <c r="R255" s="2">
        <f>Procurement_kpi_Analysis[[#This Row],[Unit_Price]]*Procurement_kpi_Analysis[[#This Row],[Quantity]]</f>
        <v>89803.969999999987</v>
      </c>
      <c r="S255" s="2">
        <f>IF(Procurement_kpi_Analysis[[#This Row],[Compliance]]="Yes",1,0)</f>
        <v>1</v>
      </c>
      <c r="T255" s="2">
        <f>IF(Procurement_kpi_Analysis[[#This Row],[Compliance]]="No",1,0)</f>
        <v>0</v>
      </c>
    </row>
    <row r="256" spans="1:20" x14ac:dyDescent="0.3">
      <c r="A256" t="s">
        <v>281</v>
      </c>
      <c r="B256" t="s">
        <v>23</v>
      </c>
      <c r="C256" s="1">
        <v>44756</v>
      </c>
      <c r="D256" s="1">
        <v>44771</v>
      </c>
      <c r="E256" t="s">
        <v>39</v>
      </c>
      <c r="F256" t="s">
        <v>18</v>
      </c>
      <c r="G256">
        <v>733</v>
      </c>
      <c r="H256">
        <v>32.29</v>
      </c>
      <c r="I256">
        <v>29.01</v>
      </c>
      <c r="J256">
        <v>78</v>
      </c>
      <c r="K256" t="s">
        <v>15</v>
      </c>
      <c r="L256">
        <f>Procurement_kpi_Analysis[[#This Row],[Quantity]]*Procurement_kpi_Analysis[[#This Row],[Negotiated_Price]]</f>
        <v>21264.33</v>
      </c>
      <c r="M256">
        <f>IF(Procurement_kpi_Analysis[[#This Row],[Delivery_Date]]="","",Procurement_kpi_Analysis[[#This Row],[Delivery_Date]]-Procurement_kpi_Analysis[[#This Row],[Order_Date]])</f>
        <v>15</v>
      </c>
      <c r="N256" s="2">
        <f>Procurement_kpi_Analysis[[#This Row],[Defective_Units]]/Procurement_kpi_Analysis[[#This Row],[Quantity]]</f>
        <v>0.10641200545702592</v>
      </c>
      <c r="O256" s="2">
        <f>(Procurement_kpi_Analysis[[#This Row],[Unit_Price]]-Procurement_kpi_Analysis[[#This Row],[Negotiated_Price]])*Procurement_kpi_Analysis[[#This Row],[Quantity]]</f>
        <v>2404.2399999999984</v>
      </c>
      <c r="P256" s="2">
        <f>Procurement_kpi_Analysis[[#This Row],[Total Savings]]/Procurement_kpi_Analysis[[#This Row],[Total Spend]]</f>
        <v>0.11306446053085134</v>
      </c>
      <c r="Q256" s="2" t="str">
        <f>IF(Procurement_kpi_Analysis[[#This Row],[Lead Time]]&lt;=14,"On Time","Late")</f>
        <v>Late</v>
      </c>
      <c r="R256" s="2">
        <f>Procurement_kpi_Analysis[[#This Row],[Unit_Price]]*Procurement_kpi_Analysis[[#This Row],[Quantity]]</f>
        <v>23668.57</v>
      </c>
      <c r="S256" s="2">
        <f>IF(Procurement_kpi_Analysis[[#This Row],[Compliance]]="Yes",1,0)</f>
        <v>1</v>
      </c>
      <c r="T256" s="2">
        <f>IF(Procurement_kpi_Analysis[[#This Row],[Compliance]]="No",1,0)</f>
        <v>0</v>
      </c>
    </row>
    <row r="257" spans="1:20" x14ac:dyDescent="0.3">
      <c r="A257" t="s">
        <v>282</v>
      </c>
      <c r="B257" t="s">
        <v>20</v>
      </c>
      <c r="C257" s="1">
        <v>44658</v>
      </c>
      <c r="D257" s="1"/>
      <c r="E257" t="s">
        <v>24</v>
      </c>
      <c r="F257" t="s">
        <v>18</v>
      </c>
      <c r="G257">
        <v>713</v>
      </c>
      <c r="H257">
        <v>19.45</v>
      </c>
      <c r="I257">
        <v>18.82</v>
      </c>
      <c r="J257">
        <v>31</v>
      </c>
      <c r="K257" t="s">
        <v>15</v>
      </c>
      <c r="L257">
        <f>Procurement_kpi_Analysis[[#This Row],[Quantity]]*Procurement_kpi_Analysis[[#This Row],[Negotiated_Price]]</f>
        <v>13418.66</v>
      </c>
      <c r="M257" t="str">
        <f>IF(Procurement_kpi_Analysis[[#This Row],[Delivery_Date]]="","",Procurement_kpi_Analysis[[#This Row],[Delivery_Date]]-Procurement_kpi_Analysis[[#This Row],[Order_Date]])</f>
        <v/>
      </c>
      <c r="N257" s="2">
        <f>Procurement_kpi_Analysis[[#This Row],[Defective_Units]]/Procurement_kpi_Analysis[[#This Row],[Quantity]]</f>
        <v>4.3478260869565216E-2</v>
      </c>
      <c r="O257" s="2">
        <f>(Procurement_kpi_Analysis[[#This Row],[Unit_Price]]-Procurement_kpi_Analysis[[#This Row],[Negotiated_Price]])*Procurement_kpi_Analysis[[#This Row],[Quantity]]</f>
        <v>449.18999999999932</v>
      </c>
      <c r="P257" s="2">
        <f>Procurement_kpi_Analysis[[#This Row],[Total Savings]]/Procurement_kpi_Analysis[[#This Row],[Total Spend]]</f>
        <v>3.3475026567481352E-2</v>
      </c>
      <c r="Q257" s="2" t="str">
        <f>IF(Procurement_kpi_Analysis[[#This Row],[Lead Time]]&lt;=14,"On Time","Late")</f>
        <v>Late</v>
      </c>
      <c r="R257" s="2">
        <f>Procurement_kpi_Analysis[[#This Row],[Unit_Price]]*Procurement_kpi_Analysis[[#This Row],[Quantity]]</f>
        <v>13867.85</v>
      </c>
      <c r="S257" s="2">
        <f>IF(Procurement_kpi_Analysis[[#This Row],[Compliance]]="Yes",1,0)</f>
        <v>1</v>
      </c>
      <c r="T257" s="2">
        <f>IF(Procurement_kpi_Analysis[[#This Row],[Compliance]]="No",1,0)</f>
        <v>0</v>
      </c>
    </row>
    <row r="258" spans="1:20" x14ac:dyDescent="0.3">
      <c r="A258" t="s">
        <v>283</v>
      </c>
      <c r="B258" t="s">
        <v>23</v>
      </c>
      <c r="C258" s="1">
        <v>44661</v>
      </c>
      <c r="D258" s="1">
        <v>44675</v>
      </c>
      <c r="E258" t="s">
        <v>24</v>
      </c>
      <c r="F258" t="s">
        <v>18</v>
      </c>
      <c r="G258">
        <v>1900</v>
      </c>
      <c r="H258">
        <v>24.11</v>
      </c>
      <c r="I258">
        <v>23.45</v>
      </c>
      <c r="J258">
        <v>188</v>
      </c>
      <c r="K258" t="s">
        <v>15</v>
      </c>
      <c r="L258">
        <f>Procurement_kpi_Analysis[[#This Row],[Quantity]]*Procurement_kpi_Analysis[[#This Row],[Negotiated_Price]]</f>
        <v>44555</v>
      </c>
      <c r="M258">
        <f>IF(Procurement_kpi_Analysis[[#This Row],[Delivery_Date]]="","",Procurement_kpi_Analysis[[#This Row],[Delivery_Date]]-Procurement_kpi_Analysis[[#This Row],[Order_Date]])</f>
        <v>14</v>
      </c>
      <c r="N258" s="2">
        <f>Procurement_kpi_Analysis[[#This Row],[Defective_Units]]/Procurement_kpi_Analysis[[#This Row],[Quantity]]</f>
        <v>9.8947368421052631E-2</v>
      </c>
      <c r="O258" s="2">
        <f>(Procurement_kpi_Analysis[[#This Row],[Unit_Price]]-Procurement_kpi_Analysis[[#This Row],[Negotiated_Price]])*Procurement_kpi_Analysis[[#This Row],[Quantity]]</f>
        <v>1254.0000000000002</v>
      </c>
      <c r="P258" s="2">
        <f>Procurement_kpi_Analysis[[#This Row],[Total Savings]]/Procurement_kpi_Analysis[[#This Row],[Total Spend]]</f>
        <v>2.8144989339019193E-2</v>
      </c>
      <c r="Q258" s="2" t="str">
        <f>IF(Procurement_kpi_Analysis[[#This Row],[Lead Time]]&lt;=14,"On Time","Late")</f>
        <v>On Time</v>
      </c>
      <c r="R258" s="2">
        <f>Procurement_kpi_Analysis[[#This Row],[Unit_Price]]*Procurement_kpi_Analysis[[#This Row],[Quantity]]</f>
        <v>45809</v>
      </c>
      <c r="S258" s="2">
        <f>IF(Procurement_kpi_Analysis[[#This Row],[Compliance]]="Yes",1,0)</f>
        <v>1</v>
      </c>
      <c r="T258" s="2">
        <f>IF(Procurement_kpi_Analysis[[#This Row],[Compliance]]="No",1,0)</f>
        <v>0</v>
      </c>
    </row>
    <row r="259" spans="1:20" x14ac:dyDescent="0.3">
      <c r="A259" t="s">
        <v>284</v>
      </c>
      <c r="B259" t="s">
        <v>17</v>
      </c>
      <c r="C259" s="1">
        <v>45236</v>
      </c>
      <c r="D259" s="1">
        <v>45238</v>
      </c>
      <c r="E259" t="s">
        <v>21</v>
      </c>
      <c r="F259" t="s">
        <v>14</v>
      </c>
      <c r="G259">
        <v>1447</v>
      </c>
      <c r="H259">
        <v>35.67</v>
      </c>
      <c r="I259">
        <v>35.07</v>
      </c>
      <c r="J259">
        <v>224</v>
      </c>
      <c r="K259" t="s">
        <v>27</v>
      </c>
      <c r="L259">
        <f>Procurement_kpi_Analysis[[#This Row],[Quantity]]*Procurement_kpi_Analysis[[#This Row],[Negotiated_Price]]</f>
        <v>50746.29</v>
      </c>
      <c r="M259">
        <f>IF(Procurement_kpi_Analysis[[#This Row],[Delivery_Date]]="","",Procurement_kpi_Analysis[[#This Row],[Delivery_Date]]-Procurement_kpi_Analysis[[#This Row],[Order_Date]])</f>
        <v>2</v>
      </c>
      <c r="N259" s="2">
        <f>Procurement_kpi_Analysis[[#This Row],[Defective_Units]]/Procurement_kpi_Analysis[[#This Row],[Quantity]]</f>
        <v>0.15480304077401522</v>
      </c>
      <c r="O259" s="2">
        <f>(Procurement_kpi_Analysis[[#This Row],[Unit_Price]]-Procurement_kpi_Analysis[[#This Row],[Negotiated_Price]])*Procurement_kpi_Analysis[[#This Row],[Quantity]]</f>
        <v>868.20000000000209</v>
      </c>
      <c r="P259" s="2">
        <f>Procurement_kpi_Analysis[[#This Row],[Total Savings]]/Procurement_kpi_Analysis[[#This Row],[Total Spend]]</f>
        <v>1.7108639863130923E-2</v>
      </c>
      <c r="Q259" s="2" t="str">
        <f>IF(Procurement_kpi_Analysis[[#This Row],[Lead Time]]&lt;=14,"On Time","Late")</f>
        <v>On Time</v>
      </c>
      <c r="R259" s="2">
        <f>Procurement_kpi_Analysis[[#This Row],[Unit_Price]]*Procurement_kpi_Analysis[[#This Row],[Quantity]]</f>
        <v>51614.490000000005</v>
      </c>
      <c r="S259" s="2">
        <f>IF(Procurement_kpi_Analysis[[#This Row],[Compliance]]="Yes",1,0)</f>
        <v>0</v>
      </c>
      <c r="T259" s="2">
        <f>IF(Procurement_kpi_Analysis[[#This Row],[Compliance]]="No",1,0)</f>
        <v>1</v>
      </c>
    </row>
    <row r="260" spans="1:20" x14ac:dyDescent="0.3">
      <c r="A260" t="s">
        <v>285</v>
      </c>
      <c r="B260" t="s">
        <v>29</v>
      </c>
      <c r="C260" s="1">
        <v>45003</v>
      </c>
      <c r="D260" s="1"/>
      <c r="E260" t="s">
        <v>13</v>
      </c>
      <c r="F260" t="s">
        <v>18</v>
      </c>
      <c r="G260">
        <v>1745</v>
      </c>
      <c r="H260">
        <v>26.17</v>
      </c>
      <c r="I260">
        <v>22.25</v>
      </c>
      <c r="J260">
        <v>55</v>
      </c>
      <c r="K260" t="s">
        <v>15</v>
      </c>
      <c r="L260">
        <f>Procurement_kpi_Analysis[[#This Row],[Quantity]]*Procurement_kpi_Analysis[[#This Row],[Negotiated_Price]]</f>
        <v>38826.25</v>
      </c>
      <c r="M260" t="str">
        <f>IF(Procurement_kpi_Analysis[[#This Row],[Delivery_Date]]="","",Procurement_kpi_Analysis[[#This Row],[Delivery_Date]]-Procurement_kpi_Analysis[[#This Row],[Order_Date]])</f>
        <v/>
      </c>
      <c r="N260" s="2">
        <f>Procurement_kpi_Analysis[[#This Row],[Defective_Units]]/Procurement_kpi_Analysis[[#This Row],[Quantity]]</f>
        <v>3.151862464183381E-2</v>
      </c>
      <c r="O260" s="2">
        <f>(Procurement_kpi_Analysis[[#This Row],[Unit_Price]]-Procurement_kpi_Analysis[[#This Row],[Negotiated_Price]])*Procurement_kpi_Analysis[[#This Row],[Quantity]]</f>
        <v>6840.4000000000033</v>
      </c>
      <c r="P260" s="2">
        <f>Procurement_kpi_Analysis[[#This Row],[Total Savings]]/Procurement_kpi_Analysis[[#This Row],[Total Spend]]</f>
        <v>0.17617977528089895</v>
      </c>
      <c r="Q260" s="2" t="str">
        <f>IF(Procurement_kpi_Analysis[[#This Row],[Lead Time]]&lt;=14,"On Time","Late")</f>
        <v>Late</v>
      </c>
      <c r="R260" s="2">
        <f>Procurement_kpi_Analysis[[#This Row],[Unit_Price]]*Procurement_kpi_Analysis[[#This Row],[Quantity]]</f>
        <v>45666.65</v>
      </c>
      <c r="S260" s="2">
        <f>IF(Procurement_kpi_Analysis[[#This Row],[Compliance]]="Yes",1,0)</f>
        <v>1</v>
      </c>
      <c r="T260" s="2">
        <f>IF(Procurement_kpi_Analysis[[#This Row],[Compliance]]="No",1,0)</f>
        <v>0</v>
      </c>
    </row>
    <row r="261" spans="1:20" x14ac:dyDescent="0.3">
      <c r="A261" t="s">
        <v>286</v>
      </c>
      <c r="B261" t="s">
        <v>23</v>
      </c>
      <c r="C261" s="1">
        <v>44924</v>
      </c>
      <c r="D261" s="1">
        <v>44940</v>
      </c>
      <c r="E261" t="s">
        <v>13</v>
      </c>
      <c r="F261" t="s">
        <v>18</v>
      </c>
      <c r="G261">
        <v>1681</v>
      </c>
      <c r="H261">
        <v>28.26</v>
      </c>
      <c r="I261">
        <v>26.62</v>
      </c>
      <c r="J261">
        <v>143</v>
      </c>
      <c r="K261" t="s">
        <v>15</v>
      </c>
      <c r="L261">
        <f>Procurement_kpi_Analysis[[#This Row],[Quantity]]*Procurement_kpi_Analysis[[#This Row],[Negotiated_Price]]</f>
        <v>44748.22</v>
      </c>
      <c r="M261">
        <f>IF(Procurement_kpi_Analysis[[#This Row],[Delivery_Date]]="","",Procurement_kpi_Analysis[[#This Row],[Delivery_Date]]-Procurement_kpi_Analysis[[#This Row],[Order_Date]])</f>
        <v>16</v>
      </c>
      <c r="N261" s="2">
        <f>Procurement_kpi_Analysis[[#This Row],[Defective_Units]]/Procurement_kpi_Analysis[[#This Row],[Quantity]]</f>
        <v>8.5068411659726353E-2</v>
      </c>
      <c r="O261" s="2">
        <f>(Procurement_kpi_Analysis[[#This Row],[Unit_Price]]-Procurement_kpi_Analysis[[#This Row],[Negotiated_Price]])*Procurement_kpi_Analysis[[#This Row],[Quantity]]</f>
        <v>2756.8400000000011</v>
      </c>
      <c r="P261" s="2">
        <f>Procurement_kpi_Analysis[[#This Row],[Total Savings]]/Procurement_kpi_Analysis[[#This Row],[Total Spend]]</f>
        <v>6.1607813673929396E-2</v>
      </c>
      <c r="Q261" s="2" t="str">
        <f>IF(Procurement_kpi_Analysis[[#This Row],[Lead Time]]&lt;=14,"On Time","Late")</f>
        <v>Late</v>
      </c>
      <c r="R261" s="2">
        <f>Procurement_kpi_Analysis[[#This Row],[Unit_Price]]*Procurement_kpi_Analysis[[#This Row],[Quantity]]</f>
        <v>47505.060000000005</v>
      </c>
      <c r="S261" s="2">
        <f>IF(Procurement_kpi_Analysis[[#This Row],[Compliance]]="Yes",1,0)</f>
        <v>1</v>
      </c>
      <c r="T261" s="2">
        <f>IF(Procurement_kpi_Analysis[[#This Row],[Compliance]]="No",1,0)</f>
        <v>0</v>
      </c>
    </row>
    <row r="262" spans="1:20" x14ac:dyDescent="0.3">
      <c r="A262" t="s">
        <v>287</v>
      </c>
      <c r="B262" t="s">
        <v>17</v>
      </c>
      <c r="C262" s="1">
        <v>44995</v>
      </c>
      <c r="D262" s="1">
        <v>45003</v>
      </c>
      <c r="E262" t="s">
        <v>39</v>
      </c>
      <c r="F262" t="s">
        <v>18</v>
      </c>
      <c r="G262">
        <v>1545</v>
      </c>
      <c r="H262">
        <v>38.15</v>
      </c>
      <c r="I262">
        <v>36.96</v>
      </c>
      <c r="J262">
        <v>214</v>
      </c>
      <c r="K262" t="s">
        <v>15</v>
      </c>
      <c r="L262">
        <f>Procurement_kpi_Analysis[[#This Row],[Quantity]]*Procurement_kpi_Analysis[[#This Row],[Negotiated_Price]]</f>
        <v>57103.200000000004</v>
      </c>
      <c r="M262">
        <f>IF(Procurement_kpi_Analysis[[#This Row],[Delivery_Date]]="","",Procurement_kpi_Analysis[[#This Row],[Delivery_Date]]-Procurement_kpi_Analysis[[#This Row],[Order_Date]])</f>
        <v>8</v>
      </c>
      <c r="N262" s="2">
        <f>Procurement_kpi_Analysis[[#This Row],[Defective_Units]]/Procurement_kpi_Analysis[[#This Row],[Quantity]]</f>
        <v>0.13851132686084142</v>
      </c>
      <c r="O262" s="2">
        <f>(Procurement_kpi_Analysis[[#This Row],[Unit_Price]]-Procurement_kpi_Analysis[[#This Row],[Negotiated_Price]])*Procurement_kpi_Analysis[[#This Row],[Quantity]]</f>
        <v>1838.5499999999965</v>
      </c>
      <c r="P262" s="2">
        <f>Procurement_kpi_Analysis[[#This Row],[Total Savings]]/Procurement_kpi_Analysis[[#This Row],[Total Spend]]</f>
        <v>3.2196969696969634E-2</v>
      </c>
      <c r="Q262" s="2" t="str">
        <f>IF(Procurement_kpi_Analysis[[#This Row],[Lead Time]]&lt;=14,"On Time","Late")</f>
        <v>On Time</v>
      </c>
      <c r="R262" s="2">
        <f>Procurement_kpi_Analysis[[#This Row],[Unit_Price]]*Procurement_kpi_Analysis[[#This Row],[Quantity]]</f>
        <v>58941.75</v>
      </c>
      <c r="S262" s="2">
        <f>IF(Procurement_kpi_Analysis[[#This Row],[Compliance]]="Yes",1,0)</f>
        <v>1</v>
      </c>
      <c r="T262" s="2">
        <f>IF(Procurement_kpi_Analysis[[#This Row],[Compliance]]="No",1,0)</f>
        <v>0</v>
      </c>
    </row>
    <row r="263" spans="1:20" x14ac:dyDescent="0.3">
      <c r="A263" t="s">
        <v>288</v>
      </c>
      <c r="B263" t="s">
        <v>29</v>
      </c>
      <c r="C263" s="1">
        <v>44982</v>
      </c>
      <c r="D263" s="1">
        <v>44987</v>
      </c>
      <c r="E263" t="s">
        <v>26</v>
      </c>
      <c r="F263" t="s">
        <v>18</v>
      </c>
      <c r="G263">
        <v>1306</v>
      </c>
      <c r="H263">
        <v>27.27</v>
      </c>
      <c r="I263">
        <v>25.96</v>
      </c>
      <c r="J263">
        <v>39</v>
      </c>
      <c r="K263" t="s">
        <v>15</v>
      </c>
      <c r="L263">
        <f>Procurement_kpi_Analysis[[#This Row],[Quantity]]*Procurement_kpi_Analysis[[#This Row],[Negotiated_Price]]</f>
        <v>33903.760000000002</v>
      </c>
      <c r="M263">
        <f>IF(Procurement_kpi_Analysis[[#This Row],[Delivery_Date]]="","",Procurement_kpi_Analysis[[#This Row],[Delivery_Date]]-Procurement_kpi_Analysis[[#This Row],[Order_Date]])</f>
        <v>5</v>
      </c>
      <c r="N263" s="2">
        <f>Procurement_kpi_Analysis[[#This Row],[Defective_Units]]/Procurement_kpi_Analysis[[#This Row],[Quantity]]</f>
        <v>2.9862174578866769E-2</v>
      </c>
      <c r="O263" s="2">
        <f>(Procurement_kpi_Analysis[[#This Row],[Unit_Price]]-Procurement_kpi_Analysis[[#This Row],[Negotiated_Price]])*Procurement_kpi_Analysis[[#This Row],[Quantity]]</f>
        <v>1710.8599999999983</v>
      </c>
      <c r="P263" s="2">
        <f>Procurement_kpi_Analysis[[#This Row],[Total Savings]]/Procurement_kpi_Analysis[[#This Row],[Total Spend]]</f>
        <v>5.0462249614791933E-2</v>
      </c>
      <c r="Q263" s="2" t="str">
        <f>IF(Procurement_kpi_Analysis[[#This Row],[Lead Time]]&lt;=14,"On Time","Late")</f>
        <v>On Time</v>
      </c>
      <c r="R263" s="2">
        <f>Procurement_kpi_Analysis[[#This Row],[Unit_Price]]*Procurement_kpi_Analysis[[#This Row],[Quantity]]</f>
        <v>35614.620000000003</v>
      </c>
      <c r="S263" s="2">
        <f>IF(Procurement_kpi_Analysis[[#This Row],[Compliance]]="Yes",1,0)</f>
        <v>1</v>
      </c>
      <c r="T263" s="2">
        <f>IF(Procurement_kpi_Analysis[[#This Row],[Compliance]]="No",1,0)</f>
        <v>0</v>
      </c>
    </row>
    <row r="264" spans="1:20" x14ac:dyDescent="0.3">
      <c r="A264" t="s">
        <v>289</v>
      </c>
      <c r="B264" t="s">
        <v>20</v>
      </c>
      <c r="C264" s="1">
        <v>45040</v>
      </c>
      <c r="D264" s="1">
        <v>45052</v>
      </c>
      <c r="E264" t="s">
        <v>26</v>
      </c>
      <c r="F264" t="s">
        <v>18</v>
      </c>
      <c r="G264">
        <v>1765</v>
      </c>
      <c r="H264">
        <v>97.51</v>
      </c>
      <c r="I264">
        <v>84.3</v>
      </c>
      <c r="J264">
        <v>65</v>
      </c>
      <c r="K264" t="s">
        <v>15</v>
      </c>
      <c r="L264">
        <f>Procurement_kpi_Analysis[[#This Row],[Quantity]]*Procurement_kpi_Analysis[[#This Row],[Negotiated_Price]]</f>
        <v>148789.5</v>
      </c>
      <c r="M264">
        <f>IF(Procurement_kpi_Analysis[[#This Row],[Delivery_Date]]="","",Procurement_kpi_Analysis[[#This Row],[Delivery_Date]]-Procurement_kpi_Analysis[[#This Row],[Order_Date]])</f>
        <v>12</v>
      </c>
      <c r="N264" s="2">
        <f>Procurement_kpi_Analysis[[#This Row],[Defective_Units]]/Procurement_kpi_Analysis[[#This Row],[Quantity]]</f>
        <v>3.6827195467422094E-2</v>
      </c>
      <c r="O264" s="2">
        <f>(Procurement_kpi_Analysis[[#This Row],[Unit_Price]]-Procurement_kpi_Analysis[[#This Row],[Negotiated_Price]])*Procurement_kpi_Analysis[[#This Row],[Quantity]]</f>
        <v>23315.650000000012</v>
      </c>
      <c r="P264" s="2">
        <f>Procurement_kpi_Analysis[[#This Row],[Total Savings]]/Procurement_kpi_Analysis[[#This Row],[Total Spend]]</f>
        <v>0.15670225385527886</v>
      </c>
      <c r="Q264" s="2" t="str">
        <f>IF(Procurement_kpi_Analysis[[#This Row],[Lead Time]]&lt;=14,"On Time","Late")</f>
        <v>On Time</v>
      </c>
      <c r="R264" s="2">
        <f>Procurement_kpi_Analysis[[#This Row],[Unit_Price]]*Procurement_kpi_Analysis[[#This Row],[Quantity]]</f>
        <v>172105.15000000002</v>
      </c>
      <c r="S264" s="2">
        <f>IF(Procurement_kpi_Analysis[[#This Row],[Compliance]]="Yes",1,0)</f>
        <v>1</v>
      </c>
      <c r="T264" s="2">
        <f>IF(Procurement_kpi_Analysis[[#This Row],[Compliance]]="No",1,0)</f>
        <v>0</v>
      </c>
    </row>
    <row r="265" spans="1:20" x14ac:dyDescent="0.3">
      <c r="A265" t="s">
        <v>290</v>
      </c>
      <c r="B265" t="s">
        <v>20</v>
      </c>
      <c r="C265" s="1">
        <v>44617</v>
      </c>
      <c r="D265" s="1">
        <v>44635</v>
      </c>
      <c r="E265" t="s">
        <v>24</v>
      </c>
      <c r="F265" t="s">
        <v>14</v>
      </c>
      <c r="G265">
        <v>1186</v>
      </c>
      <c r="H265">
        <v>17.309999999999999</v>
      </c>
      <c r="I265">
        <v>16</v>
      </c>
      <c r="J265">
        <v>64</v>
      </c>
      <c r="K265" t="s">
        <v>15</v>
      </c>
      <c r="L265">
        <f>Procurement_kpi_Analysis[[#This Row],[Quantity]]*Procurement_kpi_Analysis[[#This Row],[Negotiated_Price]]</f>
        <v>18976</v>
      </c>
      <c r="M265">
        <f>IF(Procurement_kpi_Analysis[[#This Row],[Delivery_Date]]="","",Procurement_kpi_Analysis[[#This Row],[Delivery_Date]]-Procurement_kpi_Analysis[[#This Row],[Order_Date]])</f>
        <v>18</v>
      </c>
      <c r="N265" s="2">
        <f>Procurement_kpi_Analysis[[#This Row],[Defective_Units]]/Procurement_kpi_Analysis[[#This Row],[Quantity]]</f>
        <v>5.3962900505902189E-2</v>
      </c>
      <c r="O265" s="2">
        <f>(Procurement_kpi_Analysis[[#This Row],[Unit_Price]]-Procurement_kpi_Analysis[[#This Row],[Negotiated_Price]])*Procurement_kpi_Analysis[[#This Row],[Quantity]]</f>
        <v>1553.6599999999985</v>
      </c>
      <c r="P265" s="2">
        <f>Procurement_kpi_Analysis[[#This Row],[Total Savings]]/Procurement_kpi_Analysis[[#This Row],[Total Spend]]</f>
        <v>8.187499999999992E-2</v>
      </c>
      <c r="Q265" s="2" t="str">
        <f>IF(Procurement_kpi_Analysis[[#This Row],[Lead Time]]&lt;=14,"On Time","Late")</f>
        <v>Late</v>
      </c>
      <c r="R265" s="2">
        <f>Procurement_kpi_Analysis[[#This Row],[Unit_Price]]*Procurement_kpi_Analysis[[#This Row],[Quantity]]</f>
        <v>20529.66</v>
      </c>
      <c r="S265" s="2">
        <f>IF(Procurement_kpi_Analysis[[#This Row],[Compliance]]="Yes",1,0)</f>
        <v>1</v>
      </c>
      <c r="T265" s="2">
        <f>IF(Procurement_kpi_Analysis[[#This Row],[Compliance]]="No",1,0)</f>
        <v>0</v>
      </c>
    </row>
    <row r="266" spans="1:20" x14ac:dyDescent="0.3">
      <c r="A266" t="s">
        <v>291</v>
      </c>
      <c r="B266" t="s">
        <v>17</v>
      </c>
      <c r="C266" s="1">
        <v>45251</v>
      </c>
      <c r="D266" s="1">
        <v>45256</v>
      </c>
      <c r="E266" t="s">
        <v>24</v>
      </c>
      <c r="F266" t="s">
        <v>18</v>
      </c>
      <c r="G266">
        <v>1903</v>
      </c>
      <c r="H266">
        <v>63.5</v>
      </c>
      <c r="I266">
        <v>56.09</v>
      </c>
      <c r="J266">
        <v>254</v>
      </c>
      <c r="K266" t="s">
        <v>15</v>
      </c>
      <c r="L266">
        <f>Procurement_kpi_Analysis[[#This Row],[Quantity]]*Procurement_kpi_Analysis[[#This Row],[Negotiated_Price]]</f>
        <v>106739.27</v>
      </c>
      <c r="M266">
        <f>IF(Procurement_kpi_Analysis[[#This Row],[Delivery_Date]]="","",Procurement_kpi_Analysis[[#This Row],[Delivery_Date]]-Procurement_kpi_Analysis[[#This Row],[Order_Date]])</f>
        <v>5</v>
      </c>
      <c r="N266" s="2">
        <f>Procurement_kpi_Analysis[[#This Row],[Defective_Units]]/Procurement_kpi_Analysis[[#This Row],[Quantity]]</f>
        <v>0.13347346295323173</v>
      </c>
      <c r="O266" s="2">
        <f>(Procurement_kpi_Analysis[[#This Row],[Unit_Price]]-Procurement_kpi_Analysis[[#This Row],[Negotiated_Price]])*Procurement_kpi_Analysis[[#This Row],[Quantity]]</f>
        <v>14101.229999999994</v>
      </c>
      <c r="P266" s="2">
        <f>Procurement_kpi_Analysis[[#This Row],[Total Savings]]/Procurement_kpi_Analysis[[#This Row],[Total Spend]]</f>
        <v>0.1321091103583526</v>
      </c>
      <c r="Q266" s="2" t="str">
        <f>IF(Procurement_kpi_Analysis[[#This Row],[Lead Time]]&lt;=14,"On Time","Late")</f>
        <v>On Time</v>
      </c>
      <c r="R266" s="2">
        <f>Procurement_kpi_Analysis[[#This Row],[Unit_Price]]*Procurement_kpi_Analysis[[#This Row],[Quantity]]</f>
        <v>120840.5</v>
      </c>
      <c r="S266" s="2">
        <f>IF(Procurement_kpi_Analysis[[#This Row],[Compliance]]="Yes",1,0)</f>
        <v>1</v>
      </c>
      <c r="T266" s="2">
        <f>IF(Procurement_kpi_Analysis[[#This Row],[Compliance]]="No",1,0)</f>
        <v>0</v>
      </c>
    </row>
    <row r="267" spans="1:20" x14ac:dyDescent="0.3">
      <c r="A267" t="s">
        <v>292</v>
      </c>
      <c r="B267" t="s">
        <v>17</v>
      </c>
      <c r="C267" s="1">
        <v>45231</v>
      </c>
      <c r="D267" s="1">
        <v>45235</v>
      </c>
      <c r="E267" t="s">
        <v>21</v>
      </c>
      <c r="F267" t="s">
        <v>18</v>
      </c>
      <c r="G267">
        <v>1570</v>
      </c>
      <c r="H267">
        <v>52.1</v>
      </c>
      <c r="I267">
        <v>47.87</v>
      </c>
      <c r="J267">
        <v>0</v>
      </c>
      <c r="K267" t="s">
        <v>27</v>
      </c>
      <c r="L267">
        <f>Procurement_kpi_Analysis[[#This Row],[Quantity]]*Procurement_kpi_Analysis[[#This Row],[Negotiated_Price]]</f>
        <v>75155.899999999994</v>
      </c>
      <c r="M267">
        <f>IF(Procurement_kpi_Analysis[[#This Row],[Delivery_Date]]="","",Procurement_kpi_Analysis[[#This Row],[Delivery_Date]]-Procurement_kpi_Analysis[[#This Row],[Order_Date]])</f>
        <v>4</v>
      </c>
      <c r="N267" s="2">
        <f>Procurement_kpi_Analysis[[#This Row],[Defective_Units]]/Procurement_kpi_Analysis[[#This Row],[Quantity]]</f>
        <v>0</v>
      </c>
      <c r="O267" s="2">
        <f>(Procurement_kpi_Analysis[[#This Row],[Unit_Price]]-Procurement_kpi_Analysis[[#This Row],[Negotiated_Price]])*Procurement_kpi_Analysis[[#This Row],[Quantity]]</f>
        <v>6641.1000000000058</v>
      </c>
      <c r="P267" s="2">
        <f>Procurement_kpi_Analysis[[#This Row],[Total Savings]]/Procurement_kpi_Analysis[[#This Row],[Total Spend]]</f>
        <v>8.836432003342394E-2</v>
      </c>
      <c r="Q267" s="2" t="str">
        <f>IF(Procurement_kpi_Analysis[[#This Row],[Lead Time]]&lt;=14,"On Time","Late")</f>
        <v>On Time</v>
      </c>
      <c r="R267" s="2">
        <f>Procurement_kpi_Analysis[[#This Row],[Unit_Price]]*Procurement_kpi_Analysis[[#This Row],[Quantity]]</f>
        <v>81797</v>
      </c>
      <c r="S267" s="2">
        <f>IF(Procurement_kpi_Analysis[[#This Row],[Compliance]]="Yes",1,0)</f>
        <v>0</v>
      </c>
      <c r="T267" s="2">
        <f>IF(Procurement_kpi_Analysis[[#This Row],[Compliance]]="No",1,0)</f>
        <v>1</v>
      </c>
    </row>
    <row r="268" spans="1:20" x14ac:dyDescent="0.3">
      <c r="A268" t="s">
        <v>293</v>
      </c>
      <c r="B268" t="s">
        <v>17</v>
      </c>
      <c r="C268" s="1">
        <v>45223</v>
      </c>
      <c r="D268" s="1">
        <v>45243</v>
      </c>
      <c r="E268" t="s">
        <v>21</v>
      </c>
      <c r="F268" t="s">
        <v>18</v>
      </c>
      <c r="G268">
        <v>491</v>
      </c>
      <c r="H268">
        <v>108.75</v>
      </c>
      <c r="I268">
        <v>93.35</v>
      </c>
      <c r="J268">
        <v>0</v>
      </c>
      <c r="K268" t="s">
        <v>27</v>
      </c>
      <c r="L268">
        <f>Procurement_kpi_Analysis[[#This Row],[Quantity]]*Procurement_kpi_Analysis[[#This Row],[Negotiated_Price]]</f>
        <v>45834.85</v>
      </c>
      <c r="M268">
        <f>IF(Procurement_kpi_Analysis[[#This Row],[Delivery_Date]]="","",Procurement_kpi_Analysis[[#This Row],[Delivery_Date]]-Procurement_kpi_Analysis[[#This Row],[Order_Date]])</f>
        <v>20</v>
      </c>
      <c r="N268" s="2">
        <f>Procurement_kpi_Analysis[[#This Row],[Defective_Units]]/Procurement_kpi_Analysis[[#This Row],[Quantity]]</f>
        <v>0</v>
      </c>
      <c r="O268" s="2">
        <f>(Procurement_kpi_Analysis[[#This Row],[Unit_Price]]-Procurement_kpi_Analysis[[#This Row],[Negotiated_Price]])*Procurement_kpi_Analysis[[#This Row],[Quantity]]</f>
        <v>7561.4000000000024</v>
      </c>
      <c r="P268" s="2">
        <f>Procurement_kpi_Analysis[[#This Row],[Total Savings]]/Procurement_kpi_Analysis[[#This Row],[Total Spend]]</f>
        <v>0.16497054097482597</v>
      </c>
      <c r="Q268" s="2" t="str">
        <f>IF(Procurement_kpi_Analysis[[#This Row],[Lead Time]]&lt;=14,"On Time","Late")</f>
        <v>Late</v>
      </c>
      <c r="R268" s="2">
        <f>Procurement_kpi_Analysis[[#This Row],[Unit_Price]]*Procurement_kpi_Analysis[[#This Row],[Quantity]]</f>
        <v>53396.25</v>
      </c>
      <c r="S268" s="2">
        <f>IF(Procurement_kpi_Analysis[[#This Row],[Compliance]]="Yes",1,0)</f>
        <v>0</v>
      </c>
      <c r="T268" s="2">
        <f>IF(Procurement_kpi_Analysis[[#This Row],[Compliance]]="No",1,0)</f>
        <v>1</v>
      </c>
    </row>
    <row r="269" spans="1:20" x14ac:dyDescent="0.3">
      <c r="A269" t="s">
        <v>294</v>
      </c>
      <c r="B269" t="s">
        <v>23</v>
      </c>
      <c r="C269" s="1">
        <v>44662</v>
      </c>
      <c r="D269" s="1">
        <v>44671</v>
      </c>
      <c r="E269" t="s">
        <v>39</v>
      </c>
      <c r="F269" t="s">
        <v>33</v>
      </c>
      <c r="G269">
        <v>613</v>
      </c>
      <c r="H269">
        <v>20.38</v>
      </c>
      <c r="I269">
        <v>20.170000000000002</v>
      </c>
      <c r="J269">
        <v>58</v>
      </c>
      <c r="K269" t="s">
        <v>15</v>
      </c>
      <c r="L269">
        <f>Procurement_kpi_Analysis[[#This Row],[Quantity]]*Procurement_kpi_Analysis[[#This Row],[Negotiated_Price]]</f>
        <v>12364.210000000001</v>
      </c>
      <c r="M269">
        <f>IF(Procurement_kpi_Analysis[[#This Row],[Delivery_Date]]="","",Procurement_kpi_Analysis[[#This Row],[Delivery_Date]]-Procurement_kpi_Analysis[[#This Row],[Order_Date]])</f>
        <v>9</v>
      </c>
      <c r="N269" s="2">
        <f>Procurement_kpi_Analysis[[#This Row],[Defective_Units]]/Procurement_kpi_Analysis[[#This Row],[Quantity]]</f>
        <v>9.461663947797716E-2</v>
      </c>
      <c r="O269" s="2">
        <f>(Procurement_kpi_Analysis[[#This Row],[Unit_Price]]-Procurement_kpi_Analysis[[#This Row],[Negotiated_Price]])*Procurement_kpi_Analysis[[#This Row],[Quantity]]</f>
        <v>128.72999999999834</v>
      </c>
      <c r="P269" s="2">
        <f>Procurement_kpi_Analysis[[#This Row],[Total Savings]]/Procurement_kpi_Analysis[[#This Row],[Total Spend]]</f>
        <v>1.0411502231036058E-2</v>
      </c>
      <c r="Q269" s="2" t="str">
        <f>IF(Procurement_kpi_Analysis[[#This Row],[Lead Time]]&lt;=14,"On Time","Late")</f>
        <v>On Time</v>
      </c>
      <c r="R269" s="2">
        <f>Procurement_kpi_Analysis[[#This Row],[Unit_Price]]*Procurement_kpi_Analysis[[#This Row],[Quantity]]</f>
        <v>12492.939999999999</v>
      </c>
      <c r="S269" s="2">
        <f>IF(Procurement_kpi_Analysis[[#This Row],[Compliance]]="Yes",1,0)</f>
        <v>1</v>
      </c>
      <c r="T269" s="2">
        <f>IF(Procurement_kpi_Analysis[[#This Row],[Compliance]]="No",1,0)</f>
        <v>0</v>
      </c>
    </row>
    <row r="270" spans="1:20" x14ac:dyDescent="0.3">
      <c r="A270" t="s">
        <v>295</v>
      </c>
      <c r="B270" t="s">
        <v>20</v>
      </c>
      <c r="C270" s="1">
        <v>44624</v>
      </c>
      <c r="D270" s="1">
        <v>44636</v>
      </c>
      <c r="E270" t="s">
        <v>26</v>
      </c>
      <c r="F270" t="s">
        <v>33</v>
      </c>
      <c r="G270">
        <v>1341</v>
      </c>
      <c r="H270">
        <v>46.27</v>
      </c>
      <c r="I270">
        <v>43.94</v>
      </c>
      <c r="J270">
        <v>63</v>
      </c>
      <c r="K270" t="s">
        <v>15</v>
      </c>
      <c r="L270">
        <f>Procurement_kpi_Analysis[[#This Row],[Quantity]]*Procurement_kpi_Analysis[[#This Row],[Negotiated_Price]]</f>
        <v>58923.539999999994</v>
      </c>
      <c r="M270">
        <f>IF(Procurement_kpi_Analysis[[#This Row],[Delivery_Date]]="","",Procurement_kpi_Analysis[[#This Row],[Delivery_Date]]-Procurement_kpi_Analysis[[#This Row],[Order_Date]])</f>
        <v>12</v>
      </c>
      <c r="N270" s="2">
        <f>Procurement_kpi_Analysis[[#This Row],[Defective_Units]]/Procurement_kpi_Analysis[[#This Row],[Quantity]]</f>
        <v>4.6979865771812082E-2</v>
      </c>
      <c r="O270" s="2">
        <f>(Procurement_kpi_Analysis[[#This Row],[Unit_Price]]-Procurement_kpi_Analysis[[#This Row],[Negotiated_Price]])*Procurement_kpi_Analysis[[#This Row],[Quantity]]</f>
        <v>3124.530000000007</v>
      </c>
      <c r="P270" s="2">
        <f>Procurement_kpi_Analysis[[#This Row],[Total Savings]]/Procurement_kpi_Analysis[[#This Row],[Total Spend]]</f>
        <v>5.3026854802002858E-2</v>
      </c>
      <c r="Q270" s="2" t="str">
        <f>IF(Procurement_kpi_Analysis[[#This Row],[Lead Time]]&lt;=14,"On Time","Late")</f>
        <v>On Time</v>
      </c>
      <c r="R270" s="2">
        <f>Procurement_kpi_Analysis[[#This Row],[Unit_Price]]*Procurement_kpi_Analysis[[#This Row],[Quantity]]</f>
        <v>62048.070000000007</v>
      </c>
      <c r="S270" s="2">
        <f>IF(Procurement_kpi_Analysis[[#This Row],[Compliance]]="Yes",1,0)</f>
        <v>1</v>
      </c>
      <c r="T270" s="2">
        <f>IF(Procurement_kpi_Analysis[[#This Row],[Compliance]]="No",1,0)</f>
        <v>0</v>
      </c>
    </row>
    <row r="271" spans="1:20" x14ac:dyDescent="0.3">
      <c r="A271" t="s">
        <v>296</v>
      </c>
      <c r="B271" t="s">
        <v>23</v>
      </c>
      <c r="C271" s="1">
        <v>44974</v>
      </c>
      <c r="D271" s="1">
        <v>44989</v>
      </c>
      <c r="E271" t="s">
        <v>21</v>
      </c>
      <c r="F271" t="s">
        <v>33</v>
      </c>
      <c r="G271">
        <v>1583</v>
      </c>
      <c r="H271">
        <v>103.57</v>
      </c>
      <c r="I271">
        <v>89.38</v>
      </c>
      <c r="J271">
        <v>164</v>
      </c>
      <c r="K271" t="s">
        <v>15</v>
      </c>
      <c r="L271">
        <f>Procurement_kpi_Analysis[[#This Row],[Quantity]]*Procurement_kpi_Analysis[[#This Row],[Negotiated_Price]]</f>
        <v>141488.53999999998</v>
      </c>
      <c r="M271">
        <f>IF(Procurement_kpi_Analysis[[#This Row],[Delivery_Date]]="","",Procurement_kpi_Analysis[[#This Row],[Delivery_Date]]-Procurement_kpi_Analysis[[#This Row],[Order_Date]])</f>
        <v>15</v>
      </c>
      <c r="N271" s="2">
        <f>Procurement_kpi_Analysis[[#This Row],[Defective_Units]]/Procurement_kpi_Analysis[[#This Row],[Quantity]]</f>
        <v>0.10360075805432722</v>
      </c>
      <c r="O271" s="2">
        <f>(Procurement_kpi_Analysis[[#This Row],[Unit_Price]]-Procurement_kpi_Analysis[[#This Row],[Negotiated_Price]])*Procurement_kpi_Analysis[[#This Row],[Quantity]]</f>
        <v>22462.769999999997</v>
      </c>
      <c r="P271" s="2">
        <f>Procurement_kpi_Analysis[[#This Row],[Total Savings]]/Procurement_kpi_Analysis[[#This Row],[Total Spend]]</f>
        <v>0.15876034907138062</v>
      </c>
      <c r="Q271" s="2" t="str">
        <f>IF(Procurement_kpi_Analysis[[#This Row],[Lead Time]]&lt;=14,"On Time","Late")</f>
        <v>Late</v>
      </c>
      <c r="R271" s="2">
        <f>Procurement_kpi_Analysis[[#This Row],[Unit_Price]]*Procurement_kpi_Analysis[[#This Row],[Quantity]]</f>
        <v>163951.31</v>
      </c>
      <c r="S271" s="2">
        <f>IF(Procurement_kpi_Analysis[[#This Row],[Compliance]]="Yes",1,0)</f>
        <v>1</v>
      </c>
      <c r="T271" s="2">
        <f>IF(Procurement_kpi_Analysis[[#This Row],[Compliance]]="No",1,0)</f>
        <v>0</v>
      </c>
    </row>
    <row r="272" spans="1:20" x14ac:dyDescent="0.3">
      <c r="A272" t="s">
        <v>297</v>
      </c>
      <c r="B272" t="s">
        <v>23</v>
      </c>
      <c r="C272" s="1">
        <v>44909</v>
      </c>
      <c r="D272" s="1"/>
      <c r="E272" t="s">
        <v>26</v>
      </c>
      <c r="F272" t="s">
        <v>14</v>
      </c>
      <c r="G272">
        <v>1880</v>
      </c>
      <c r="H272">
        <v>92.73</v>
      </c>
      <c r="I272">
        <v>90.78</v>
      </c>
      <c r="J272">
        <v>173</v>
      </c>
      <c r="K272" t="s">
        <v>15</v>
      </c>
      <c r="L272">
        <f>Procurement_kpi_Analysis[[#This Row],[Quantity]]*Procurement_kpi_Analysis[[#This Row],[Negotiated_Price]]</f>
        <v>170666.4</v>
      </c>
      <c r="M272" t="str">
        <f>IF(Procurement_kpi_Analysis[[#This Row],[Delivery_Date]]="","",Procurement_kpi_Analysis[[#This Row],[Delivery_Date]]-Procurement_kpi_Analysis[[#This Row],[Order_Date]])</f>
        <v/>
      </c>
      <c r="N272" s="2">
        <f>Procurement_kpi_Analysis[[#This Row],[Defective_Units]]/Procurement_kpi_Analysis[[#This Row],[Quantity]]</f>
        <v>9.2021276595744675E-2</v>
      </c>
      <c r="O272" s="2">
        <f>(Procurement_kpi_Analysis[[#This Row],[Unit_Price]]-Procurement_kpi_Analysis[[#This Row],[Negotiated_Price]])*Procurement_kpi_Analysis[[#This Row],[Quantity]]</f>
        <v>3666.0000000000055</v>
      </c>
      <c r="P272" s="2">
        <f>Procurement_kpi_Analysis[[#This Row],[Total Savings]]/Procurement_kpi_Analysis[[#This Row],[Total Spend]]</f>
        <v>2.1480502313284897E-2</v>
      </c>
      <c r="Q272" s="2" t="str">
        <f>IF(Procurement_kpi_Analysis[[#This Row],[Lead Time]]&lt;=14,"On Time","Late")</f>
        <v>Late</v>
      </c>
      <c r="R272" s="2">
        <f>Procurement_kpi_Analysis[[#This Row],[Unit_Price]]*Procurement_kpi_Analysis[[#This Row],[Quantity]]</f>
        <v>174332.4</v>
      </c>
      <c r="S272" s="2">
        <f>IF(Procurement_kpi_Analysis[[#This Row],[Compliance]]="Yes",1,0)</f>
        <v>1</v>
      </c>
      <c r="T272" s="2">
        <f>IF(Procurement_kpi_Analysis[[#This Row],[Compliance]]="No",1,0)</f>
        <v>0</v>
      </c>
    </row>
    <row r="273" spans="1:20" x14ac:dyDescent="0.3">
      <c r="A273" t="s">
        <v>298</v>
      </c>
      <c r="B273" t="s">
        <v>29</v>
      </c>
      <c r="C273" s="1">
        <v>44673</v>
      </c>
      <c r="D273" s="1">
        <v>44677</v>
      </c>
      <c r="E273" t="s">
        <v>21</v>
      </c>
      <c r="F273" t="s">
        <v>18</v>
      </c>
      <c r="G273">
        <v>1459</v>
      </c>
      <c r="H273">
        <v>84.79</v>
      </c>
      <c r="I273">
        <v>82.72</v>
      </c>
      <c r="J273">
        <v>47</v>
      </c>
      <c r="K273" t="s">
        <v>15</v>
      </c>
      <c r="L273">
        <f>Procurement_kpi_Analysis[[#This Row],[Quantity]]*Procurement_kpi_Analysis[[#This Row],[Negotiated_Price]]</f>
        <v>120688.48</v>
      </c>
      <c r="M273">
        <f>IF(Procurement_kpi_Analysis[[#This Row],[Delivery_Date]]="","",Procurement_kpi_Analysis[[#This Row],[Delivery_Date]]-Procurement_kpi_Analysis[[#This Row],[Order_Date]])</f>
        <v>4</v>
      </c>
      <c r="N273" s="2">
        <f>Procurement_kpi_Analysis[[#This Row],[Defective_Units]]/Procurement_kpi_Analysis[[#This Row],[Quantity]]</f>
        <v>3.2213845099383139E-2</v>
      </c>
      <c r="O273" s="2">
        <f>(Procurement_kpi_Analysis[[#This Row],[Unit_Price]]-Procurement_kpi_Analysis[[#This Row],[Negotiated_Price]])*Procurement_kpi_Analysis[[#This Row],[Quantity]]</f>
        <v>3020.1300000000106</v>
      </c>
      <c r="P273" s="2">
        <f>Procurement_kpi_Analysis[[#This Row],[Total Savings]]/Procurement_kpi_Analysis[[#This Row],[Total Spend]]</f>
        <v>2.5024177949709955E-2</v>
      </c>
      <c r="Q273" s="2" t="str">
        <f>IF(Procurement_kpi_Analysis[[#This Row],[Lead Time]]&lt;=14,"On Time","Late")</f>
        <v>On Time</v>
      </c>
      <c r="R273" s="2">
        <f>Procurement_kpi_Analysis[[#This Row],[Unit_Price]]*Procurement_kpi_Analysis[[#This Row],[Quantity]]</f>
        <v>123708.61000000002</v>
      </c>
      <c r="S273" s="2">
        <f>IF(Procurement_kpi_Analysis[[#This Row],[Compliance]]="Yes",1,0)</f>
        <v>1</v>
      </c>
      <c r="T273" s="2">
        <f>IF(Procurement_kpi_Analysis[[#This Row],[Compliance]]="No",1,0)</f>
        <v>0</v>
      </c>
    </row>
    <row r="274" spans="1:20" x14ac:dyDescent="0.3">
      <c r="A274" t="s">
        <v>299</v>
      </c>
      <c r="B274" t="s">
        <v>17</v>
      </c>
      <c r="C274" s="1">
        <v>44816</v>
      </c>
      <c r="D274" s="1"/>
      <c r="E274" t="s">
        <v>13</v>
      </c>
      <c r="F274" t="s">
        <v>18</v>
      </c>
      <c r="G274">
        <v>1460</v>
      </c>
      <c r="H274">
        <v>34.54</v>
      </c>
      <c r="I274">
        <v>31.87</v>
      </c>
      <c r="J274">
        <v>208</v>
      </c>
      <c r="K274" t="s">
        <v>27</v>
      </c>
      <c r="L274">
        <f>Procurement_kpi_Analysis[[#This Row],[Quantity]]*Procurement_kpi_Analysis[[#This Row],[Negotiated_Price]]</f>
        <v>46530.200000000004</v>
      </c>
      <c r="M274" t="str">
        <f>IF(Procurement_kpi_Analysis[[#This Row],[Delivery_Date]]="","",Procurement_kpi_Analysis[[#This Row],[Delivery_Date]]-Procurement_kpi_Analysis[[#This Row],[Order_Date]])</f>
        <v/>
      </c>
      <c r="N274" s="2">
        <f>Procurement_kpi_Analysis[[#This Row],[Defective_Units]]/Procurement_kpi_Analysis[[#This Row],[Quantity]]</f>
        <v>0.14246575342465753</v>
      </c>
      <c r="O274" s="2">
        <f>(Procurement_kpi_Analysis[[#This Row],[Unit_Price]]-Procurement_kpi_Analysis[[#This Row],[Negotiated_Price]])*Procurement_kpi_Analysis[[#This Row],[Quantity]]</f>
        <v>3898.1999999999971</v>
      </c>
      <c r="P274" s="2">
        <f>Procurement_kpi_Analysis[[#This Row],[Total Savings]]/Procurement_kpi_Analysis[[#This Row],[Total Spend]]</f>
        <v>8.3777847505490985E-2</v>
      </c>
      <c r="Q274" s="2" t="str">
        <f>IF(Procurement_kpi_Analysis[[#This Row],[Lead Time]]&lt;=14,"On Time","Late")</f>
        <v>Late</v>
      </c>
      <c r="R274" s="2">
        <f>Procurement_kpi_Analysis[[#This Row],[Unit_Price]]*Procurement_kpi_Analysis[[#This Row],[Quantity]]</f>
        <v>50428.4</v>
      </c>
      <c r="S274" s="2">
        <f>IF(Procurement_kpi_Analysis[[#This Row],[Compliance]]="Yes",1,0)</f>
        <v>0</v>
      </c>
      <c r="T274" s="2">
        <f>IF(Procurement_kpi_Analysis[[#This Row],[Compliance]]="No",1,0)</f>
        <v>1</v>
      </c>
    </row>
    <row r="275" spans="1:20" x14ac:dyDescent="0.3">
      <c r="A275" t="s">
        <v>300</v>
      </c>
      <c r="B275" t="s">
        <v>23</v>
      </c>
      <c r="C275" s="1">
        <v>44758</v>
      </c>
      <c r="D275" s="1">
        <v>44770</v>
      </c>
      <c r="E275" t="s">
        <v>24</v>
      </c>
      <c r="F275" t="s">
        <v>33</v>
      </c>
      <c r="G275">
        <v>1186</v>
      </c>
      <c r="H275">
        <v>26.14</v>
      </c>
      <c r="I275">
        <v>24.78</v>
      </c>
      <c r="J275">
        <v>112</v>
      </c>
      <c r="K275" t="s">
        <v>15</v>
      </c>
      <c r="L275">
        <f>Procurement_kpi_Analysis[[#This Row],[Quantity]]*Procurement_kpi_Analysis[[#This Row],[Negotiated_Price]]</f>
        <v>29389.08</v>
      </c>
      <c r="M275">
        <f>IF(Procurement_kpi_Analysis[[#This Row],[Delivery_Date]]="","",Procurement_kpi_Analysis[[#This Row],[Delivery_Date]]-Procurement_kpi_Analysis[[#This Row],[Order_Date]])</f>
        <v>12</v>
      </c>
      <c r="N275" s="2">
        <f>Procurement_kpi_Analysis[[#This Row],[Defective_Units]]/Procurement_kpi_Analysis[[#This Row],[Quantity]]</f>
        <v>9.4435075885328831E-2</v>
      </c>
      <c r="O275" s="2">
        <f>(Procurement_kpi_Analysis[[#This Row],[Unit_Price]]-Procurement_kpi_Analysis[[#This Row],[Negotiated_Price]])*Procurement_kpi_Analysis[[#This Row],[Quantity]]</f>
        <v>1612.9599999999994</v>
      </c>
      <c r="P275" s="2">
        <f>Procurement_kpi_Analysis[[#This Row],[Total Savings]]/Procurement_kpi_Analysis[[#This Row],[Total Spend]]</f>
        <v>5.4882970137207401E-2</v>
      </c>
      <c r="Q275" s="2" t="str">
        <f>IF(Procurement_kpi_Analysis[[#This Row],[Lead Time]]&lt;=14,"On Time","Late")</f>
        <v>On Time</v>
      </c>
      <c r="R275" s="2">
        <f>Procurement_kpi_Analysis[[#This Row],[Unit_Price]]*Procurement_kpi_Analysis[[#This Row],[Quantity]]</f>
        <v>31002.04</v>
      </c>
      <c r="S275" s="2">
        <f>IF(Procurement_kpi_Analysis[[#This Row],[Compliance]]="Yes",1,0)</f>
        <v>1</v>
      </c>
      <c r="T275" s="2">
        <f>IF(Procurement_kpi_Analysis[[#This Row],[Compliance]]="No",1,0)</f>
        <v>0</v>
      </c>
    </row>
    <row r="276" spans="1:20" x14ac:dyDescent="0.3">
      <c r="A276" t="s">
        <v>301</v>
      </c>
      <c r="B276" t="s">
        <v>29</v>
      </c>
      <c r="C276" s="1">
        <v>44756</v>
      </c>
      <c r="D276" s="1">
        <v>44765</v>
      </c>
      <c r="E276" t="s">
        <v>21</v>
      </c>
      <c r="F276" t="s">
        <v>35</v>
      </c>
      <c r="G276">
        <v>1686</v>
      </c>
      <c r="H276">
        <v>72.28</v>
      </c>
      <c r="I276">
        <v>65.209999999999994</v>
      </c>
      <c r="J276">
        <v>53</v>
      </c>
      <c r="K276" t="s">
        <v>15</v>
      </c>
      <c r="L276">
        <f>Procurement_kpi_Analysis[[#This Row],[Quantity]]*Procurement_kpi_Analysis[[#This Row],[Negotiated_Price]]</f>
        <v>109944.05999999998</v>
      </c>
      <c r="M276">
        <f>IF(Procurement_kpi_Analysis[[#This Row],[Delivery_Date]]="","",Procurement_kpi_Analysis[[#This Row],[Delivery_Date]]-Procurement_kpi_Analysis[[#This Row],[Order_Date]])</f>
        <v>9</v>
      </c>
      <c r="N276" s="2">
        <f>Procurement_kpi_Analysis[[#This Row],[Defective_Units]]/Procurement_kpi_Analysis[[#This Row],[Quantity]]</f>
        <v>3.1435349940688022E-2</v>
      </c>
      <c r="O276" s="2">
        <f>(Procurement_kpi_Analysis[[#This Row],[Unit_Price]]-Procurement_kpi_Analysis[[#This Row],[Negotiated_Price]])*Procurement_kpi_Analysis[[#This Row],[Quantity]]</f>
        <v>11920.020000000013</v>
      </c>
      <c r="P276" s="2">
        <f>Procurement_kpi_Analysis[[#This Row],[Total Savings]]/Procurement_kpi_Analysis[[#This Row],[Total Spend]]</f>
        <v>0.10841895414813693</v>
      </c>
      <c r="Q276" s="2" t="str">
        <f>IF(Procurement_kpi_Analysis[[#This Row],[Lead Time]]&lt;=14,"On Time","Late")</f>
        <v>On Time</v>
      </c>
      <c r="R276" s="2">
        <f>Procurement_kpi_Analysis[[#This Row],[Unit_Price]]*Procurement_kpi_Analysis[[#This Row],[Quantity]]</f>
        <v>121864.08</v>
      </c>
      <c r="S276" s="2">
        <f>IF(Procurement_kpi_Analysis[[#This Row],[Compliance]]="Yes",1,0)</f>
        <v>1</v>
      </c>
      <c r="T276" s="2">
        <f>IF(Procurement_kpi_Analysis[[#This Row],[Compliance]]="No",1,0)</f>
        <v>0</v>
      </c>
    </row>
    <row r="277" spans="1:20" x14ac:dyDescent="0.3">
      <c r="A277" t="s">
        <v>302</v>
      </c>
      <c r="B277" t="s">
        <v>12</v>
      </c>
      <c r="C277" s="1">
        <v>45111</v>
      </c>
      <c r="D277" s="1">
        <v>45115</v>
      </c>
      <c r="E277" t="s">
        <v>21</v>
      </c>
      <c r="F277" t="s">
        <v>18</v>
      </c>
      <c r="G277">
        <v>1698</v>
      </c>
      <c r="H277">
        <v>102.07</v>
      </c>
      <c r="I277">
        <v>100.69</v>
      </c>
      <c r="J277">
        <v>28</v>
      </c>
      <c r="K277" t="s">
        <v>15</v>
      </c>
      <c r="L277">
        <f>Procurement_kpi_Analysis[[#This Row],[Quantity]]*Procurement_kpi_Analysis[[#This Row],[Negotiated_Price]]</f>
        <v>170971.62</v>
      </c>
      <c r="M277">
        <f>IF(Procurement_kpi_Analysis[[#This Row],[Delivery_Date]]="","",Procurement_kpi_Analysis[[#This Row],[Delivery_Date]]-Procurement_kpi_Analysis[[#This Row],[Order_Date]])</f>
        <v>4</v>
      </c>
      <c r="N277" s="2">
        <f>Procurement_kpi_Analysis[[#This Row],[Defective_Units]]/Procurement_kpi_Analysis[[#This Row],[Quantity]]</f>
        <v>1.6489988221436984E-2</v>
      </c>
      <c r="O277" s="2">
        <f>(Procurement_kpi_Analysis[[#This Row],[Unit_Price]]-Procurement_kpi_Analysis[[#This Row],[Negotiated_Price]])*Procurement_kpi_Analysis[[#This Row],[Quantity]]</f>
        <v>2343.2399999999925</v>
      </c>
      <c r="P277" s="2">
        <f>Procurement_kpi_Analysis[[#This Row],[Total Savings]]/Procurement_kpi_Analysis[[#This Row],[Total Spend]]</f>
        <v>1.3705432515642026E-2</v>
      </c>
      <c r="Q277" s="2" t="str">
        <f>IF(Procurement_kpi_Analysis[[#This Row],[Lead Time]]&lt;=14,"On Time","Late")</f>
        <v>On Time</v>
      </c>
      <c r="R277" s="2">
        <f>Procurement_kpi_Analysis[[#This Row],[Unit_Price]]*Procurement_kpi_Analysis[[#This Row],[Quantity]]</f>
        <v>173314.86</v>
      </c>
      <c r="S277" s="2">
        <f>IF(Procurement_kpi_Analysis[[#This Row],[Compliance]]="Yes",1,0)</f>
        <v>1</v>
      </c>
      <c r="T277" s="2">
        <f>IF(Procurement_kpi_Analysis[[#This Row],[Compliance]]="No",1,0)</f>
        <v>0</v>
      </c>
    </row>
    <row r="278" spans="1:20" x14ac:dyDescent="0.3">
      <c r="A278" t="s">
        <v>303</v>
      </c>
      <c r="B278" t="s">
        <v>29</v>
      </c>
      <c r="C278" s="1">
        <v>45021</v>
      </c>
      <c r="D278" s="1"/>
      <c r="E278" t="s">
        <v>39</v>
      </c>
      <c r="F278" t="s">
        <v>18</v>
      </c>
      <c r="G278">
        <v>1001</v>
      </c>
      <c r="H278">
        <v>64.62</v>
      </c>
      <c r="I278">
        <v>55.7</v>
      </c>
      <c r="J278">
        <v>32</v>
      </c>
      <c r="K278" t="s">
        <v>15</v>
      </c>
      <c r="L278">
        <f>Procurement_kpi_Analysis[[#This Row],[Quantity]]*Procurement_kpi_Analysis[[#This Row],[Negotiated_Price]]</f>
        <v>55755.700000000004</v>
      </c>
      <c r="M278" t="str">
        <f>IF(Procurement_kpi_Analysis[[#This Row],[Delivery_Date]]="","",Procurement_kpi_Analysis[[#This Row],[Delivery_Date]]-Procurement_kpi_Analysis[[#This Row],[Order_Date]])</f>
        <v/>
      </c>
      <c r="N278" s="2">
        <f>Procurement_kpi_Analysis[[#This Row],[Defective_Units]]/Procurement_kpi_Analysis[[#This Row],[Quantity]]</f>
        <v>3.1968031968031968E-2</v>
      </c>
      <c r="O278" s="2">
        <f>(Procurement_kpi_Analysis[[#This Row],[Unit_Price]]-Procurement_kpi_Analysis[[#This Row],[Negotiated_Price]])*Procurement_kpi_Analysis[[#This Row],[Quantity]]</f>
        <v>8928.9200000000019</v>
      </c>
      <c r="P278" s="2">
        <f>Procurement_kpi_Analysis[[#This Row],[Total Savings]]/Procurement_kpi_Analysis[[#This Row],[Total Spend]]</f>
        <v>0.16014362657091563</v>
      </c>
      <c r="Q278" s="2" t="str">
        <f>IF(Procurement_kpi_Analysis[[#This Row],[Lead Time]]&lt;=14,"On Time","Late")</f>
        <v>Late</v>
      </c>
      <c r="R278" s="2">
        <f>Procurement_kpi_Analysis[[#This Row],[Unit_Price]]*Procurement_kpi_Analysis[[#This Row],[Quantity]]</f>
        <v>64684.62</v>
      </c>
      <c r="S278" s="2">
        <f>IF(Procurement_kpi_Analysis[[#This Row],[Compliance]]="Yes",1,0)</f>
        <v>1</v>
      </c>
      <c r="T278" s="2">
        <f>IF(Procurement_kpi_Analysis[[#This Row],[Compliance]]="No",1,0)</f>
        <v>0</v>
      </c>
    </row>
    <row r="279" spans="1:20" x14ac:dyDescent="0.3">
      <c r="A279" t="s">
        <v>304</v>
      </c>
      <c r="B279" t="s">
        <v>12</v>
      </c>
      <c r="C279" s="1">
        <v>44705</v>
      </c>
      <c r="D279" s="1">
        <v>44708</v>
      </c>
      <c r="E279" t="s">
        <v>13</v>
      </c>
      <c r="F279" t="s">
        <v>18</v>
      </c>
      <c r="G279">
        <v>1154</v>
      </c>
      <c r="H279">
        <v>62.67</v>
      </c>
      <c r="I279">
        <v>54.11</v>
      </c>
      <c r="J279">
        <v>25</v>
      </c>
      <c r="K279" t="s">
        <v>15</v>
      </c>
      <c r="L279">
        <f>Procurement_kpi_Analysis[[#This Row],[Quantity]]*Procurement_kpi_Analysis[[#This Row],[Negotiated_Price]]</f>
        <v>62442.94</v>
      </c>
      <c r="M279">
        <f>IF(Procurement_kpi_Analysis[[#This Row],[Delivery_Date]]="","",Procurement_kpi_Analysis[[#This Row],[Delivery_Date]]-Procurement_kpi_Analysis[[#This Row],[Order_Date]])</f>
        <v>3</v>
      </c>
      <c r="N279" s="2">
        <f>Procurement_kpi_Analysis[[#This Row],[Defective_Units]]/Procurement_kpi_Analysis[[#This Row],[Quantity]]</f>
        <v>2.1663778162911613E-2</v>
      </c>
      <c r="O279" s="2">
        <f>(Procurement_kpi_Analysis[[#This Row],[Unit_Price]]-Procurement_kpi_Analysis[[#This Row],[Negotiated_Price]])*Procurement_kpi_Analysis[[#This Row],[Quantity]]</f>
        <v>9878.2400000000034</v>
      </c>
      <c r="P279" s="2">
        <f>Procurement_kpi_Analysis[[#This Row],[Total Savings]]/Procurement_kpi_Analysis[[#This Row],[Total Spend]]</f>
        <v>0.15819626686379601</v>
      </c>
      <c r="Q279" s="2" t="str">
        <f>IF(Procurement_kpi_Analysis[[#This Row],[Lead Time]]&lt;=14,"On Time","Late")</f>
        <v>On Time</v>
      </c>
      <c r="R279" s="2">
        <f>Procurement_kpi_Analysis[[#This Row],[Unit_Price]]*Procurement_kpi_Analysis[[#This Row],[Quantity]]</f>
        <v>72321.180000000008</v>
      </c>
      <c r="S279" s="2">
        <f>IF(Procurement_kpi_Analysis[[#This Row],[Compliance]]="Yes",1,0)</f>
        <v>1</v>
      </c>
      <c r="T279" s="2">
        <f>IF(Procurement_kpi_Analysis[[#This Row],[Compliance]]="No",1,0)</f>
        <v>0</v>
      </c>
    </row>
    <row r="280" spans="1:20" x14ac:dyDescent="0.3">
      <c r="A280" t="s">
        <v>305</v>
      </c>
      <c r="B280" t="s">
        <v>12</v>
      </c>
      <c r="C280" s="1">
        <v>44994</v>
      </c>
      <c r="D280" s="1">
        <v>45014</v>
      </c>
      <c r="E280" t="s">
        <v>24</v>
      </c>
      <c r="F280" t="s">
        <v>14</v>
      </c>
      <c r="G280">
        <v>748</v>
      </c>
      <c r="H280">
        <v>37.659999999999997</v>
      </c>
      <c r="I280">
        <v>32.71</v>
      </c>
      <c r="J280">
        <v>0</v>
      </c>
      <c r="K280" t="s">
        <v>27</v>
      </c>
      <c r="L280">
        <f>Procurement_kpi_Analysis[[#This Row],[Quantity]]*Procurement_kpi_Analysis[[#This Row],[Negotiated_Price]]</f>
        <v>24467.08</v>
      </c>
      <c r="M280">
        <f>IF(Procurement_kpi_Analysis[[#This Row],[Delivery_Date]]="","",Procurement_kpi_Analysis[[#This Row],[Delivery_Date]]-Procurement_kpi_Analysis[[#This Row],[Order_Date]])</f>
        <v>20</v>
      </c>
      <c r="N280" s="2">
        <f>Procurement_kpi_Analysis[[#This Row],[Defective_Units]]/Procurement_kpi_Analysis[[#This Row],[Quantity]]</f>
        <v>0</v>
      </c>
      <c r="O280" s="2">
        <f>(Procurement_kpi_Analysis[[#This Row],[Unit_Price]]-Procurement_kpi_Analysis[[#This Row],[Negotiated_Price]])*Procurement_kpi_Analysis[[#This Row],[Quantity]]</f>
        <v>3702.5999999999967</v>
      </c>
      <c r="P280" s="2">
        <f>Procurement_kpi_Analysis[[#This Row],[Total Savings]]/Procurement_kpi_Analysis[[#This Row],[Total Spend]]</f>
        <v>0.15132986854173022</v>
      </c>
      <c r="Q280" s="2" t="str">
        <f>IF(Procurement_kpi_Analysis[[#This Row],[Lead Time]]&lt;=14,"On Time","Late")</f>
        <v>Late</v>
      </c>
      <c r="R280" s="2">
        <f>Procurement_kpi_Analysis[[#This Row],[Unit_Price]]*Procurement_kpi_Analysis[[#This Row],[Quantity]]</f>
        <v>28169.679999999997</v>
      </c>
      <c r="S280" s="2">
        <f>IF(Procurement_kpi_Analysis[[#This Row],[Compliance]]="Yes",1,0)</f>
        <v>0</v>
      </c>
      <c r="T280" s="2">
        <f>IF(Procurement_kpi_Analysis[[#This Row],[Compliance]]="No",1,0)</f>
        <v>1</v>
      </c>
    </row>
    <row r="281" spans="1:20" x14ac:dyDescent="0.3">
      <c r="A281" t="s">
        <v>306</v>
      </c>
      <c r="B281" t="s">
        <v>12</v>
      </c>
      <c r="C281" s="1">
        <v>44749</v>
      </c>
      <c r="D281" s="1"/>
      <c r="E281" t="s">
        <v>13</v>
      </c>
      <c r="F281" t="s">
        <v>18</v>
      </c>
      <c r="G281">
        <v>162</v>
      </c>
      <c r="H281">
        <v>81.63</v>
      </c>
      <c r="I281">
        <v>78.760000000000005</v>
      </c>
      <c r="J281">
        <v>2</v>
      </c>
      <c r="K281" t="s">
        <v>15</v>
      </c>
      <c r="L281">
        <f>Procurement_kpi_Analysis[[#This Row],[Quantity]]*Procurement_kpi_Analysis[[#This Row],[Negotiated_Price]]</f>
        <v>12759.12</v>
      </c>
      <c r="M281" t="str">
        <f>IF(Procurement_kpi_Analysis[[#This Row],[Delivery_Date]]="","",Procurement_kpi_Analysis[[#This Row],[Delivery_Date]]-Procurement_kpi_Analysis[[#This Row],[Order_Date]])</f>
        <v/>
      </c>
      <c r="N281" s="2">
        <f>Procurement_kpi_Analysis[[#This Row],[Defective_Units]]/Procurement_kpi_Analysis[[#This Row],[Quantity]]</f>
        <v>1.2345679012345678E-2</v>
      </c>
      <c r="O281" s="2">
        <f>(Procurement_kpi_Analysis[[#This Row],[Unit_Price]]-Procurement_kpi_Analysis[[#This Row],[Negotiated_Price]])*Procurement_kpi_Analysis[[#This Row],[Quantity]]</f>
        <v>464.93999999999846</v>
      </c>
      <c r="P281" s="2">
        <f>Procurement_kpi_Analysis[[#This Row],[Total Savings]]/Procurement_kpi_Analysis[[#This Row],[Total Spend]]</f>
        <v>3.6439817166074029E-2</v>
      </c>
      <c r="Q281" s="2" t="str">
        <f>IF(Procurement_kpi_Analysis[[#This Row],[Lead Time]]&lt;=14,"On Time","Late")</f>
        <v>Late</v>
      </c>
      <c r="R281" s="2">
        <f>Procurement_kpi_Analysis[[#This Row],[Unit_Price]]*Procurement_kpi_Analysis[[#This Row],[Quantity]]</f>
        <v>13224.06</v>
      </c>
      <c r="S281" s="2">
        <f>IF(Procurement_kpi_Analysis[[#This Row],[Compliance]]="Yes",1,0)</f>
        <v>1</v>
      </c>
      <c r="T281" s="2">
        <f>IF(Procurement_kpi_Analysis[[#This Row],[Compliance]]="No",1,0)</f>
        <v>0</v>
      </c>
    </row>
    <row r="282" spans="1:20" x14ac:dyDescent="0.3">
      <c r="A282" t="s">
        <v>307</v>
      </c>
      <c r="B282" t="s">
        <v>12</v>
      </c>
      <c r="C282" s="1">
        <v>44847</v>
      </c>
      <c r="D282" s="1">
        <v>44858</v>
      </c>
      <c r="E282" t="s">
        <v>24</v>
      </c>
      <c r="F282" t="s">
        <v>18</v>
      </c>
      <c r="G282">
        <v>51</v>
      </c>
      <c r="H282">
        <v>28.04</v>
      </c>
      <c r="I282">
        <v>24.13</v>
      </c>
      <c r="J282">
        <v>0</v>
      </c>
      <c r="K282" t="s">
        <v>15</v>
      </c>
      <c r="L282">
        <f>Procurement_kpi_Analysis[[#This Row],[Quantity]]*Procurement_kpi_Analysis[[#This Row],[Negotiated_Price]]</f>
        <v>1230.6299999999999</v>
      </c>
      <c r="M282">
        <f>IF(Procurement_kpi_Analysis[[#This Row],[Delivery_Date]]="","",Procurement_kpi_Analysis[[#This Row],[Delivery_Date]]-Procurement_kpi_Analysis[[#This Row],[Order_Date]])</f>
        <v>11</v>
      </c>
      <c r="N282" s="2">
        <f>Procurement_kpi_Analysis[[#This Row],[Defective_Units]]/Procurement_kpi_Analysis[[#This Row],[Quantity]]</f>
        <v>0</v>
      </c>
      <c r="O282" s="2">
        <f>(Procurement_kpi_Analysis[[#This Row],[Unit_Price]]-Procurement_kpi_Analysis[[#This Row],[Negotiated_Price]])*Procurement_kpi_Analysis[[#This Row],[Quantity]]</f>
        <v>199.41</v>
      </c>
      <c r="P282" s="2">
        <f>Procurement_kpi_Analysis[[#This Row],[Total Savings]]/Procurement_kpi_Analysis[[#This Row],[Total Spend]]</f>
        <v>0.16203895565685869</v>
      </c>
      <c r="Q282" s="2" t="str">
        <f>IF(Procurement_kpi_Analysis[[#This Row],[Lead Time]]&lt;=14,"On Time","Late")</f>
        <v>On Time</v>
      </c>
      <c r="R282" s="2">
        <f>Procurement_kpi_Analysis[[#This Row],[Unit_Price]]*Procurement_kpi_Analysis[[#This Row],[Quantity]]</f>
        <v>1430.04</v>
      </c>
      <c r="S282" s="2">
        <f>IF(Procurement_kpi_Analysis[[#This Row],[Compliance]]="Yes",1,0)</f>
        <v>1</v>
      </c>
      <c r="T282" s="2">
        <f>IF(Procurement_kpi_Analysis[[#This Row],[Compliance]]="No",1,0)</f>
        <v>0</v>
      </c>
    </row>
    <row r="283" spans="1:20" x14ac:dyDescent="0.3">
      <c r="A283" t="s">
        <v>308</v>
      </c>
      <c r="B283" t="s">
        <v>17</v>
      </c>
      <c r="C283" s="1">
        <v>45035</v>
      </c>
      <c r="D283" s="1">
        <v>45040</v>
      </c>
      <c r="E283" t="s">
        <v>13</v>
      </c>
      <c r="F283" t="s">
        <v>18</v>
      </c>
      <c r="G283">
        <v>691</v>
      </c>
      <c r="H283">
        <v>42.07</v>
      </c>
      <c r="I283">
        <v>39.1</v>
      </c>
      <c r="J283">
        <v>106</v>
      </c>
      <c r="K283" t="s">
        <v>15</v>
      </c>
      <c r="L283">
        <f>Procurement_kpi_Analysis[[#This Row],[Quantity]]*Procurement_kpi_Analysis[[#This Row],[Negotiated_Price]]</f>
        <v>27018.100000000002</v>
      </c>
      <c r="M283">
        <f>IF(Procurement_kpi_Analysis[[#This Row],[Delivery_Date]]="","",Procurement_kpi_Analysis[[#This Row],[Delivery_Date]]-Procurement_kpi_Analysis[[#This Row],[Order_Date]])</f>
        <v>5</v>
      </c>
      <c r="N283" s="2">
        <f>Procurement_kpi_Analysis[[#This Row],[Defective_Units]]/Procurement_kpi_Analysis[[#This Row],[Quantity]]</f>
        <v>0.15340086830680175</v>
      </c>
      <c r="O283" s="2">
        <f>(Procurement_kpi_Analysis[[#This Row],[Unit_Price]]-Procurement_kpi_Analysis[[#This Row],[Negotiated_Price]])*Procurement_kpi_Analysis[[#This Row],[Quantity]]</f>
        <v>2052.2699999999991</v>
      </c>
      <c r="P283" s="2">
        <f>Procurement_kpi_Analysis[[#This Row],[Total Savings]]/Procurement_kpi_Analysis[[#This Row],[Total Spend]]</f>
        <v>7.5959079283887426E-2</v>
      </c>
      <c r="Q283" s="2" t="str">
        <f>IF(Procurement_kpi_Analysis[[#This Row],[Lead Time]]&lt;=14,"On Time","Late")</f>
        <v>On Time</v>
      </c>
      <c r="R283" s="2">
        <f>Procurement_kpi_Analysis[[#This Row],[Unit_Price]]*Procurement_kpi_Analysis[[#This Row],[Quantity]]</f>
        <v>29070.37</v>
      </c>
      <c r="S283" s="2">
        <f>IF(Procurement_kpi_Analysis[[#This Row],[Compliance]]="Yes",1,0)</f>
        <v>1</v>
      </c>
      <c r="T283" s="2">
        <f>IF(Procurement_kpi_Analysis[[#This Row],[Compliance]]="No",1,0)</f>
        <v>0</v>
      </c>
    </row>
    <row r="284" spans="1:20" x14ac:dyDescent="0.3">
      <c r="A284" t="s">
        <v>309</v>
      </c>
      <c r="B284" t="s">
        <v>23</v>
      </c>
      <c r="C284" s="1">
        <v>44817</v>
      </c>
      <c r="D284" s="1">
        <v>44824</v>
      </c>
      <c r="E284" t="s">
        <v>13</v>
      </c>
      <c r="F284" t="s">
        <v>18</v>
      </c>
      <c r="G284">
        <v>269</v>
      </c>
      <c r="H284">
        <v>50.22</v>
      </c>
      <c r="I284">
        <v>45.75</v>
      </c>
      <c r="J284">
        <v>32</v>
      </c>
      <c r="K284" t="s">
        <v>27</v>
      </c>
      <c r="L284">
        <f>Procurement_kpi_Analysis[[#This Row],[Quantity]]*Procurement_kpi_Analysis[[#This Row],[Negotiated_Price]]</f>
        <v>12306.75</v>
      </c>
      <c r="M284">
        <f>IF(Procurement_kpi_Analysis[[#This Row],[Delivery_Date]]="","",Procurement_kpi_Analysis[[#This Row],[Delivery_Date]]-Procurement_kpi_Analysis[[#This Row],[Order_Date]])</f>
        <v>7</v>
      </c>
      <c r="N284" s="2">
        <f>Procurement_kpi_Analysis[[#This Row],[Defective_Units]]/Procurement_kpi_Analysis[[#This Row],[Quantity]]</f>
        <v>0.11895910780669144</v>
      </c>
      <c r="O284" s="2">
        <f>(Procurement_kpi_Analysis[[#This Row],[Unit_Price]]-Procurement_kpi_Analysis[[#This Row],[Negotiated_Price]])*Procurement_kpi_Analysis[[#This Row],[Quantity]]</f>
        <v>1202.4299999999996</v>
      </c>
      <c r="P284" s="2">
        <f>Procurement_kpi_Analysis[[#This Row],[Total Savings]]/Procurement_kpi_Analysis[[#This Row],[Total Spend]]</f>
        <v>9.7704918032786858E-2</v>
      </c>
      <c r="Q284" s="2" t="str">
        <f>IF(Procurement_kpi_Analysis[[#This Row],[Lead Time]]&lt;=14,"On Time","Late")</f>
        <v>On Time</v>
      </c>
      <c r="R284" s="2">
        <f>Procurement_kpi_Analysis[[#This Row],[Unit_Price]]*Procurement_kpi_Analysis[[#This Row],[Quantity]]</f>
        <v>13509.18</v>
      </c>
      <c r="S284" s="2">
        <f>IF(Procurement_kpi_Analysis[[#This Row],[Compliance]]="Yes",1,0)</f>
        <v>0</v>
      </c>
      <c r="T284" s="2">
        <f>IF(Procurement_kpi_Analysis[[#This Row],[Compliance]]="No",1,0)</f>
        <v>1</v>
      </c>
    </row>
    <row r="285" spans="1:20" x14ac:dyDescent="0.3">
      <c r="A285" t="s">
        <v>310</v>
      </c>
      <c r="B285" t="s">
        <v>23</v>
      </c>
      <c r="C285" s="1">
        <v>44639</v>
      </c>
      <c r="D285" s="1">
        <v>44657</v>
      </c>
      <c r="E285" t="s">
        <v>39</v>
      </c>
      <c r="F285" t="s">
        <v>35</v>
      </c>
      <c r="G285">
        <v>1639</v>
      </c>
      <c r="H285">
        <v>56.24</v>
      </c>
      <c r="I285">
        <v>55.4</v>
      </c>
      <c r="J285">
        <v>147</v>
      </c>
      <c r="K285" t="s">
        <v>15</v>
      </c>
      <c r="L285">
        <f>Procurement_kpi_Analysis[[#This Row],[Quantity]]*Procurement_kpi_Analysis[[#This Row],[Negotiated_Price]]</f>
        <v>90800.599999999991</v>
      </c>
      <c r="M285">
        <f>IF(Procurement_kpi_Analysis[[#This Row],[Delivery_Date]]="","",Procurement_kpi_Analysis[[#This Row],[Delivery_Date]]-Procurement_kpi_Analysis[[#This Row],[Order_Date]])</f>
        <v>18</v>
      </c>
      <c r="N285" s="2">
        <f>Procurement_kpi_Analysis[[#This Row],[Defective_Units]]/Procurement_kpi_Analysis[[#This Row],[Quantity]]</f>
        <v>8.9688834655277605E-2</v>
      </c>
      <c r="O285" s="2">
        <f>(Procurement_kpi_Analysis[[#This Row],[Unit_Price]]-Procurement_kpi_Analysis[[#This Row],[Negotiated_Price]])*Procurement_kpi_Analysis[[#This Row],[Quantity]]</f>
        <v>1376.7600000000057</v>
      </c>
      <c r="P285" s="2">
        <f>Procurement_kpi_Analysis[[#This Row],[Total Savings]]/Procurement_kpi_Analysis[[#This Row],[Total Spend]]</f>
        <v>1.5162454873646274E-2</v>
      </c>
      <c r="Q285" s="2" t="str">
        <f>IF(Procurement_kpi_Analysis[[#This Row],[Lead Time]]&lt;=14,"On Time","Late")</f>
        <v>Late</v>
      </c>
      <c r="R285" s="2">
        <f>Procurement_kpi_Analysis[[#This Row],[Unit_Price]]*Procurement_kpi_Analysis[[#This Row],[Quantity]]</f>
        <v>92177.36</v>
      </c>
      <c r="S285" s="2">
        <f>IF(Procurement_kpi_Analysis[[#This Row],[Compliance]]="Yes",1,0)</f>
        <v>1</v>
      </c>
      <c r="T285" s="2">
        <f>IF(Procurement_kpi_Analysis[[#This Row],[Compliance]]="No",1,0)</f>
        <v>0</v>
      </c>
    </row>
    <row r="286" spans="1:20" x14ac:dyDescent="0.3">
      <c r="A286" t="s">
        <v>311</v>
      </c>
      <c r="B286" t="s">
        <v>12</v>
      </c>
      <c r="C286" s="1">
        <v>45015</v>
      </c>
      <c r="D286" s="1">
        <v>45022</v>
      </c>
      <c r="E286" t="s">
        <v>26</v>
      </c>
      <c r="F286" t="s">
        <v>18</v>
      </c>
      <c r="G286">
        <v>904</v>
      </c>
      <c r="H286">
        <v>34.04</v>
      </c>
      <c r="I286">
        <v>30.06</v>
      </c>
      <c r="J286">
        <v>26</v>
      </c>
      <c r="K286" t="s">
        <v>15</v>
      </c>
      <c r="L286">
        <f>Procurement_kpi_Analysis[[#This Row],[Quantity]]*Procurement_kpi_Analysis[[#This Row],[Negotiated_Price]]</f>
        <v>27174.239999999998</v>
      </c>
      <c r="M286">
        <f>IF(Procurement_kpi_Analysis[[#This Row],[Delivery_Date]]="","",Procurement_kpi_Analysis[[#This Row],[Delivery_Date]]-Procurement_kpi_Analysis[[#This Row],[Order_Date]])</f>
        <v>7</v>
      </c>
      <c r="N286" s="2">
        <f>Procurement_kpi_Analysis[[#This Row],[Defective_Units]]/Procurement_kpi_Analysis[[#This Row],[Quantity]]</f>
        <v>2.8761061946902654E-2</v>
      </c>
      <c r="O286" s="2">
        <f>(Procurement_kpi_Analysis[[#This Row],[Unit_Price]]-Procurement_kpi_Analysis[[#This Row],[Negotiated_Price]])*Procurement_kpi_Analysis[[#This Row],[Quantity]]</f>
        <v>3597.9200000000005</v>
      </c>
      <c r="P286" s="2">
        <f>Procurement_kpi_Analysis[[#This Row],[Total Savings]]/Procurement_kpi_Analysis[[#This Row],[Total Spend]]</f>
        <v>0.13240186294078513</v>
      </c>
      <c r="Q286" s="2" t="str">
        <f>IF(Procurement_kpi_Analysis[[#This Row],[Lead Time]]&lt;=14,"On Time","Late")</f>
        <v>On Time</v>
      </c>
      <c r="R286" s="2">
        <f>Procurement_kpi_Analysis[[#This Row],[Unit_Price]]*Procurement_kpi_Analysis[[#This Row],[Quantity]]</f>
        <v>30772.16</v>
      </c>
      <c r="S286" s="2">
        <f>IF(Procurement_kpi_Analysis[[#This Row],[Compliance]]="Yes",1,0)</f>
        <v>1</v>
      </c>
      <c r="T286" s="2">
        <f>IF(Procurement_kpi_Analysis[[#This Row],[Compliance]]="No",1,0)</f>
        <v>0</v>
      </c>
    </row>
    <row r="287" spans="1:20" x14ac:dyDescent="0.3">
      <c r="A287" t="s">
        <v>312</v>
      </c>
      <c r="B287" t="s">
        <v>23</v>
      </c>
      <c r="C287" s="1">
        <v>45125</v>
      </c>
      <c r="D287" s="1">
        <v>45133</v>
      </c>
      <c r="E287" t="s">
        <v>13</v>
      </c>
      <c r="F287" t="s">
        <v>18</v>
      </c>
      <c r="G287">
        <v>1809</v>
      </c>
      <c r="H287">
        <v>22.17</v>
      </c>
      <c r="I287">
        <v>19.649999999999999</v>
      </c>
      <c r="J287">
        <v>0</v>
      </c>
      <c r="K287" t="s">
        <v>15</v>
      </c>
      <c r="L287">
        <f>Procurement_kpi_Analysis[[#This Row],[Quantity]]*Procurement_kpi_Analysis[[#This Row],[Negotiated_Price]]</f>
        <v>35546.85</v>
      </c>
      <c r="M287">
        <f>IF(Procurement_kpi_Analysis[[#This Row],[Delivery_Date]]="","",Procurement_kpi_Analysis[[#This Row],[Delivery_Date]]-Procurement_kpi_Analysis[[#This Row],[Order_Date]])</f>
        <v>8</v>
      </c>
      <c r="N287" s="2">
        <f>Procurement_kpi_Analysis[[#This Row],[Defective_Units]]/Procurement_kpi_Analysis[[#This Row],[Quantity]]</f>
        <v>0</v>
      </c>
      <c r="O287" s="2">
        <f>(Procurement_kpi_Analysis[[#This Row],[Unit_Price]]-Procurement_kpi_Analysis[[#This Row],[Negotiated_Price]])*Procurement_kpi_Analysis[[#This Row],[Quantity]]</f>
        <v>4558.6800000000057</v>
      </c>
      <c r="P287" s="2">
        <f>Procurement_kpi_Analysis[[#This Row],[Total Savings]]/Procurement_kpi_Analysis[[#This Row],[Total Spend]]</f>
        <v>0.12824427480916048</v>
      </c>
      <c r="Q287" s="2" t="str">
        <f>IF(Procurement_kpi_Analysis[[#This Row],[Lead Time]]&lt;=14,"On Time","Late")</f>
        <v>On Time</v>
      </c>
      <c r="R287" s="2">
        <f>Procurement_kpi_Analysis[[#This Row],[Unit_Price]]*Procurement_kpi_Analysis[[#This Row],[Quantity]]</f>
        <v>40105.530000000006</v>
      </c>
      <c r="S287" s="2">
        <f>IF(Procurement_kpi_Analysis[[#This Row],[Compliance]]="Yes",1,0)</f>
        <v>1</v>
      </c>
      <c r="T287" s="2">
        <f>IF(Procurement_kpi_Analysis[[#This Row],[Compliance]]="No",1,0)</f>
        <v>0</v>
      </c>
    </row>
    <row r="288" spans="1:20" x14ac:dyDescent="0.3">
      <c r="A288" t="s">
        <v>313</v>
      </c>
      <c r="B288" t="s">
        <v>12</v>
      </c>
      <c r="C288" s="1">
        <v>44662</v>
      </c>
      <c r="D288" s="1">
        <v>44667</v>
      </c>
      <c r="E288" t="s">
        <v>24</v>
      </c>
      <c r="F288" t="s">
        <v>18</v>
      </c>
      <c r="G288">
        <v>1298</v>
      </c>
      <c r="H288">
        <v>65.930000000000007</v>
      </c>
      <c r="I288">
        <v>58.95</v>
      </c>
      <c r="J288">
        <v>0</v>
      </c>
      <c r="K288" t="s">
        <v>15</v>
      </c>
      <c r="L288">
        <f>Procurement_kpi_Analysis[[#This Row],[Quantity]]*Procurement_kpi_Analysis[[#This Row],[Negotiated_Price]]</f>
        <v>76517.100000000006</v>
      </c>
      <c r="M288">
        <f>IF(Procurement_kpi_Analysis[[#This Row],[Delivery_Date]]="","",Procurement_kpi_Analysis[[#This Row],[Delivery_Date]]-Procurement_kpi_Analysis[[#This Row],[Order_Date]])</f>
        <v>5</v>
      </c>
      <c r="N288" s="2">
        <f>Procurement_kpi_Analysis[[#This Row],[Defective_Units]]/Procurement_kpi_Analysis[[#This Row],[Quantity]]</f>
        <v>0</v>
      </c>
      <c r="O288" s="2">
        <f>(Procurement_kpi_Analysis[[#This Row],[Unit_Price]]-Procurement_kpi_Analysis[[#This Row],[Negotiated_Price]])*Procurement_kpi_Analysis[[#This Row],[Quantity]]</f>
        <v>9060.0400000000045</v>
      </c>
      <c r="P288" s="2">
        <f>Procurement_kpi_Analysis[[#This Row],[Total Savings]]/Procurement_kpi_Analysis[[#This Row],[Total Spend]]</f>
        <v>0.1184054283290925</v>
      </c>
      <c r="Q288" s="2" t="str">
        <f>IF(Procurement_kpi_Analysis[[#This Row],[Lead Time]]&lt;=14,"On Time","Late")</f>
        <v>On Time</v>
      </c>
      <c r="R288" s="2">
        <f>Procurement_kpi_Analysis[[#This Row],[Unit_Price]]*Procurement_kpi_Analysis[[#This Row],[Quantity]]</f>
        <v>85577.140000000014</v>
      </c>
      <c r="S288" s="2">
        <f>IF(Procurement_kpi_Analysis[[#This Row],[Compliance]]="Yes",1,0)</f>
        <v>1</v>
      </c>
      <c r="T288" s="2">
        <f>IF(Procurement_kpi_Analysis[[#This Row],[Compliance]]="No",1,0)</f>
        <v>0</v>
      </c>
    </row>
    <row r="289" spans="1:20" x14ac:dyDescent="0.3">
      <c r="A289" t="s">
        <v>314</v>
      </c>
      <c r="B289" t="s">
        <v>23</v>
      </c>
      <c r="C289" s="1">
        <v>44613</v>
      </c>
      <c r="D289" s="1">
        <v>44633</v>
      </c>
      <c r="E289" t="s">
        <v>24</v>
      </c>
      <c r="F289" t="s">
        <v>18</v>
      </c>
      <c r="G289">
        <v>434</v>
      </c>
      <c r="H289">
        <v>36.159999999999997</v>
      </c>
      <c r="I289">
        <v>34.79</v>
      </c>
      <c r="J289">
        <v>41</v>
      </c>
      <c r="K289" t="s">
        <v>15</v>
      </c>
      <c r="L289">
        <f>Procurement_kpi_Analysis[[#This Row],[Quantity]]*Procurement_kpi_Analysis[[#This Row],[Negotiated_Price]]</f>
        <v>15098.859999999999</v>
      </c>
      <c r="M289">
        <f>IF(Procurement_kpi_Analysis[[#This Row],[Delivery_Date]]="","",Procurement_kpi_Analysis[[#This Row],[Delivery_Date]]-Procurement_kpi_Analysis[[#This Row],[Order_Date]])</f>
        <v>20</v>
      </c>
      <c r="N289" s="2">
        <f>Procurement_kpi_Analysis[[#This Row],[Defective_Units]]/Procurement_kpi_Analysis[[#This Row],[Quantity]]</f>
        <v>9.4470046082949302E-2</v>
      </c>
      <c r="O289" s="2">
        <f>(Procurement_kpi_Analysis[[#This Row],[Unit_Price]]-Procurement_kpi_Analysis[[#This Row],[Negotiated_Price]])*Procurement_kpi_Analysis[[#This Row],[Quantity]]</f>
        <v>594.5799999999989</v>
      </c>
      <c r="P289" s="2">
        <f>Procurement_kpi_Analysis[[#This Row],[Total Savings]]/Procurement_kpi_Analysis[[#This Row],[Total Spend]]</f>
        <v>3.9379131934463858E-2</v>
      </c>
      <c r="Q289" s="2" t="str">
        <f>IF(Procurement_kpi_Analysis[[#This Row],[Lead Time]]&lt;=14,"On Time","Late")</f>
        <v>Late</v>
      </c>
      <c r="R289" s="2">
        <f>Procurement_kpi_Analysis[[#This Row],[Unit_Price]]*Procurement_kpi_Analysis[[#This Row],[Quantity]]</f>
        <v>15693.439999999999</v>
      </c>
      <c r="S289" s="2">
        <f>IF(Procurement_kpi_Analysis[[#This Row],[Compliance]]="Yes",1,0)</f>
        <v>1</v>
      </c>
      <c r="T289" s="2">
        <f>IF(Procurement_kpi_Analysis[[#This Row],[Compliance]]="No",1,0)</f>
        <v>0</v>
      </c>
    </row>
    <row r="290" spans="1:20" x14ac:dyDescent="0.3">
      <c r="A290" t="s">
        <v>315</v>
      </c>
      <c r="B290" t="s">
        <v>29</v>
      </c>
      <c r="C290" s="1">
        <v>45229</v>
      </c>
      <c r="D290" s="1">
        <v>45234</v>
      </c>
      <c r="E290" t="s">
        <v>39</v>
      </c>
      <c r="F290" t="s">
        <v>18</v>
      </c>
      <c r="G290">
        <v>1476</v>
      </c>
      <c r="H290">
        <v>68.849999999999994</v>
      </c>
      <c r="I290">
        <v>65.28</v>
      </c>
      <c r="J290">
        <v>43</v>
      </c>
      <c r="K290" t="s">
        <v>15</v>
      </c>
      <c r="L290">
        <f>Procurement_kpi_Analysis[[#This Row],[Quantity]]*Procurement_kpi_Analysis[[#This Row],[Negotiated_Price]]</f>
        <v>96353.279999999999</v>
      </c>
      <c r="M290">
        <f>IF(Procurement_kpi_Analysis[[#This Row],[Delivery_Date]]="","",Procurement_kpi_Analysis[[#This Row],[Delivery_Date]]-Procurement_kpi_Analysis[[#This Row],[Order_Date]])</f>
        <v>5</v>
      </c>
      <c r="N290" s="2">
        <f>Procurement_kpi_Analysis[[#This Row],[Defective_Units]]/Procurement_kpi_Analysis[[#This Row],[Quantity]]</f>
        <v>2.9132791327913278E-2</v>
      </c>
      <c r="O290" s="2">
        <f>(Procurement_kpi_Analysis[[#This Row],[Unit_Price]]-Procurement_kpi_Analysis[[#This Row],[Negotiated_Price]])*Procurement_kpi_Analysis[[#This Row],[Quantity]]</f>
        <v>5269.3199999999897</v>
      </c>
      <c r="P290" s="2">
        <f>Procurement_kpi_Analysis[[#This Row],[Total Savings]]/Procurement_kpi_Analysis[[#This Row],[Total Spend]]</f>
        <v>5.4687499999999896E-2</v>
      </c>
      <c r="Q290" s="2" t="str">
        <f>IF(Procurement_kpi_Analysis[[#This Row],[Lead Time]]&lt;=14,"On Time","Late")</f>
        <v>On Time</v>
      </c>
      <c r="R290" s="2">
        <f>Procurement_kpi_Analysis[[#This Row],[Unit_Price]]*Procurement_kpi_Analysis[[#This Row],[Quantity]]</f>
        <v>101622.59999999999</v>
      </c>
      <c r="S290" s="2">
        <f>IF(Procurement_kpi_Analysis[[#This Row],[Compliance]]="Yes",1,0)</f>
        <v>1</v>
      </c>
      <c r="T290" s="2">
        <f>IF(Procurement_kpi_Analysis[[#This Row],[Compliance]]="No",1,0)</f>
        <v>0</v>
      </c>
    </row>
    <row r="291" spans="1:20" x14ac:dyDescent="0.3">
      <c r="A291" t="s">
        <v>316</v>
      </c>
      <c r="B291" t="s">
        <v>17</v>
      </c>
      <c r="C291" s="1">
        <v>45115</v>
      </c>
      <c r="D291" s="1"/>
      <c r="E291" t="s">
        <v>26</v>
      </c>
      <c r="F291" t="s">
        <v>33</v>
      </c>
      <c r="G291">
        <v>1711</v>
      </c>
      <c r="H291">
        <v>26.04</v>
      </c>
      <c r="I291">
        <v>24.81</v>
      </c>
      <c r="J291">
        <v>290</v>
      </c>
      <c r="K291" t="s">
        <v>15</v>
      </c>
      <c r="L291">
        <f>Procurement_kpi_Analysis[[#This Row],[Quantity]]*Procurement_kpi_Analysis[[#This Row],[Negotiated_Price]]</f>
        <v>42449.909999999996</v>
      </c>
      <c r="M291" t="str">
        <f>IF(Procurement_kpi_Analysis[[#This Row],[Delivery_Date]]="","",Procurement_kpi_Analysis[[#This Row],[Delivery_Date]]-Procurement_kpi_Analysis[[#This Row],[Order_Date]])</f>
        <v/>
      </c>
      <c r="N291" s="2">
        <f>Procurement_kpi_Analysis[[#This Row],[Defective_Units]]/Procurement_kpi_Analysis[[#This Row],[Quantity]]</f>
        <v>0.16949152542372881</v>
      </c>
      <c r="O291" s="2">
        <f>(Procurement_kpi_Analysis[[#This Row],[Unit_Price]]-Procurement_kpi_Analysis[[#This Row],[Negotiated_Price]])*Procurement_kpi_Analysis[[#This Row],[Quantity]]</f>
        <v>2104.5300000000007</v>
      </c>
      <c r="P291" s="2">
        <f>Procurement_kpi_Analysis[[#This Row],[Total Savings]]/Procurement_kpi_Analysis[[#This Row],[Total Spend]]</f>
        <v>4.9576783555018156E-2</v>
      </c>
      <c r="Q291" s="2" t="str">
        <f>IF(Procurement_kpi_Analysis[[#This Row],[Lead Time]]&lt;=14,"On Time","Late")</f>
        <v>Late</v>
      </c>
      <c r="R291" s="2">
        <f>Procurement_kpi_Analysis[[#This Row],[Unit_Price]]*Procurement_kpi_Analysis[[#This Row],[Quantity]]</f>
        <v>44554.439999999995</v>
      </c>
      <c r="S291" s="2">
        <f>IF(Procurement_kpi_Analysis[[#This Row],[Compliance]]="Yes",1,0)</f>
        <v>1</v>
      </c>
      <c r="T291" s="2">
        <f>IF(Procurement_kpi_Analysis[[#This Row],[Compliance]]="No",1,0)</f>
        <v>0</v>
      </c>
    </row>
    <row r="292" spans="1:20" x14ac:dyDescent="0.3">
      <c r="A292" t="s">
        <v>317</v>
      </c>
      <c r="B292" t="s">
        <v>20</v>
      </c>
      <c r="C292" s="1">
        <v>44577</v>
      </c>
      <c r="D292" s="1">
        <v>44583</v>
      </c>
      <c r="E292" t="s">
        <v>24</v>
      </c>
      <c r="F292" t="s">
        <v>18</v>
      </c>
      <c r="G292">
        <v>1203</v>
      </c>
      <c r="H292">
        <v>53.3</v>
      </c>
      <c r="I292">
        <v>47.68</v>
      </c>
      <c r="J292">
        <v>49</v>
      </c>
      <c r="K292" t="s">
        <v>15</v>
      </c>
      <c r="L292">
        <f>Procurement_kpi_Analysis[[#This Row],[Quantity]]*Procurement_kpi_Analysis[[#This Row],[Negotiated_Price]]</f>
        <v>57359.040000000001</v>
      </c>
      <c r="M292">
        <f>IF(Procurement_kpi_Analysis[[#This Row],[Delivery_Date]]="","",Procurement_kpi_Analysis[[#This Row],[Delivery_Date]]-Procurement_kpi_Analysis[[#This Row],[Order_Date]])</f>
        <v>6</v>
      </c>
      <c r="N292" s="2">
        <f>Procurement_kpi_Analysis[[#This Row],[Defective_Units]]/Procurement_kpi_Analysis[[#This Row],[Quantity]]</f>
        <v>4.0731504571903575E-2</v>
      </c>
      <c r="O292" s="2">
        <f>(Procurement_kpi_Analysis[[#This Row],[Unit_Price]]-Procurement_kpi_Analysis[[#This Row],[Negotiated_Price]])*Procurement_kpi_Analysis[[#This Row],[Quantity]]</f>
        <v>6760.8599999999969</v>
      </c>
      <c r="P292" s="2">
        <f>Procurement_kpi_Analysis[[#This Row],[Total Savings]]/Procurement_kpi_Analysis[[#This Row],[Total Spend]]</f>
        <v>0.11786912751677847</v>
      </c>
      <c r="Q292" s="2" t="str">
        <f>IF(Procurement_kpi_Analysis[[#This Row],[Lead Time]]&lt;=14,"On Time","Late")</f>
        <v>On Time</v>
      </c>
      <c r="R292" s="2">
        <f>Procurement_kpi_Analysis[[#This Row],[Unit_Price]]*Procurement_kpi_Analysis[[#This Row],[Quantity]]</f>
        <v>64119.899999999994</v>
      </c>
      <c r="S292" s="2">
        <f>IF(Procurement_kpi_Analysis[[#This Row],[Compliance]]="Yes",1,0)</f>
        <v>1</v>
      </c>
      <c r="T292" s="2">
        <f>IF(Procurement_kpi_Analysis[[#This Row],[Compliance]]="No",1,0)</f>
        <v>0</v>
      </c>
    </row>
    <row r="293" spans="1:20" x14ac:dyDescent="0.3">
      <c r="A293" t="s">
        <v>318</v>
      </c>
      <c r="B293" t="s">
        <v>12</v>
      </c>
      <c r="C293" s="1">
        <v>44657</v>
      </c>
      <c r="D293" s="1">
        <v>44658</v>
      </c>
      <c r="E293" t="s">
        <v>39</v>
      </c>
      <c r="F293" t="s">
        <v>18</v>
      </c>
      <c r="G293">
        <v>1126</v>
      </c>
      <c r="H293">
        <v>58.8</v>
      </c>
      <c r="I293">
        <v>52.22</v>
      </c>
      <c r="J293">
        <v>0</v>
      </c>
      <c r="K293" t="s">
        <v>15</v>
      </c>
      <c r="L293">
        <f>Procurement_kpi_Analysis[[#This Row],[Quantity]]*Procurement_kpi_Analysis[[#This Row],[Negotiated_Price]]</f>
        <v>58799.72</v>
      </c>
      <c r="M293">
        <f>IF(Procurement_kpi_Analysis[[#This Row],[Delivery_Date]]="","",Procurement_kpi_Analysis[[#This Row],[Delivery_Date]]-Procurement_kpi_Analysis[[#This Row],[Order_Date]])</f>
        <v>1</v>
      </c>
      <c r="N293" s="2">
        <f>Procurement_kpi_Analysis[[#This Row],[Defective_Units]]/Procurement_kpi_Analysis[[#This Row],[Quantity]]</f>
        <v>0</v>
      </c>
      <c r="O293" s="2">
        <f>(Procurement_kpi_Analysis[[#This Row],[Unit_Price]]-Procurement_kpi_Analysis[[#This Row],[Negotiated_Price]])*Procurement_kpi_Analysis[[#This Row],[Quantity]]</f>
        <v>7409.0799999999981</v>
      </c>
      <c r="P293" s="2">
        <f>Procurement_kpi_Analysis[[#This Row],[Total Savings]]/Procurement_kpi_Analysis[[#This Row],[Total Spend]]</f>
        <v>0.12600536193029488</v>
      </c>
      <c r="Q293" s="2" t="str">
        <f>IF(Procurement_kpi_Analysis[[#This Row],[Lead Time]]&lt;=14,"On Time","Late")</f>
        <v>On Time</v>
      </c>
      <c r="R293" s="2">
        <f>Procurement_kpi_Analysis[[#This Row],[Unit_Price]]*Procurement_kpi_Analysis[[#This Row],[Quantity]]</f>
        <v>66208.800000000003</v>
      </c>
      <c r="S293" s="2">
        <f>IF(Procurement_kpi_Analysis[[#This Row],[Compliance]]="Yes",1,0)</f>
        <v>1</v>
      </c>
      <c r="T293" s="2">
        <f>IF(Procurement_kpi_Analysis[[#This Row],[Compliance]]="No",1,0)</f>
        <v>0</v>
      </c>
    </row>
    <row r="294" spans="1:20" x14ac:dyDescent="0.3">
      <c r="A294" t="s">
        <v>319</v>
      </c>
      <c r="B294" t="s">
        <v>29</v>
      </c>
      <c r="C294" s="1">
        <v>44804</v>
      </c>
      <c r="D294" s="1">
        <v>44816</v>
      </c>
      <c r="E294" t="s">
        <v>24</v>
      </c>
      <c r="F294" t="s">
        <v>18</v>
      </c>
      <c r="G294">
        <v>1757</v>
      </c>
      <c r="H294">
        <v>15.18</v>
      </c>
      <c r="I294">
        <v>13.06</v>
      </c>
      <c r="J294">
        <v>63</v>
      </c>
      <c r="K294" t="s">
        <v>15</v>
      </c>
      <c r="L294">
        <f>Procurement_kpi_Analysis[[#This Row],[Quantity]]*Procurement_kpi_Analysis[[#This Row],[Negotiated_Price]]</f>
        <v>22946.420000000002</v>
      </c>
      <c r="M294">
        <f>IF(Procurement_kpi_Analysis[[#This Row],[Delivery_Date]]="","",Procurement_kpi_Analysis[[#This Row],[Delivery_Date]]-Procurement_kpi_Analysis[[#This Row],[Order_Date]])</f>
        <v>12</v>
      </c>
      <c r="N294" s="2">
        <f>Procurement_kpi_Analysis[[#This Row],[Defective_Units]]/Procurement_kpi_Analysis[[#This Row],[Quantity]]</f>
        <v>3.5856573705179286E-2</v>
      </c>
      <c r="O294" s="2">
        <f>(Procurement_kpi_Analysis[[#This Row],[Unit_Price]]-Procurement_kpi_Analysis[[#This Row],[Negotiated_Price]])*Procurement_kpi_Analysis[[#This Row],[Quantity]]</f>
        <v>3724.8399999999988</v>
      </c>
      <c r="P294" s="2">
        <f>Procurement_kpi_Analysis[[#This Row],[Total Savings]]/Procurement_kpi_Analysis[[#This Row],[Total Spend]]</f>
        <v>0.16232771822358338</v>
      </c>
      <c r="Q294" s="2" t="str">
        <f>IF(Procurement_kpi_Analysis[[#This Row],[Lead Time]]&lt;=14,"On Time","Late")</f>
        <v>On Time</v>
      </c>
      <c r="R294" s="2">
        <f>Procurement_kpi_Analysis[[#This Row],[Unit_Price]]*Procurement_kpi_Analysis[[#This Row],[Quantity]]</f>
        <v>26671.26</v>
      </c>
      <c r="S294" s="2">
        <f>IF(Procurement_kpi_Analysis[[#This Row],[Compliance]]="Yes",1,0)</f>
        <v>1</v>
      </c>
      <c r="T294" s="2">
        <f>IF(Procurement_kpi_Analysis[[#This Row],[Compliance]]="No",1,0)</f>
        <v>0</v>
      </c>
    </row>
    <row r="295" spans="1:20" x14ac:dyDescent="0.3">
      <c r="A295" t="s">
        <v>320</v>
      </c>
      <c r="B295" t="s">
        <v>29</v>
      </c>
      <c r="C295" s="1">
        <v>44732</v>
      </c>
      <c r="D295" s="1">
        <v>44740</v>
      </c>
      <c r="E295" t="s">
        <v>21</v>
      </c>
      <c r="F295" t="s">
        <v>18</v>
      </c>
      <c r="G295">
        <v>779</v>
      </c>
      <c r="H295">
        <v>41.3</v>
      </c>
      <c r="I295">
        <v>36.28</v>
      </c>
      <c r="J295">
        <v>20</v>
      </c>
      <c r="K295" t="s">
        <v>15</v>
      </c>
      <c r="L295">
        <f>Procurement_kpi_Analysis[[#This Row],[Quantity]]*Procurement_kpi_Analysis[[#This Row],[Negotiated_Price]]</f>
        <v>28262.120000000003</v>
      </c>
      <c r="M295">
        <f>IF(Procurement_kpi_Analysis[[#This Row],[Delivery_Date]]="","",Procurement_kpi_Analysis[[#This Row],[Delivery_Date]]-Procurement_kpi_Analysis[[#This Row],[Order_Date]])</f>
        <v>8</v>
      </c>
      <c r="N295" s="2">
        <f>Procurement_kpi_Analysis[[#This Row],[Defective_Units]]/Procurement_kpi_Analysis[[#This Row],[Quantity]]</f>
        <v>2.5673940949935817E-2</v>
      </c>
      <c r="O295" s="2">
        <f>(Procurement_kpi_Analysis[[#This Row],[Unit_Price]]-Procurement_kpi_Analysis[[#This Row],[Negotiated_Price]])*Procurement_kpi_Analysis[[#This Row],[Quantity]]</f>
        <v>3910.5799999999967</v>
      </c>
      <c r="P295" s="2">
        <f>Procurement_kpi_Analysis[[#This Row],[Total Savings]]/Procurement_kpi_Analysis[[#This Row],[Total Spend]]</f>
        <v>0.13836824696802633</v>
      </c>
      <c r="Q295" s="2" t="str">
        <f>IF(Procurement_kpi_Analysis[[#This Row],[Lead Time]]&lt;=14,"On Time","Late")</f>
        <v>On Time</v>
      </c>
      <c r="R295" s="2">
        <f>Procurement_kpi_Analysis[[#This Row],[Unit_Price]]*Procurement_kpi_Analysis[[#This Row],[Quantity]]</f>
        <v>32172.699999999997</v>
      </c>
      <c r="S295" s="2">
        <f>IF(Procurement_kpi_Analysis[[#This Row],[Compliance]]="Yes",1,0)</f>
        <v>1</v>
      </c>
      <c r="T295" s="2">
        <f>IF(Procurement_kpi_Analysis[[#This Row],[Compliance]]="No",1,0)</f>
        <v>0</v>
      </c>
    </row>
    <row r="296" spans="1:20" x14ac:dyDescent="0.3">
      <c r="A296" t="s">
        <v>321</v>
      </c>
      <c r="B296" t="s">
        <v>17</v>
      </c>
      <c r="C296" s="1">
        <v>44978</v>
      </c>
      <c r="D296" s="1">
        <v>44979</v>
      </c>
      <c r="E296" t="s">
        <v>13</v>
      </c>
      <c r="F296" t="s">
        <v>18</v>
      </c>
      <c r="G296">
        <v>1745</v>
      </c>
      <c r="H296">
        <v>23.53</v>
      </c>
      <c r="I296">
        <v>22.57</v>
      </c>
      <c r="J296">
        <v>282</v>
      </c>
      <c r="K296" t="s">
        <v>27</v>
      </c>
      <c r="L296">
        <f>Procurement_kpi_Analysis[[#This Row],[Quantity]]*Procurement_kpi_Analysis[[#This Row],[Negotiated_Price]]</f>
        <v>39384.65</v>
      </c>
      <c r="M296">
        <f>IF(Procurement_kpi_Analysis[[#This Row],[Delivery_Date]]="","",Procurement_kpi_Analysis[[#This Row],[Delivery_Date]]-Procurement_kpi_Analysis[[#This Row],[Order_Date]])</f>
        <v>1</v>
      </c>
      <c r="N296" s="2">
        <f>Procurement_kpi_Analysis[[#This Row],[Defective_Units]]/Procurement_kpi_Analysis[[#This Row],[Quantity]]</f>
        <v>0.16160458452722062</v>
      </c>
      <c r="O296" s="2">
        <f>(Procurement_kpi_Analysis[[#This Row],[Unit_Price]]-Procurement_kpi_Analysis[[#This Row],[Negotiated_Price]])*Procurement_kpi_Analysis[[#This Row],[Quantity]]</f>
        <v>1675.2000000000014</v>
      </c>
      <c r="P296" s="2">
        <f>Procurement_kpi_Analysis[[#This Row],[Total Savings]]/Procurement_kpi_Analysis[[#This Row],[Total Spend]]</f>
        <v>4.2534337616304867E-2</v>
      </c>
      <c r="Q296" s="2" t="str">
        <f>IF(Procurement_kpi_Analysis[[#This Row],[Lead Time]]&lt;=14,"On Time","Late")</f>
        <v>On Time</v>
      </c>
      <c r="R296" s="2">
        <f>Procurement_kpi_Analysis[[#This Row],[Unit_Price]]*Procurement_kpi_Analysis[[#This Row],[Quantity]]</f>
        <v>41059.85</v>
      </c>
      <c r="S296" s="2">
        <f>IF(Procurement_kpi_Analysis[[#This Row],[Compliance]]="Yes",1,0)</f>
        <v>0</v>
      </c>
      <c r="T296" s="2">
        <f>IF(Procurement_kpi_Analysis[[#This Row],[Compliance]]="No",1,0)</f>
        <v>1</v>
      </c>
    </row>
    <row r="297" spans="1:20" x14ac:dyDescent="0.3">
      <c r="A297" t="s">
        <v>322</v>
      </c>
      <c r="B297" t="s">
        <v>17</v>
      </c>
      <c r="C297" s="1">
        <v>45059</v>
      </c>
      <c r="D297" s="1">
        <v>45061</v>
      </c>
      <c r="E297" t="s">
        <v>26</v>
      </c>
      <c r="F297" t="s">
        <v>18</v>
      </c>
      <c r="G297">
        <v>1783</v>
      </c>
      <c r="H297">
        <v>16.96</v>
      </c>
      <c r="I297">
        <v>15.8</v>
      </c>
      <c r="J297">
        <v>295</v>
      </c>
      <c r="K297" t="s">
        <v>15</v>
      </c>
      <c r="L297">
        <f>Procurement_kpi_Analysis[[#This Row],[Quantity]]*Procurement_kpi_Analysis[[#This Row],[Negotiated_Price]]</f>
        <v>28171.4</v>
      </c>
      <c r="M297">
        <f>IF(Procurement_kpi_Analysis[[#This Row],[Delivery_Date]]="","",Procurement_kpi_Analysis[[#This Row],[Delivery_Date]]-Procurement_kpi_Analysis[[#This Row],[Order_Date]])</f>
        <v>2</v>
      </c>
      <c r="N297" s="2">
        <f>Procurement_kpi_Analysis[[#This Row],[Defective_Units]]/Procurement_kpi_Analysis[[#This Row],[Quantity]]</f>
        <v>0.16545148625911385</v>
      </c>
      <c r="O297" s="2">
        <f>(Procurement_kpi_Analysis[[#This Row],[Unit_Price]]-Procurement_kpi_Analysis[[#This Row],[Negotiated_Price]])*Procurement_kpi_Analysis[[#This Row],[Quantity]]</f>
        <v>2068.2800000000002</v>
      </c>
      <c r="P297" s="2">
        <f>Procurement_kpi_Analysis[[#This Row],[Total Savings]]/Procurement_kpi_Analysis[[#This Row],[Total Spend]]</f>
        <v>7.3417721518987344E-2</v>
      </c>
      <c r="Q297" s="2" t="str">
        <f>IF(Procurement_kpi_Analysis[[#This Row],[Lead Time]]&lt;=14,"On Time","Late")</f>
        <v>On Time</v>
      </c>
      <c r="R297" s="2">
        <f>Procurement_kpi_Analysis[[#This Row],[Unit_Price]]*Procurement_kpi_Analysis[[#This Row],[Quantity]]</f>
        <v>30239.68</v>
      </c>
      <c r="S297" s="2">
        <f>IF(Procurement_kpi_Analysis[[#This Row],[Compliance]]="Yes",1,0)</f>
        <v>1</v>
      </c>
      <c r="T297" s="2">
        <f>IF(Procurement_kpi_Analysis[[#This Row],[Compliance]]="No",1,0)</f>
        <v>0</v>
      </c>
    </row>
    <row r="298" spans="1:20" x14ac:dyDescent="0.3">
      <c r="A298" t="s">
        <v>323</v>
      </c>
      <c r="B298" t="s">
        <v>12</v>
      </c>
      <c r="C298" s="1">
        <v>45054</v>
      </c>
      <c r="D298" s="1">
        <v>45068</v>
      </c>
      <c r="E298" t="s">
        <v>13</v>
      </c>
      <c r="F298" t="s">
        <v>33</v>
      </c>
      <c r="G298">
        <v>1489</v>
      </c>
      <c r="H298">
        <v>107.02</v>
      </c>
      <c r="I298">
        <v>93.3</v>
      </c>
      <c r="J298">
        <v>0</v>
      </c>
      <c r="K298" t="s">
        <v>15</v>
      </c>
      <c r="L298">
        <f>Procurement_kpi_Analysis[[#This Row],[Quantity]]*Procurement_kpi_Analysis[[#This Row],[Negotiated_Price]]</f>
        <v>138923.69999999998</v>
      </c>
      <c r="M298">
        <f>IF(Procurement_kpi_Analysis[[#This Row],[Delivery_Date]]="","",Procurement_kpi_Analysis[[#This Row],[Delivery_Date]]-Procurement_kpi_Analysis[[#This Row],[Order_Date]])</f>
        <v>14</v>
      </c>
      <c r="N298" s="2">
        <f>Procurement_kpi_Analysis[[#This Row],[Defective_Units]]/Procurement_kpi_Analysis[[#This Row],[Quantity]]</f>
        <v>0</v>
      </c>
      <c r="O298" s="2">
        <f>(Procurement_kpi_Analysis[[#This Row],[Unit_Price]]-Procurement_kpi_Analysis[[#This Row],[Negotiated_Price]])*Procurement_kpi_Analysis[[#This Row],[Quantity]]</f>
        <v>20429.079999999998</v>
      </c>
      <c r="P298" s="2">
        <f>Procurement_kpi_Analysis[[#This Row],[Total Savings]]/Procurement_kpi_Analysis[[#This Row],[Total Spend]]</f>
        <v>0.14705251875669884</v>
      </c>
      <c r="Q298" s="2" t="str">
        <f>IF(Procurement_kpi_Analysis[[#This Row],[Lead Time]]&lt;=14,"On Time","Late")</f>
        <v>On Time</v>
      </c>
      <c r="R298" s="2">
        <f>Procurement_kpi_Analysis[[#This Row],[Unit_Price]]*Procurement_kpi_Analysis[[#This Row],[Quantity]]</f>
        <v>159352.78</v>
      </c>
      <c r="S298" s="2">
        <f>IF(Procurement_kpi_Analysis[[#This Row],[Compliance]]="Yes",1,0)</f>
        <v>1</v>
      </c>
      <c r="T298" s="2">
        <f>IF(Procurement_kpi_Analysis[[#This Row],[Compliance]]="No",1,0)</f>
        <v>0</v>
      </c>
    </row>
    <row r="299" spans="1:20" x14ac:dyDescent="0.3">
      <c r="A299" t="s">
        <v>324</v>
      </c>
      <c r="B299" t="s">
        <v>12</v>
      </c>
      <c r="C299" s="1">
        <v>44780</v>
      </c>
      <c r="D299" s="1">
        <v>44783</v>
      </c>
      <c r="E299" t="s">
        <v>13</v>
      </c>
      <c r="F299" t="s">
        <v>18</v>
      </c>
      <c r="G299">
        <v>296</v>
      </c>
      <c r="H299">
        <v>40.380000000000003</v>
      </c>
      <c r="I299">
        <v>35.25</v>
      </c>
      <c r="J299">
        <v>0</v>
      </c>
      <c r="K299" t="s">
        <v>15</v>
      </c>
      <c r="L299">
        <f>Procurement_kpi_Analysis[[#This Row],[Quantity]]*Procurement_kpi_Analysis[[#This Row],[Negotiated_Price]]</f>
        <v>10434</v>
      </c>
      <c r="M299">
        <f>IF(Procurement_kpi_Analysis[[#This Row],[Delivery_Date]]="","",Procurement_kpi_Analysis[[#This Row],[Delivery_Date]]-Procurement_kpi_Analysis[[#This Row],[Order_Date]])</f>
        <v>3</v>
      </c>
      <c r="N299" s="2">
        <f>Procurement_kpi_Analysis[[#This Row],[Defective_Units]]/Procurement_kpi_Analysis[[#This Row],[Quantity]]</f>
        <v>0</v>
      </c>
      <c r="O299" s="2">
        <f>(Procurement_kpi_Analysis[[#This Row],[Unit_Price]]-Procurement_kpi_Analysis[[#This Row],[Negotiated_Price]])*Procurement_kpi_Analysis[[#This Row],[Quantity]]</f>
        <v>1518.4800000000007</v>
      </c>
      <c r="P299" s="2">
        <f>Procurement_kpi_Analysis[[#This Row],[Total Savings]]/Procurement_kpi_Analysis[[#This Row],[Total Spend]]</f>
        <v>0.14553191489361708</v>
      </c>
      <c r="Q299" s="2" t="str">
        <f>IF(Procurement_kpi_Analysis[[#This Row],[Lead Time]]&lt;=14,"On Time","Late")</f>
        <v>On Time</v>
      </c>
      <c r="R299" s="2">
        <f>Procurement_kpi_Analysis[[#This Row],[Unit_Price]]*Procurement_kpi_Analysis[[#This Row],[Quantity]]</f>
        <v>11952.480000000001</v>
      </c>
      <c r="S299" s="2">
        <f>IF(Procurement_kpi_Analysis[[#This Row],[Compliance]]="Yes",1,0)</f>
        <v>1</v>
      </c>
      <c r="T299" s="2">
        <f>IF(Procurement_kpi_Analysis[[#This Row],[Compliance]]="No",1,0)</f>
        <v>0</v>
      </c>
    </row>
    <row r="300" spans="1:20" x14ac:dyDescent="0.3">
      <c r="A300" t="s">
        <v>325</v>
      </c>
      <c r="B300" t="s">
        <v>29</v>
      </c>
      <c r="C300" s="1">
        <v>44972</v>
      </c>
      <c r="D300" s="1">
        <v>44984</v>
      </c>
      <c r="E300" t="s">
        <v>21</v>
      </c>
      <c r="F300" t="s">
        <v>18</v>
      </c>
      <c r="G300">
        <v>885</v>
      </c>
      <c r="H300">
        <v>88.28</v>
      </c>
      <c r="I300">
        <v>80.8</v>
      </c>
      <c r="J300">
        <v>31</v>
      </c>
      <c r="K300" t="s">
        <v>15</v>
      </c>
      <c r="L300">
        <f>Procurement_kpi_Analysis[[#This Row],[Quantity]]*Procurement_kpi_Analysis[[#This Row],[Negotiated_Price]]</f>
        <v>71508</v>
      </c>
      <c r="M300">
        <f>IF(Procurement_kpi_Analysis[[#This Row],[Delivery_Date]]="","",Procurement_kpi_Analysis[[#This Row],[Delivery_Date]]-Procurement_kpi_Analysis[[#This Row],[Order_Date]])</f>
        <v>12</v>
      </c>
      <c r="N300" s="2">
        <f>Procurement_kpi_Analysis[[#This Row],[Defective_Units]]/Procurement_kpi_Analysis[[#This Row],[Quantity]]</f>
        <v>3.5028248587570622E-2</v>
      </c>
      <c r="O300" s="2">
        <f>(Procurement_kpi_Analysis[[#This Row],[Unit_Price]]-Procurement_kpi_Analysis[[#This Row],[Negotiated_Price]])*Procurement_kpi_Analysis[[#This Row],[Quantity]]</f>
        <v>6619.8000000000038</v>
      </c>
      <c r="P300" s="2">
        <f>Procurement_kpi_Analysis[[#This Row],[Total Savings]]/Procurement_kpi_Analysis[[#This Row],[Total Spend]]</f>
        <v>9.2574257425742629E-2</v>
      </c>
      <c r="Q300" s="2" t="str">
        <f>IF(Procurement_kpi_Analysis[[#This Row],[Lead Time]]&lt;=14,"On Time","Late")</f>
        <v>On Time</v>
      </c>
      <c r="R300" s="2">
        <f>Procurement_kpi_Analysis[[#This Row],[Unit_Price]]*Procurement_kpi_Analysis[[#This Row],[Quantity]]</f>
        <v>78127.8</v>
      </c>
      <c r="S300" s="2">
        <f>IF(Procurement_kpi_Analysis[[#This Row],[Compliance]]="Yes",1,0)</f>
        <v>1</v>
      </c>
      <c r="T300" s="2">
        <f>IF(Procurement_kpi_Analysis[[#This Row],[Compliance]]="No",1,0)</f>
        <v>0</v>
      </c>
    </row>
    <row r="301" spans="1:20" x14ac:dyDescent="0.3">
      <c r="A301" t="s">
        <v>326</v>
      </c>
      <c r="B301" t="s">
        <v>29</v>
      </c>
      <c r="C301" s="1">
        <v>44622</v>
      </c>
      <c r="D301" s="1">
        <v>44626</v>
      </c>
      <c r="E301" t="s">
        <v>26</v>
      </c>
      <c r="F301" t="s">
        <v>35</v>
      </c>
      <c r="G301">
        <v>1512</v>
      </c>
      <c r="H301">
        <v>33.25</v>
      </c>
      <c r="I301">
        <v>30.15</v>
      </c>
      <c r="J301">
        <v>53</v>
      </c>
      <c r="K301" t="s">
        <v>15</v>
      </c>
      <c r="L301">
        <f>Procurement_kpi_Analysis[[#This Row],[Quantity]]*Procurement_kpi_Analysis[[#This Row],[Negotiated_Price]]</f>
        <v>45586.799999999996</v>
      </c>
      <c r="M301">
        <f>IF(Procurement_kpi_Analysis[[#This Row],[Delivery_Date]]="","",Procurement_kpi_Analysis[[#This Row],[Delivery_Date]]-Procurement_kpi_Analysis[[#This Row],[Order_Date]])</f>
        <v>4</v>
      </c>
      <c r="N301" s="2">
        <f>Procurement_kpi_Analysis[[#This Row],[Defective_Units]]/Procurement_kpi_Analysis[[#This Row],[Quantity]]</f>
        <v>3.5052910052910051E-2</v>
      </c>
      <c r="O301" s="2">
        <f>(Procurement_kpi_Analysis[[#This Row],[Unit_Price]]-Procurement_kpi_Analysis[[#This Row],[Negotiated_Price]])*Procurement_kpi_Analysis[[#This Row],[Quantity]]</f>
        <v>4687.2000000000025</v>
      </c>
      <c r="P301" s="2">
        <f>Procurement_kpi_Analysis[[#This Row],[Total Savings]]/Procurement_kpi_Analysis[[#This Row],[Total Spend]]</f>
        <v>0.10281923714759542</v>
      </c>
      <c r="Q301" s="2" t="str">
        <f>IF(Procurement_kpi_Analysis[[#This Row],[Lead Time]]&lt;=14,"On Time","Late")</f>
        <v>On Time</v>
      </c>
      <c r="R301" s="2">
        <f>Procurement_kpi_Analysis[[#This Row],[Unit_Price]]*Procurement_kpi_Analysis[[#This Row],[Quantity]]</f>
        <v>50274</v>
      </c>
      <c r="S301" s="2">
        <f>IF(Procurement_kpi_Analysis[[#This Row],[Compliance]]="Yes",1,0)</f>
        <v>1</v>
      </c>
      <c r="T301" s="2">
        <f>IF(Procurement_kpi_Analysis[[#This Row],[Compliance]]="No",1,0)</f>
        <v>0</v>
      </c>
    </row>
    <row r="302" spans="1:20" x14ac:dyDescent="0.3">
      <c r="A302" t="s">
        <v>327</v>
      </c>
      <c r="B302" t="s">
        <v>17</v>
      </c>
      <c r="C302" s="1">
        <v>44730</v>
      </c>
      <c r="D302" s="1">
        <v>44738</v>
      </c>
      <c r="E302" t="s">
        <v>13</v>
      </c>
      <c r="F302" t="s">
        <v>18</v>
      </c>
      <c r="G302">
        <v>252</v>
      </c>
      <c r="H302">
        <v>73.12</v>
      </c>
      <c r="I302">
        <v>67.64</v>
      </c>
      <c r="J302">
        <v>0</v>
      </c>
      <c r="K302" t="s">
        <v>27</v>
      </c>
      <c r="L302">
        <f>Procurement_kpi_Analysis[[#This Row],[Quantity]]*Procurement_kpi_Analysis[[#This Row],[Negotiated_Price]]</f>
        <v>17045.28</v>
      </c>
      <c r="M302">
        <f>IF(Procurement_kpi_Analysis[[#This Row],[Delivery_Date]]="","",Procurement_kpi_Analysis[[#This Row],[Delivery_Date]]-Procurement_kpi_Analysis[[#This Row],[Order_Date]])</f>
        <v>8</v>
      </c>
      <c r="N302" s="2">
        <f>Procurement_kpi_Analysis[[#This Row],[Defective_Units]]/Procurement_kpi_Analysis[[#This Row],[Quantity]]</f>
        <v>0</v>
      </c>
      <c r="O302" s="2">
        <f>(Procurement_kpi_Analysis[[#This Row],[Unit_Price]]-Procurement_kpi_Analysis[[#This Row],[Negotiated_Price]])*Procurement_kpi_Analysis[[#This Row],[Quantity]]</f>
        <v>1380.9600000000009</v>
      </c>
      <c r="P302" s="2">
        <f>Procurement_kpi_Analysis[[#This Row],[Total Savings]]/Procurement_kpi_Analysis[[#This Row],[Total Spend]]</f>
        <v>8.1017149615612127E-2</v>
      </c>
      <c r="Q302" s="2" t="str">
        <f>IF(Procurement_kpi_Analysis[[#This Row],[Lead Time]]&lt;=14,"On Time","Late")</f>
        <v>On Time</v>
      </c>
      <c r="R302" s="2">
        <f>Procurement_kpi_Analysis[[#This Row],[Unit_Price]]*Procurement_kpi_Analysis[[#This Row],[Quantity]]</f>
        <v>18426.240000000002</v>
      </c>
      <c r="S302" s="2">
        <f>IF(Procurement_kpi_Analysis[[#This Row],[Compliance]]="Yes",1,0)</f>
        <v>0</v>
      </c>
      <c r="T302" s="2">
        <f>IF(Procurement_kpi_Analysis[[#This Row],[Compliance]]="No",1,0)</f>
        <v>1</v>
      </c>
    </row>
    <row r="303" spans="1:20" x14ac:dyDescent="0.3">
      <c r="A303" t="s">
        <v>328</v>
      </c>
      <c r="B303" t="s">
        <v>12</v>
      </c>
      <c r="C303" s="1">
        <v>44950</v>
      </c>
      <c r="D303" s="1"/>
      <c r="E303" t="s">
        <v>39</v>
      </c>
      <c r="F303" t="s">
        <v>14</v>
      </c>
      <c r="G303">
        <v>1257</v>
      </c>
      <c r="H303">
        <v>83.13</v>
      </c>
      <c r="I303">
        <v>81.89</v>
      </c>
      <c r="J303">
        <v>30</v>
      </c>
      <c r="K303" t="s">
        <v>15</v>
      </c>
      <c r="L303">
        <f>Procurement_kpi_Analysis[[#This Row],[Quantity]]*Procurement_kpi_Analysis[[#This Row],[Negotiated_Price]]</f>
        <v>102935.73</v>
      </c>
      <c r="M303" t="str">
        <f>IF(Procurement_kpi_Analysis[[#This Row],[Delivery_Date]]="","",Procurement_kpi_Analysis[[#This Row],[Delivery_Date]]-Procurement_kpi_Analysis[[#This Row],[Order_Date]])</f>
        <v/>
      </c>
      <c r="N303" s="2">
        <f>Procurement_kpi_Analysis[[#This Row],[Defective_Units]]/Procurement_kpi_Analysis[[#This Row],[Quantity]]</f>
        <v>2.386634844868735E-2</v>
      </c>
      <c r="O303" s="2">
        <f>(Procurement_kpi_Analysis[[#This Row],[Unit_Price]]-Procurement_kpi_Analysis[[#This Row],[Negotiated_Price]])*Procurement_kpi_Analysis[[#This Row],[Quantity]]</f>
        <v>1558.6799999999935</v>
      </c>
      <c r="P303" s="2">
        <f>Procurement_kpi_Analysis[[#This Row],[Total Savings]]/Procurement_kpi_Analysis[[#This Row],[Total Spend]]</f>
        <v>1.5142264012699901E-2</v>
      </c>
      <c r="Q303" s="2" t="str">
        <f>IF(Procurement_kpi_Analysis[[#This Row],[Lead Time]]&lt;=14,"On Time","Late")</f>
        <v>Late</v>
      </c>
      <c r="R303" s="2">
        <f>Procurement_kpi_Analysis[[#This Row],[Unit_Price]]*Procurement_kpi_Analysis[[#This Row],[Quantity]]</f>
        <v>104494.40999999999</v>
      </c>
      <c r="S303" s="2">
        <f>IF(Procurement_kpi_Analysis[[#This Row],[Compliance]]="Yes",1,0)</f>
        <v>1</v>
      </c>
      <c r="T303" s="2">
        <f>IF(Procurement_kpi_Analysis[[#This Row],[Compliance]]="No",1,0)</f>
        <v>0</v>
      </c>
    </row>
    <row r="304" spans="1:20" x14ac:dyDescent="0.3">
      <c r="A304" t="s">
        <v>329</v>
      </c>
      <c r="B304" t="s">
        <v>12</v>
      </c>
      <c r="C304" s="1">
        <v>44564</v>
      </c>
      <c r="D304" s="1">
        <v>44581</v>
      </c>
      <c r="E304" t="s">
        <v>24</v>
      </c>
      <c r="F304" t="s">
        <v>18</v>
      </c>
      <c r="G304">
        <v>172</v>
      </c>
      <c r="H304">
        <v>63.61</v>
      </c>
      <c r="I304">
        <v>55.92</v>
      </c>
      <c r="J304">
        <v>4</v>
      </c>
      <c r="K304" t="s">
        <v>15</v>
      </c>
      <c r="L304">
        <f>Procurement_kpi_Analysis[[#This Row],[Quantity]]*Procurement_kpi_Analysis[[#This Row],[Negotiated_Price]]</f>
        <v>9618.24</v>
      </c>
      <c r="M304">
        <f>IF(Procurement_kpi_Analysis[[#This Row],[Delivery_Date]]="","",Procurement_kpi_Analysis[[#This Row],[Delivery_Date]]-Procurement_kpi_Analysis[[#This Row],[Order_Date]])</f>
        <v>17</v>
      </c>
      <c r="N304" s="2">
        <f>Procurement_kpi_Analysis[[#This Row],[Defective_Units]]/Procurement_kpi_Analysis[[#This Row],[Quantity]]</f>
        <v>2.3255813953488372E-2</v>
      </c>
      <c r="O304" s="2">
        <f>(Procurement_kpi_Analysis[[#This Row],[Unit_Price]]-Procurement_kpi_Analysis[[#This Row],[Negotiated_Price]])*Procurement_kpi_Analysis[[#This Row],[Quantity]]</f>
        <v>1322.6799999999996</v>
      </c>
      <c r="P304" s="2">
        <f>Procurement_kpi_Analysis[[#This Row],[Total Savings]]/Procurement_kpi_Analysis[[#This Row],[Total Spend]]</f>
        <v>0.13751788268955648</v>
      </c>
      <c r="Q304" s="2" t="str">
        <f>IF(Procurement_kpi_Analysis[[#This Row],[Lead Time]]&lt;=14,"On Time","Late")</f>
        <v>Late</v>
      </c>
      <c r="R304" s="2">
        <f>Procurement_kpi_Analysis[[#This Row],[Unit_Price]]*Procurement_kpi_Analysis[[#This Row],[Quantity]]</f>
        <v>10940.92</v>
      </c>
      <c r="S304" s="2">
        <f>IF(Procurement_kpi_Analysis[[#This Row],[Compliance]]="Yes",1,0)</f>
        <v>1</v>
      </c>
      <c r="T304" s="2">
        <f>IF(Procurement_kpi_Analysis[[#This Row],[Compliance]]="No",1,0)</f>
        <v>0</v>
      </c>
    </row>
    <row r="305" spans="1:20" x14ac:dyDescent="0.3">
      <c r="A305" t="s">
        <v>330</v>
      </c>
      <c r="B305" t="s">
        <v>29</v>
      </c>
      <c r="C305" s="1">
        <v>44961</v>
      </c>
      <c r="D305" s="1">
        <v>44962</v>
      </c>
      <c r="E305" t="s">
        <v>24</v>
      </c>
      <c r="F305" t="s">
        <v>35</v>
      </c>
      <c r="G305">
        <v>450</v>
      </c>
      <c r="H305">
        <v>55.85</v>
      </c>
      <c r="I305">
        <v>49.88</v>
      </c>
      <c r="J305">
        <v>9</v>
      </c>
      <c r="K305" t="s">
        <v>15</v>
      </c>
      <c r="L305">
        <f>Procurement_kpi_Analysis[[#This Row],[Quantity]]*Procurement_kpi_Analysis[[#This Row],[Negotiated_Price]]</f>
        <v>22446</v>
      </c>
      <c r="M305">
        <f>IF(Procurement_kpi_Analysis[[#This Row],[Delivery_Date]]="","",Procurement_kpi_Analysis[[#This Row],[Delivery_Date]]-Procurement_kpi_Analysis[[#This Row],[Order_Date]])</f>
        <v>1</v>
      </c>
      <c r="N305" s="2">
        <f>Procurement_kpi_Analysis[[#This Row],[Defective_Units]]/Procurement_kpi_Analysis[[#This Row],[Quantity]]</f>
        <v>0.02</v>
      </c>
      <c r="O305" s="2">
        <f>(Procurement_kpi_Analysis[[#This Row],[Unit_Price]]-Procurement_kpi_Analysis[[#This Row],[Negotiated_Price]])*Procurement_kpi_Analysis[[#This Row],[Quantity]]</f>
        <v>2686.4999999999995</v>
      </c>
      <c r="P305" s="2">
        <f>Procurement_kpi_Analysis[[#This Row],[Total Savings]]/Procurement_kpi_Analysis[[#This Row],[Total Spend]]</f>
        <v>0.11968724939855652</v>
      </c>
      <c r="Q305" s="2" t="str">
        <f>IF(Procurement_kpi_Analysis[[#This Row],[Lead Time]]&lt;=14,"On Time","Late")</f>
        <v>On Time</v>
      </c>
      <c r="R305" s="2">
        <f>Procurement_kpi_Analysis[[#This Row],[Unit_Price]]*Procurement_kpi_Analysis[[#This Row],[Quantity]]</f>
        <v>25132.5</v>
      </c>
      <c r="S305" s="2">
        <f>IF(Procurement_kpi_Analysis[[#This Row],[Compliance]]="Yes",1,0)</f>
        <v>1</v>
      </c>
      <c r="T305" s="2">
        <f>IF(Procurement_kpi_Analysis[[#This Row],[Compliance]]="No",1,0)</f>
        <v>0</v>
      </c>
    </row>
    <row r="306" spans="1:20" x14ac:dyDescent="0.3">
      <c r="A306" t="s">
        <v>331</v>
      </c>
      <c r="B306" t="s">
        <v>20</v>
      </c>
      <c r="C306" s="1">
        <v>44833</v>
      </c>
      <c r="D306" s="1">
        <v>44849</v>
      </c>
      <c r="E306" t="s">
        <v>39</v>
      </c>
      <c r="F306" t="s">
        <v>18</v>
      </c>
      <c r="G306">
        <v>816</v>
      </c>
      <c r="H306">
        <v>48.95</v>
      </c>
      <c r="I306">
        <v>43.42</v>
      </c>
      <c r="J306">
        <v>45</v>
      </c>
      <c r="K306" t="s">
        <v>15</v>
      </c>
      <c r="L306">
        <f>Procurement_kpi_Analysis[[#This Row],[Quantity]]*Procurement_kpi_Analysis[[#This Row],[Negotiated_Price]]</f>
        <v>35430.720000000001</v>
      </c>
      <c r="M306">
        <f>IF(Procurement_kpi_Analysis[[#This Row],[Delivery_Date]]="","",Procurement_kpi_Analysis[[#This Row],[Delivery_Date]]-Procurement_kpi_Analysis[[#This Row],[Order_Date]])</f>
        <v>16</v>
      </c>
      <c r="N306" s="2">
        <f>Procurement_kpi_Analysis[[#This Row],[Defective_Units]]/Procurement_kpi_Analysis[[#This Row],[Quantity]]</f>
        <v>5.514705882352941E-2</v>
      </c>
      <c r="O306" s="2">
        <f>(Procurement_kpi_Analysis[[#This Row],[Unit_Price]]-Procurement_kpi_Analysis[[#This Row],[Negotiated_Price]])*Procurement_kpi_Analysis[[#This Row],[Quantity]]</f>
        <v>4512.4800000000014</v>
      </c>
      <c r="P306" s="2">
        <f>Procurement_kpi_Analysis[[#This Row],[Total Savings]]/Procurement_kpi_Analysis[[#This Row],[Total Spend]]</f>
        <v>0.12736066328880705</v>
      </c>
      <c r="Q306" s="2" t="str">
        <f>IF(Procurement_kpi_Analysis[[#This Row],[Lead Time]]&lt;=14,"On Time","Late")</f>
        <v>Late</v>
      </c>
      <c r="R306" s="2">
        <f>Procurement_kpi_Analysis[[#This Row],[Unit_Price]]*Procurement_kpi_Analysis[[#This Row],[Quantity]]</f>
        <v>39943.200000000004</v>
      </c>
      <c r="S306" s="2">
        <f>IF(Procurement_kpi_Analysis[[#This Row],[Compliance]]="Yes",1,0)</f>
        <v>1</v>
      </c>
      <c r="T306" s="2">
        <f>IF(Procurement_kpi_Analysis[[#This Row],[Compliance]]="No",1,0)</f>
        <v>0</v>
      </c>
    </row>
    <row r="307" spans="1:20" x14ac:dyDescent="0.3">
      <c r="A307" t="s">
        <v>332</v>
      </c>
      <c r="B307" t="s">
        <v>29</v>
      </c>
      <c r="C307" s="1">
        <v>45027</v>
      </c>
      <c r="D307" s="1">
        <v>45041</v>
      </c>
      <c r="E307" t="s">
        <v>24</v>
      </c>
      <c r="F307" t="s">
        <v>18</v>
      </c>
      <c r="G307">
        <v>343</v>
      </c>
      <c r="H307">
        <v>44.5</v>
      </c>
      <c r="I307">
        <v>38.57</v>
      </c>
      <c r="J307">
        <v>7</v>
      </c>
      <c r="K307" t="s">
        <v>15</v>
      </c>
      <c r="L307">
        <f>Procurement_kpi_Analysis[[#This Row],[Quantity]]*Procurement_kpi_Analysis[[#This Row],[Negotiated_Price]]</f>
        <v>13229.51</v>
      </c>
      <c r="M307">
        <f>IF(Procurement_kpi_Analysis[[#This Row],[Delivery_Date]]="","",Procurement_kpi_Analysis[[#This Row],[Delivery_Date]]-Procurement_kpi_Analysis[[#This Row],[Order_Date]])</f>
        <v>14</v>
      </c>
      <c r="N307" s="2">
        <f>Procurement_kpi_Analysis[[#This Row],[Defective_Units]]/Procurement_kpi_Analysis[[#This Row],[Quantity]]</f>
        <v>2.0408163265306121E-2</v>
      </c>
      <c r="O307" s="2">
        <f>(Procurement_kpi_Analysis[[#This Row],[Unit_Price]]-Procurement_kpi_Analysis[[#This Row],[Negotiated_Price]])*Procurement_kpi_Analysis[[#This Row],[Quantity]]</f>
        <v>2033.99</v>
      </c>
      <c r="P307" s="2">
        <f>Procurement_kpi_Analysis[[#This Row],[Total Savings]]/Procurement_kpi_Analysis[[#This Row],[Total Spend]]</f>
        <v>0.15374643505315011</v>
      </c>
      <c r="Q307" s="2" t="str">
        <f>IF(Procurement_kpi_Analysis[[#This Row],[Lead Time]]&lt;=14,"On Time","Late")</f>
        <v>On Time</v>
      </c>
      <c r="R307" s="2">
        <f>Procurement_kpi_Analysis[[#This Row],[Unit_Price]]*Procurement_kpi_Analysis[[#This Row],[Quantity]]</f>
        <v>15263.5</v>
      </c>
      <c r="S307" s="2">
        <f>IF(Procurement_kpi_Analysis[[#This Row],[Compliance]]="Yes",1,0)</f>
        <v>1</v>
      </c>
      <c r="T307" s="2">
        <f>IF(Procurement_kpi_Analysis[[#This Row],[Compliance]]="No",1,0)</f>
        <v>0</v>
      </c>
    </row>
    <row r="308" spans="1:20" x14ac:dyDescent="0.3">
      <c r="A308" t="s">
        <v>333</v>
      </c>
      <c r="B308" t="s">
        <v>20</v>
      </c>
      <c r="C308" s="1">
        <v>44854</v>
      </c>
      <c r="D308" s="1">
        <v>44870</v>
      </c>
      <c r="E308" t="s">
        <v>21</v>
      </c>
      <c r="F308" t="s">
        <v>18</v>
      </c>
      <c r="G308">
        <v>329</v>
      </c>
      <c r="H308">
        <v>97.87</v>
      </c>
      <c r="I308">
        <v>85.35</v>
      </c>
      <c r="J308">
        <v>21</v>
      </c>
      <c r="K308" t="s">
        <v>27</v>
      </c>
      <c r="L308">
        <f>Procurement_kpi_Analysis[[#This Row],[Quantity]]*Procurement_kpi_Analysis[[#This Row],[Negotiated_Price]]</f>
        <v>28080.149999999998</v>
      </c>
      <c r="M308">
        <f>IF(Procurement_kpi_Analysis[[#This Row],[Delivery_Date]]="","",Procurement_kpi_Analysis[[#This Row],[Delivery_Date]]-Procurement_kpi_Analysis[[#This Row],[Order_Date]])</f>
        <v>16</v>
      </c>
      <c r="N308" s="2">
        <f>Procurement_kpi_Analysis[[#This Row],[Defective_Units]]/Procurement_kpi_Analysis[[#This Row],[Quantity]]</f>
        <v>6.3829787234042548E-2</v>
      </c>
      <c r="O308" s="2">
        <f>(Procurement_kpi_Analysis[[#This Row],[Unit_Price]]-Procurement_kpi_Analysis[[#This Row],[Negotiated_Price]])*Procurement_kpi_Analysis[[#This Row],[Quantity]]</f>
        <v>4119.0800000000036</v>
      </c>
      <c r="P308" s="2">
        <f>Procurement_kpi_Analysis[[#This Row],[Total Savings]]/Procurement_kpi_Analysis[[#This Row],[Total Spend]]</f>
        <v>0.14669009958992399</v>
      </c>
      <c r="Q308" s="2" t="str">
        <f>IF(Procurement_kpi_Analysis[[#This Row],[Lead Time]]&lt;=14,"On Time","Late")</f>
        <v>Late</v>
      </c>
      <c r="R308" s="2">
        <f>Procurement_kpi_Analysis[[#This Row],[Unit_Price]]*Procurement_kpi_Analysis[[#This Row],[Quantity]]</f>
        <v>32199.230000000003</v>
      </c>
      <c r="S308" s="2">
        <f>IF(Procurement_kpi_Analysis[[#This Row],[Compliance]]="Yes",1,0)</f>
        <v>0</v>
      </c>
      <c r="T308" s="2">
        <f>IF(Procurement_kpi_Analysis[[#This Row],[Compliance]]="No",1,0)</f>
        <v>1</v>
      </c>
    </row>
    <row r="309" spans="1:20" x14ac:dyDescent="0.3">
      <c r="A309" t="s">
        <v>334</v>
      </c>
      <c r="B309" t="s">
        <v>12</v>
      </c>
      <c r="C309" s="1">
        <v>44995</v>
      </c>
      <c r="D309" s="1">
        <v>45010</v>
      </c>
      <c r="E309" t="s">
        <v>39</v>
      </c>
      <c r="F309" t="s">
        <v>18</v>
      </c>
      <c r="G309">
        <v>1910</v>
      </c>
      <c r="H309">
        <v>90.69</v>
      </c>
      <c r="I309">
        <v>85.8</v>
      </c>
      <c r="J309">
        <v>0</v>
      </c>
      <c r="K309" t="s">
        <v>15</v>
      </c>
      <c r="L309">
        <f>Procurement_kpi_Analysis[[#This Row],[Quantity]]*Procurement_kpi_Analysis[[#This Row],[Negotiated_Price]]</f>
        <v>163878</v>
      </c>
      <c r="M309">
        <f>IF(Procurement_kpi_Analysis[[#This Row],[Delivery_Date]]="","",Procurement_kpi_Analysis[[#This Row],[Delivery_Date]]-Procurement_kpi_Analysis[[#This Row],[Order_Date]])</f>
        <v>15</v>
      </c>
      <c r="N309" s="2">
        <f>Procurement_kpi_Analysis[[#This Row],[Defective_Units]]/Procurement_kpi_Analysis[[#This Row],[Quantity]]</f>
        <v>0</v>
      </c>
      <c r="O309" s="2">
        <f>(Procurement_kpi_Analysis[[#This Row],[Unit_Price]]-Procurement_kpi_Analysis[[#This Row],[Negotiated_Price]])*Procurement_kpi_Analysis[[#This Row],[Quantity]]</f>
        <v>9339.9000000000015</v>
      </c>
      <c r="P309" s="2">
        <f>Procurement_kpi_Analysis[[#This Row],[Total Savings]]/Procurement_kpi_Analysis[[#This Row],[Total Spend]]</f>
        <v>5.6993006993007002E-2</v>
      </c>
      <c r="Q309" s="2" t="str">
        <f>IF(Procurement_kpi_Analysis[[#This Row],[Lead Time]]&lt;=14,"On Time","Late")</f>
        <v>Late</v>
      </c>
      <c r="R309" s="2">
        <f>Procurement_kpi_Analysis[[#This Row],[Unit_Price]]*Procurement_kpi_Analysis[[#This Row],[Quantity]]</f>
        <v>173217.9</v>
      </c>
      <c r="S309" s="2">
        <f>IF(Procurement_kpi_Analysis[[#This Row],[Compliance]]="Yes",1,0)</f>
        <v>1</v>
      </c>
      <c r="T309" s="2">
        <f>IF(Procurement_kpi_Analysis[[#This Row],[Compliance]]="No",1,0)</f>
        <v>0</v>
      </c>
    </row>
    <row r="310" spans="1:20" x14ac:dyDescent="0.3">
      <c r="A310" t="s">
        <v>335</v>
      </c>
      <c r="B310" t="s">
        <v>29</v>
      </c>
      <c r="C310" s="1">
        <v>45275</v>
      </c>
      <c r="D310" s="1">
        <v>45278</v>
      </c>
      <c r="E310" t="s">
        <v>21</v>
      </c>
      <c r="F310" t="s">
        <v>18</v>
      </c>
      <c r="G310">
        <v>933</v>
      </c>
      <c r="H310">
        <v>107.99</v>
      </c>
      <c r="I310">
        <v>104.29</v>
      </c>
      <c r="J310">
        <v>29</v>
      </c>
      <c r="K310" t="s">
        <v>15</v>
      </c>
      <c r="L310">
        <f>Procurement_kpi_Analysis[[#This Row],[Quantity]]*Procurement_kpi_Analysis[[#This Row],[Negotiated_Price]]</f>
        <v>97302.57</v>
      </c>
      <c r="M310">
        <f>IF(Procurement_kpi_Analysis[[#This Row],[Delivery_Date]]="","",Procurement_kpi_Analysis[[#This Row],[Delivery_Date]]-Procurement_kpi_Analysis[[#This Row],[Order_Date]])</f>
        <v>3</v>
      </c>
      <c r="N310" s="2">
        <f>Procurement_kpi_Analysis[[#This Row],[Defective_Units]]/Procurement_kpi_Analysis[[#This Row],[Quantity]]</f>
        <v>3.1082529474812434E-2</v>
      </c>
      <c r="O310" s="2">
        <f>(Procurement_kpi_Analysis[[#This Row],[Unit_Price]]-Procurement_kpi_Analysis[[#This Row],[Negotiated_Price]])*Procurement_kpi_Analysis[[#This Row],[Quantity]]</f>
        <v>3452.0999999999894</v>
      </c>
      <c r="P310" s="2">
        <f>Procurement_kpi_Analysis[[#This Row],[Total Savings]]/Procurement_kpi_Analysis[[#This Row],[Total Spend]]</f>
        <v>3.5477994055038722E-2</v>
      </c>
      <c r="Q310" s="2" t="str">
        <f>IF(Procurement_kpi_Analysis[[#This Row],[Lead Time]]&lt;=14,"On Time","Late")</f>
        <v>On Time</v>
      </c>
      <c r="R310" s="2">
        <f>Procurement_kpi_Analysis[[#This Row],[Unit_Price]]*Procurement_kpi_Analysis[[#This Row],[Quantity]]</f>
        <v>100754.67</v>
      </c>
      <c r="S310" s="2">
        <f>IF(Procurement_kpi_Analysis[[#This Row],[Compliance]]="Yes",1,0)</f>
        <v>1</v>
      </c>
      <c r="T310" s="2">
        <f>IF(Procurement_kpi_Analysis[[#This Row],[Compliance]]="No",1,0)</f>
        <v>0</v>
      </c>
    </row>
    <row r="311" spans="1:20" x14ac:dyDescent="0.3">
      <c r="A311" t="s">
        <v>336</v>
      </c>
      <c r="B311" t="s">
        <v>17</v>
      </c>
      <c r="C311" s="1">
        <v>45131</v>
      </c>
      <c r="D311" s="1">
        <v>45136</v>
      </c>
      <c r="E311" t="s">
        <v>26</v>
      </c>
      <c r="F311" t="s">
        <v>18</v>
      </c>
      <c r="G311">
        <v>1683</v>
      </c>
      <c r="H311">
        <v>23.09</v>
      </c>
      <c r="I311">
        <v>21.88</v>
      </c>
      <c r="J311">
        <v>253</v>
      </c>
      <c r="K311" t="s">
        <v>15</v>
      </c>
      <c r="L311">
        <f>Procurement_kpi_Analysis[[#This Row],[Quantity]]*Procurement_kpi_Analysis[[#This Row],[Negotiated_Price]]</f>
        <v>36824.04</v>
      </c>
      <c r="M311">
        <f>IF(Procurement_kpi_Analysis[[#This Row],[Delivery_Date]]="","",Procurement_kpi_Analysis[[#This Row],[Delivery_Date]]-Procurement_kpi_Analysis[[#This Row],[Order_Date]])</f>
        <v>5</v>
      </c>
      <c r="N311" s="2">
        <f>Procurement_kpi_Analysis[[#This Row],[Defective_Units]]/Procurement_kpi_Analysis[[#This Row],[Quantity]]</f>
        <v>0.15032679738562091</v>
      </c>
      <c r="O311" s="2">
        <f>(Procurement_kpi_Analysis[[#This Row],[Unit_Price]]-Procurement_kpi_Analysis[[#This Row],[Negotiated_Price]])*Procurement_kpi_Analysis[[#This Row],[Quantity]]</f>
        <v>2036.4300000000014</v>
      </c>
      <c r="P311" s="2">
        <f>Procurement_kpi_Analysis[[#This Row],[Total Savings]]/Procurement_kpi_Analysis[[#This Row],[Total Spend]]</f>
        <v>5.5301645338208444E-2</v>
      </c>
      <c r="Q311" s="2" t="str">
        <f>IF(Procurement_kpi_Analysis[[#This Row],[Lead Time]]&lt;=14,"On Time","Late")</f>
        <v>On Time</v>
      </c>
      <c r="R311" s="2">
        <f>Procurement_kpi_Analysis[[#This Row],[Unit_Price]]*Procurement_kpi_Analysis[[#This Row],[Quantity]]</f>
        <v>38860.47</v>
      </c>
      <c r="S311" s="2">
        <f>IF(Procurement_kpi_Analysis[[#This Row],[Compliance]]="Yes",1,0)</f>
        <v>1</v>
      </c>
      <c r="T311" s="2">
        <f>IF(Procurement_kpi_Analysis[[#This Row],[Compliance]]="No",1,0)</f>
        <v>0</v>
      </c>
    </row>
    <row r="312" spans="1:20" x14ac:dyDescent="0.3">
      <c r="A312" t="s">
        <v>337</v>
      </c>
      <c r="B312" t="s">
        <v>23</v>
      </c>
      <c r="C312" s="1">
        <v>45239</v>
      </c>
      <c r="D312" s="1">
        <v>45248</v>
      </c>
      <c r="E312" t="s">
        <v>24</v>
      </c>
      <c r="F312" t="s">
        <v>35</v>
      </c>
      <c r="G312">
        <v>247</v>
      </c>
      <c r="H312">
        <v>84.11</v>
      </c>
      <c r="I312">
        <v>71.97</v>
      </c>
      <c r="J312">
        <v>0</v>
      </c>
      <c r="K312" t="s">
        <v>15</v>
      </c>
      <c r="L312">
        <f>Procurement_kpi_Analysis[[#This Row],[Quantity]]*Procurement_kpi_Analysis[[#This Row],[Negotiated_Price]]</f>
        <v>17776.59</v>
      </c>
      <c r="M312">
        <f>IF(Procurement_kpi_Analysis[[#This Row],[Delivery_Date]]="","",Procurement_kpi_Analysis[[#This Row],[Delivery_Date]]-Procurement_kpi_Analysis[[#This Row],[Order_Date]])</f>
        <v>9</v>
      </c>
      <c r="N312" s="2">
        <f>Procurement_kpi_Analysis[[#This Row],[Defective_Units]]/Procurement_kpi_Analysis[[#This Row],[Quantity]]</f>
        <v>0</v>
      </c>
      <c r="O312" s="2">
        <f>(Procurement_kpi_Analysis[[#This Row],[Unit_Price]]-Procurement_kpi_Analysis[[#This Row],[Negotiated_Price]])*Procurement_kpi_Analysis[[#This Row],[Quantity]]</f>
        <v>2998.58</v>
      </c>
      <c r="P312" s="2">
        <f>Procurement_kpi_Analysis[[#This Row],[Total Savings]]/Procurement_kpi_Analysis[[#This Row],[Total Spend]]</f>
        <v>0.16868139502570514</v>
      </c>
      <c r="Q312" s="2" t="str">
        <f>IF(Procurement_kpi_Analysis[[#This Row],[Lead Time]]&lt;=14,"On Time","Late")</f>
        <v>On Time</v>
      </c>
      <c r="R312" s="2">
        <f>Procurement_kpi_Analysis[[#This Row],[Unit_Price]]*Procurement_kpi_Analysis[[#This Row],[Quantity]]</f>
        <v>20775.169999999998</v>
      </c>
      <c r="S312" s="2">
        <f>IF(Procurement_kpi_Analysis[[#This Row],[Compliance]]="Yes",1,0)</f>
        <v>1</v>
      </c>
      <c r="T312" s="2">
        <f>IF(Procurement_kpi_Analysis[[#This Row],[Compliance]]="No",1,0)</f>
        <v>0</v>
      </c>
    </row>
    <row r="313" spans="1:20" x14ac:dyDescent="0.3">
      <c r="A313" t="s">
        <v>338</v>
      </c>
      <c r="B313" t="s">
        <v>12</v>
      </c>
      <c r="C313" s="1">
        <v>45060</v>
      </c>
      <c r="D313" s="1">
        <v>45079</v>
      </c>
      <c r="E313" t="s">
        <v>21</v>
      </c>
      <c r="F313" t="s">
        <v>18</v>
      </c>
      <c r="G313">
        <v>1031</v>
      </c>
      <c r="H313">
        <v>102.01</v>
      </c>
      <c r="I313">
        <v>98.65</v>
      </c>
      <c r="J313">
        <v>0</v>
      </c>
      <c r="K313" t="s">
        <v>15</v>
      </c>
      <c r="L313">
        <f>Procurement_kpi_Analysis[[#This Row],[Quantity]]*Procurement_kpi_Analysis[[#This Row],[Negotiated_Price]]</f>
        <v>101708.15000000001</v>
      </c>
      <c r="M313">
        <f>IF(Procurement_kpi_Analysis[[#This Row],[Delivery_Date]]="","",Procurement_kpi_Analysis[[#This Row],[Delivery_Date]]-Procurement_kpi_Analysis[[#This Row],[Order_Date]])</f>
        <v>19</v>
      </c>
      <c r="N313" s="2">
        <f>Procurement_kpi_Analysis[[#This Row],[Defective_Units]]/Procurement_kpi_Analysis[[#This Row],[Quantity]]</f>
        <v>0</v>
      </c>
      <c r="O313" s="2">
        <f>(Procurement_kpi_Analysis[[#This Row],[Unit_Price]]-Procurement_kpi_Analysis[[#This Row],[Negotiated_Price]])*Procurement_kpi_Analysis[[#This Row],[Quantity]]</f>
        <v>3464.1599999999994</v>
      </c>
      <c r="P313" s="2">
        <f>Procurement_kpi_Analysis[[#This Row],[Total Savings]]/Procurement_kpi_Analysis[[#This Row],[Total Spend]]</f>
        <v>3.4059807399898626E-2</v>
      </c>
      <c r="Q313" s="2" t="str">
        <f>IF(Procurement_kpi_Analysis[[#This Row],[Lead Time]]&lt;=14,"On Time","Late")</f>
        <v>Late</v>
      </c>
      <c r="R313" s="2">
        <f>Procurement_kpi_Analysis[[#This Row],[Unit_Price]]*Procurement_kpi_Analysis[[#This Row],[Quantity]]</f>
        <v>105172.31000000001</v>
      </c>
      <c r="S313" s="2">
        <f>IF(Procurement_kpi_Analysis[[#This Row],[Compliance]]="Yes",1,0)</f>
        <v>1</v>
      </c>
      <c r="T313" s="2">
        <f>IF(Procurement_kpi_Analysis[[#This Row],[Compliance]]="No",1,0)</f>
        <v>0</v>
      </c>
    </row>
    <row r="314" spans="1:20" x14ac:dyDescent="0.3">
      <c r="A314" t="s">
        <v>339</v>
      </c>
      <c r="B314" t="s">
        <v>12</v>
      </c>
      <c r="C314" s="1">
        <v>44720</v>
      </c>
      <c r="D314" s="1">
        <v>44731</v>
      </c>
      <c r="E314" t="s">
        <v>24</v>
      </c>
      <c r="F314" t="s">
        <v>18</v>
      </c>
      <c r="G314">
        <v>1980</v>
      </c>
      <c r="H314">
        <v>26.97</v>
      </c>
      <c r="I314">
        <v>24.16</v>
      </c>
      <c r="J314">
        <v>41</v>
      </c>
      <c r="K314" t="s">
        <v>15</v>
      </c>
      <c r="L314">
        <f>Procurement_kpi_Analysis[[#This Row],[Quantity]]*Procurement_kpi_Analysis[[#This Row],[Negotiated_Price]]</f>
        <v>47836.800000000003</v>
      </c>
      <c r="M314">
        <f>IF(Procurement_kpi_Analysis[[#This Row],[Delivery_Date]]="","",Procurement_kpi_Analysis[[#This Row],[Delivery_Date]]-Procurement_kpi_Analysis[[#This Row],[Order_Date]])</f>
        <v>11</v>
      </c>
      <c r="N314" s="2">
        <f>Procurement_kpi_Analysis[[#This Row],[Defective_Units]]/Procurement_kpi_Analysis[[#This Row],[Quantity]]</f>
        <v>2.0707070707070709E-2</v>
      </c>
      <c r="O314" s="2">
        <f>(Procurement_kpi_Analysis[[#This Row],[Unit_Price]]-Procurement_kpi_Analysis[[#This Row],[Negotiated_Price]])*Procurement_kpi_Analysis[[#This Row],[Quantity]]</f>
        <v>5563.7999999999975</v>
      </c>
      <c r="P314" s="2">
        <f>Procurement_kpi_Analysis[[#This Row],[Total Savings]]/Procurement_kpi_Analysis[[#This Row],[Total Spend]]</f>
        <v>0.11630794701986749</v>
      </c>
      <c r="Q314" s="2" t="str">
        <f>IF(Procurement_kpi_Analysis[[#This Row],[Lead Time]]&lt;=14,"On Time","Late")</f>
        <v>On Time</v>
      </c>
      <c r="R314" s="2">
        <f>Procurement_kpi_Analysis[[#This Row],[Unit_Price]]*Procurement_kpi_Analysis[[#This Row],[Quantity]]</f>
        <v>53400.6</v>
      </c>
      <c r="S314" s="2">
        <f>IF(Procurement_kpi_Analysis[[#This Row],[Compliance]]="Yes",1,0)</f>
        <v>1</v>
      </c>
      <c r="T314" s="2">
        <f>IF(Procurement_kpi_Analysis[[#This Row],[Compliance]]="No",1,0)</f>
        <v>0</v>
      </c>
    </row>
    <row r="315" spans="1:20" x14ac:dyDescent="0.3">
      <c r="A315" t="s">
        <v>340</v>
      </c>
      <c r="B315" t="s">
        <v>29</v>
      </c>
      <c r="C315" s="1">
        <v>44756</v>
      </c>
      <c r="D315" s="1">
        <v>44776</v>
      </c>
      <c r="E315" t="s">
        <v>26</v>
      </c>
      <c r="F315" t="s">
        <v>18</v>
      </c>
      <c r="G315">
        <v>1584</v>
      </c>
      <c r="H315">
        <v>16.46</v>
      </c>
      <c r="I315">
        <v>14.2</v>
      </c>
      <c r="J315">
        <v>57</v>
      </c>
      <c r="K315" t="s">
        <v>15</v>
      </c>
      <c r="L315">
        <f>Procurement_kpi_Analysis[[#This Row],[Quantity]]*Procurement_kpi_Analysis[[#This Row],[Negotiated_Price]]</f>
        <v>22492.799999999999</v>
      </c>
      <c r="M315">
        <f>IF(Procurement_kpi_Analysis[[#This Row],[Delivery_Date]]="","",Procurement_kpi_Analysis[[#This Row],[Delivery_Date]]-Procurement_kpi_Analysis[[#This Row],[Order_Date]])</f>
        <v>20</v>
      </c>
      <c r="N315" s="2">
        <f>Procurement_kpi_Analysis[[#This Row],[Defective_Units]]/Procurement_kpi_Analysis[[#This Row],[Quantity]]</f>
        <v>3.5984848484848488E-2</v>
      </c>
      <c r="O315" s="2">
        <f>(Procurement_kpi_Analysis[[#This Row],[Unit_Price]]-Procurement_kpi_Analysis[[#This Row],[Negotiated_Price]])*Procurement_kpi_Analysis[[#This Row],[Quantity]]</f>
        <v>3579.8400000000024</v>
      </c>
      <c r="P315" s="2">
        <f>Procurement_kpi_Analysis[[#This Row],[Total Savings]]/Procurement_kpi_Analysis[[#This Row],[Total Spend]]</f>
        <v>0.15915492957746491</v>
      </c>
      <c r="Q315" s="2" t="str">
        <f>IF(Procurement_kpi_Analysis[[#This Row],[Lead Time]]&lt;=14,"On Time","Late")</f>
        <v>Late</v>
      </c>
      <c r="R315" s="2">
        <f>Procurement_kpi_Analysis[[#This Row],[Unit_Price]]*Procurement_kpi_Analysis[[#This Row],[Quantity]]</f>
        <v>26072.640000000003</v>
      </c>
      <c r="S315" s="2">
        <f>IF(Procurement_kpi_Analysis[[#This Row],[Compliance]]="Yes",1,0)</f>
        <v>1</v>
      </c>
      <c r="T315" s="2">
        <f>IF(Procurement_kpi_Analysis[[#This Row],[Compliance]]="No",1,0)</f>
        <v>0</v>
      </c>
    </row>
    <row r="316" spans="1:20" x14ac:dyDescent="0.3">
      <c r="A316" t="s">
        <v>341</v>
      </c>
      <c r="B316" t="s">
        <v>23</v>
      </c>
      <c r="C316" s="1">
        <v>44865</v>
      </c>
      <c r="D316" s="1">
        <v>44880</v>
      </c>
      <c r="E316" t="s">
        <v>13</v>
      </c>
      <c r="F316" t="s">
        <v>18</v>
      </c>
      <c r="G316">
        <v>801</v>
      </c>
      <c r="H316">
        <v>80.150000000000006</v>
      </c>
      <c r="I316">
        <v>70.91</v>
      </c>
      <c r="J316">
        <v>0</v>
      </c>
      <c r="K316" t="s">
        <v>15</v>
      </c>
      <c r="L316">
        <f>Procurement_kpi_Analysis[[#This Row],[Quantity]]*Procurement_kpi_Analysis[[#This Row],[Negotiated_Price]]</f>
        <v>56798.909999999996</v>
      </c>
      <c r="M316">
        <f>IF(Procurement_kpi_Analysis[[#This Row],[Delivery_Date]]="","",Procurement_kpi_Analysis[[#This Row],[Delivery_Date]]-Procurement_kpi_Analysis[[#This Row],[Order_Date]])</f>
        <v>15</v>
      </c>
      <c r="N316" s="2">
        <f>Procurement_kpi_Analysis[[#This Row],[Defective_Units]]/Procurement_kpi_Analysis[[#This Row],[Quantity]]</f>
        <v>0</v>
      </c>
      <c r="O316" s="2">
        <f>(Procurement_kpi_Analysis[[#This Row],[Unit_Price]]-Procurement_kpi_Analysis[[#This Row],[Negotiated_Price]])*Procurement_kpi_Analysis[[#This Row],[Quantity]]</f>
        <v>7401.2400000000071</v>
      </c>
      <c r="P316" s="2">
        <f>Procurement_kpi_Analysis[[#This Row],[Total Savings]]/Procurement_kpi_Analysis[[#This Row],[Total Spend]]</f>
        <v>0.13030602171767042</v>
      </c>
      <c r="Q316" s="2" t="str">
        <f>IF(Procurement_kpi_Analysis[[#This Row],[Lead Time]]&lt;=14,"On Time","Late")</f>
        <v>Late</v>
      </c>
      <c r="R316" s="2">
        <f>Procurement_kpi_Analysis[[#This Row],[Unit_Price]]*Procurement_kpi_Analysis[[#This Row],[Quantity]]</f>
        <v>64200.15</v>
      </c>
      <c r="S316" s="2">
        <f>IF(Procurement_kpi_Analysis[[#This Row],[Compliance]]="Yes",1,0)</f>
        <v>1</v>
      </c>
      <c r="T316" s="2">
        <f>IF(Procurement_kpi_Analysis[[#This Row],[Compliance]]="No",1,0)</f>
        <v>0</v>
      </c>
    </row>
    <row r="317" spans="1:20" x14ac:dyDescent="0.3">
      <c r="A317" t="s">
        <v>342</v>
      </c>
      <c r="B317" t="s">
        <v>23</v>
      </c>
      <c r="C317" s="1">
        <v>44784</v>
      </c>
      <c r="D317" s="1">
        <v>44798</v>
      </c>
      <c r="E317" t="s">
        <v>24</v>
      </c>
      <c r="F317" t="s">
        <v>18</v>
      </c>
      <c r="G317">
        <v>193</v>
      </c>
      <c r="H317">
        <v>63.86</v>
      </c>
      <c r="I317">
        <v>57.46</v>
      </c>
      <c r="J317">
        <v>0</v>
      </c>
      <c r="K317" t="s">
        <v>15</v>
      </c>
      <c r="L317">
        <f>Procurement_kpi_Analysis[[#This Row],[Quantity]]*Procurement_kpi_Analysis[[#This Row],[Negotiated_Price]]</f>
        <v>11089.78</v>
      </c>
      <c r="M317">
        <f>IF(Procurement_kpi_Analysis[[#This Row],[Delivery_Date]]="","",Procurement_kpi_Analysis[[#This Row],[Delivery_Date]]-Procurement_kpi_Analysis[[#This Row],[Order_Date]])</f>
        <v>14</v>
      </c>
      <c r="N317" s="2">
        <f>Procurement_kpi_Analysis[[#This Row],[Defective_Units]]/Procurement_kpi_Analysis[[#This Row],[Quantity]]</f>
        <v>0</v>
      </c>
      <c r="O317" s="2">
        <f>(Procurement_kpi_Analysis[[#This Row],[Unit_Price]]-Procurement_kpi_Analysis[[#This Row],[Negotiated_Price]])*Procurement_kpi_Analysis[[#This Row],[Quantity]]</f>
        <v>1235.1999999999998</v>
      </c>
      <c r="P317" s="2">
        <f>Procurement_kpi_Analysis[[#This Row],[Total Savings]]/Procurement_kpi_Analysis[[#This Row],[Total Spend]]</f>
        <v>0.11138183083884438</v>
      </c>
      <c r="Q317" s="2" t="str">
        <f>IF(Procurement_kpi_Analysis[[#This Row],[Lead Time]]&lt;=14,"On Time","Late")</f>
        <v>On Time</v>
      </c>
      <c r="R317" s="2">
        <f>Procurement_kpi_Analysis[[#This Row],[Unit_Price]]*Procurement_kpi_Analysis[[#This Row],[Quantity]]</f>
        <v>12324.98</v>
      </c>
      <c r="S317" s="2">
        <f>IF(Procurement_kpi_Analysis[[#This Row],[Compliance]]="Yes",1,0)</f>
        <v>1</v>
      </c>
      <c r="T317" s="2">
        <f>IF(Procurement_kpi_Analysis[[#This Row],[Compliance]]="No",1,0)</f>
        <v>0</v>
      </c>
    </row>
    <row r="318" spans="1:20" x14ac:dyDescent="0.3">
      <c r="A318" t="s">
        <v>343</v>
      </c>
      <c r="B318" t="s">
        <v>23</v>
      </c>
      <c r="C318" s="1">
        <v>44621</v>
      </c>
      <c r="D318" s="1">
        <v>44625</v>
      </c>
      <c r="E318" t="s">
        <v>26</v>
      </c>
      <c r="F318" t="s">
        <v>18</v>
      </c>
      <c r="G318">
        <v>658</v>
      </c>
      <c r="H318">
        <v>86.62</v>
      </c>
      <c r="I318">
        <v>79.849999999999994</v>
      </c>
      <c r="J318">
        <v>72</v>
      </c>
      <c r="K318" t="s">
        <v>15</v>
      </c>
      <c r="L318">
        <f>Procurement_kpi_Analysis[[#This Row],[Quantity]]*Procurement_kpi_Analysis[[#This Row],[Negotiated_Price]]</f>
        <v>52541.299999999996</v>
      </c>
      <c r="M318">
        <f>IF(Procurement_kpi_Analysis[[#This Row],[Delivery_Date]]="","",Procurement_kpi_Analysis[[#This Row],[Delivery_Date]]-Procurement_kpi_Analysis[[#This Row],[Order_Date]])</f>
        <v>4</v>
      </c>
      <c r="N318" s="2">
        <f>Procurement_kpi_Analysis[[#This Row],[Defective_Units]]/Procurement_kpi_Analysis[[#This Row],[Quantity]]</f>
        <v>0.10942249240121581</v>
      </c>
      <c r="O318" s="2">
        <f>(Procurement_kpi_Analysis[[#This Row],[Unit_Price]]-Procurement_kpi_Analysis[[#This Row],[Negotiated_Price]])*Procurement_kpi_Analysis[[#This Row],[Quantity]]</f>
        <v>4454.6600000000071</v>
      </c>
      <c r="P318" s="2">
        <f>Procurement_kpi_Analysis[[#This Row],[Total Savings]]/Procurement_kpi_Analysis[[#This Row],[Total Spend]]</f>
        <v>8.4783969943644483E-2</v>
      </c>
      <c r="Q318" s="2" t="str">
        <f>IF(Procurement_kpi_Analysis[[#This Row],[Lead Time]]&lt;=14,"On Time","Late")</f>
        <v>On Time</v>
      </c>
      <c r="R318" s="2">
        <f>Procurement_kpi_Analysis[[#This Row],[Unit_Price]]*Procurement_kpi_Analysis[[#This Row],[Quantity]]</f>
        <v>56995.960000000006</v>
      </c>
      <c r="S318" s="2">
        <f>IF(Procurement_kpi_Analysis[[#This Row],[Compliance]]="Yes",1,0)</f>
        <v>1</v>
      </c>
      <c r="T318" s="2">
        <f>IF(Procurement_kpi_Analysis[[#This Row],[Compliance]]="No",1,0)</f>
        <v>0</v>
      </c>
    </row>
    <row r="319" spans="1:20" x14ac:dyDescent="0.3">
      <c r="A319" t="s">
        <v>344</v>
      </c>
      <c r="B319" t="s">
        <v>29</v>
      </c>
      <c r="C319" s="1">
        <v>45155</v>
      </c>
      <c r="D319" s="1">
        <v>45173</v>
      </c>
      <c r="E319" t="s">
        <v>39</v>
      </c>
      <c r="F319" t="s">
        <v>18</v>
      </c>
      <c r="G319">
        <v>1274</v>
      </c>
      <c r="H319">
        <v>24.72</v>
      </c>
      <c r="I319">
        <v>23.36</v>
      </c>
      <c r="J319">
        <v>37</v>
      </c>
      <c r="K319" t="s">
        <v>15</v>
      </c>
      <c r="L319">
        <f>Procurement_kpi_Analysis[[#This Row],[Quantity]]*Procurement_kpi_Analysis[[#This Row],[Negotiated_Price]]</f>
        <v>29760.639999999999</v>
      </c>
      <c r="M319">
        <f>IF(Procurement_kpi_Analysis[[#This Row],[Delivery_Date]]="","",Procurement_kpi_Analysis[[#This Row],[Delivery_Date]]-Procurement_kpi_Analysis[[#This Row],[Order_Date]])</f>
        <v>18</v>
      </c>
      <c r="N319" s="2">
        <f>Procurement_kpi_Analysis[[#This Row],[Defective_Units]]/Procurement_kpi_Analysis[[#This Row],[Quantity]]</f>
        <v>2.9042386185243328E-2</v>
      </c>
      <c r="O319" s="2">
        <f>(Procurement_kpi_Analysis[[#This Row],[Unit_Price]]-Procurement_kpi_Analysis[[#This Row],[Negotiated_Price]])*Procurement_kpi_Analysis[[#This Row],[Quantity]]</f>
        <v>1732.6399999999992</v>
      </c>
      <c r="P319" s="2">
        <f>Procurement_kpi_Analysis[[#This Row],[Total Savings]]/Procurement_kpi_Analysis[[#This Row],[Total Spend]]</f>
        <v>5.8219178082191757E-2</v>
      </c>
      <c r="Q319" s="2" t="str">
        <f>IF(Procurement_kpi_Analysis[[#This Row],[Lead Time]]&lt;=14,"On Time","Late")</f>
        <v>Late</v>
      </c>
      <c r="R319" s="2">
        <f>Procurement_kpi_Analysis[[#This Row],[Unit_Price]]*Procurement_kpi_Analysis[[#This Row],[Quantity]]</f>
        <v>31493.279999999999</v>
      </c>
      <c r="S319" s="2">
        <f>IF(Procurement_kpi_Analysis[[#This Row],[Compliance]]="Yes",1,0)</f>
        <v>1</v>
      </c>
      <c r="T319" s="2">
        <f>IF(Procurement_kpi_Analysis[[#This Row],[Compliance]]="No",1,0)</f>
        <v>0</v>
      </c>
    </row>
    <row r="320" spans="1:20" x14ac:dyDescent="0.3">
      <c r="A320" t="s">
        <v>345</v>
      </c>
      <c r="B320" t="s">
        <v>29</v>
      </c>
      <c r="C320" s="1">
        <v>45117</v>
      </c>
      <c r="D320" s="1">
        <v>45124</v>
      </c>
      <c r="E320" t="s">
        <v>24</v>
      </c>
      <c r="F320" t="s">
        <v>33</v>
      </c>
      <c r="G320">
        <v>1197</v>
      </c>
      <c r="H320">
        <v>88.92</v>
      </c>
      <c r="I320">
        <v>78.819999999999993</v>
      </c>
      <c r="J320">
        <v>31</v>
      </c>
      <c r="K320" t="s">
        <v>15</v>
      </c>
      <c r="L320">
        <f>Procurement_kpi_Analysis[[#This Row],[Quantity]]*Procurement_kpi_Analysis[[#This Row],[Negotiated_Price]]</f>
        <v>94347.54</v>
      </c>
      <c r="M320">
        <f>IF(Procurement_kpi_Analysis[[#This Row],[Delivery_Date]]="","",Procurement_kpi_Analysis[[#This Row],[Delivery_Date]]-Procurement_kpi_Analysis[[#This Row],[Order_Date]])</f>
        <v>7</v>
      </c>
      <c r="N320" s="2">
        <f>Procurement_kpi_Analysis[[#This Row],[Defective_Units]]/Procurement_kpi_Analysis[[#This Row],[Quantity]]</f>
        <v>2.5898078529657476E-2</v>
      </c>
      <c r="O320" s="2">
        <f>(Procurement_kpi_Analysis[[#This Row],[Unit_Price]]-Procurement_kpi_Analysis[[#This Row],[Negotiated_Price]])*Procurement_kpi_Analysis[[#This Row],[Quantity]]</f>
        <v>12089.70000000001</v>
      </c>
      <c r="P320" s="2">
        <f>Procurement_kpi_Analysis[[#This Row],[Total Savings]]/Procurement_kpi_Analysis[[#This Row],[Total Spend]]</f>
        <v>0.12814006597310337</v>
      </c>
      <c r="Q320" s="2" t="str">
        <f>IF(Procurement_kpi_Analysis[[#This Row],[Lead Time]]&lt;=14,"On Time","Late")</f>
        <v>On Time</v>
      </c>
      <c r="R320" s="2">
        <f>Procurement_kpi_Analysis[[#This Row],[Unit_Price]]*Procurement_kpi_Analysis[[#This Row],[Quantity]]</f>
        <v>106437.24</v>
      </c>
      <c r="S320" s="2">
        <f>IF(Procurement_kpi_Analysis[[#This Row],[Compliance]]="Yes",1,0)</f>
        <v>1</v>
      </c>
      <c r="T320" s="2">
        <f>IF(Procurement_kpi_Analysis[[#This Row],[Compliance]]="No",1,0)</f>
        <v>0</v>
      </c>
    </row>
    <row r="321" spans="1:20" x14ac:dyDescent="0.3">
      <c r="A321" t="s">
        <v>346</v>
      </c>
      <c r="B321" t="s">
        <v>20</v>
      </c>
      <c r="C321" s="1">
        <v>44624</v>
      </c>
      <c r="D321" s="1">
        <v>44632</v>
      </c>
      <c r="E321" t="s">
        <v>39</v>
      </c>
      <c r="F321" t="s">
        <v>18</v>
      </c>
      <c r="G321">
        <v>236</v>
      </c>
      <c r="H321">
        <v>28.43</v>
      </c>
      <c r="I321">
        <v>28.11</v>
      </c>
      <c r="J321">
        <v>11</v>
      </c>
      <c r="K321" t="s">
        <v>15</v>
      </c>
      <c r="L321">
        <f>Procurement_kpi_Analysis[[#This Row],[Quantity]]*Procurement_kpi_Analysis[[#This Row],[Negotiated_Price]]</f>
        <v>6633.96</v>
      </c>
      <c r="M321">
        <f>IF(Procurement_kpi_Analysis[[#This Row],[Delivery_Date]]="","",Procurement_kpi_Analysis[[#This Row],[Delivery_Date]]-Procurement_kpi_Analysis[[#This Row],[Order_Date]])</f>
        <v>8</v>
      </c>
      <c r="N321" s="2">
        <f>Procurement_kpi_Analysis[[#This Row],[Defective_Units]]/Procurement_kpi_Analysis[[#This Row],[Quantity]]</f>
        <v>4.6610169491525424E-2</v>
      </c>
      <c r="O321" s="2">
        <f>(Procurement_kpi_Analysis[[#This Row],[Unit_Price]]-Procurement_kpi_Analysis[[#This Row],[Negotiated_Price]])*Procurement_kpi_Analysis[[#This Row],[Quantity]]</f>
        <v>75.520000000000067</v>
      </c>
      <c r="P321" s="2">
        <f>Procurement_kpi_Analysis[[#This Row],[Total Savings]]/Procurement_kpi_Analysis[[#This Row],[Total Spend]]</f>
        <v>1.1383849163998587E-2</v>
      </c>
      <c r="Q321" s="2" t="str">
        <f>IF(Procurement_kpi_Analysis[[#This Row],[Lead Time]]&lt;=14,"On Time","Late")</f>
        <v>On Time</v>
      </c>
      <c r="R321" s="2">
        <f>Procurement_kpi_Analysis[[#This Row],[Unit_Price]]*Procurement_kpi_Analysis[[#This Row],[Quantity]]</f>
        <v>6709.48</v>
      </c>
      <c r="S321" s="2">
        <f>IF(Procurement_kpi_Analysis[[#This Row],[Compliance]]="Yes",1,0)</f>
        <v>1</v>
      </c>
      <c r="T321" s="2">
        <f>IF(Procurement_kpi_Analysis[[#This Row],[Compliance]]="No",1,0)</f>
        <v>0</v>
      </c>
    </row>
    <row r="322" spans="1:20" x14ac:dyDescent="0.3">
      <c r="A322" t="s">
        <v>347</v>
      </c>
      <c r="B322" t="s">
        <v>20</v>
      </c>
      <c r="C322" s="1">
        <v>44883</v>
      </c>
      <c r="D322" s="1">
        <v>44898</v>
      </c>
      <c r="E322" t="s">
        <v>26</v>
      </c>
      <c r="F322" t="s">
        <v>33</v>
      </c>
      <c r="G322">
        <v>1399</v>
      </c>
      <c r="H322">
        <v>25.97</v>
      </c>
      <c r="I322">
        <v>22.19</v>
      </c>
      <c r="J322">
        <v>62</v>
      </c>
      <c r="K322" t="s">
        <v>15</v>
      </c>
      <c r="L322">
        <f>Procurement_kpi_Analysis[[#This Row],[Quantity]]*Procurement_kpi_Analysis[[#This Row],[Negotiated_Price]]</f>
        <v>31043.81</v>
      </c>
      <c r="M322">
        <f>IF(Procurement_kpi_Analysis[[#This Row],[Delivery_Date]]="","",Procurement_kpi_Analysis[[#This Row],[Delivery_Date]]-Procurement_kpi_Analysis[[#This Row],[Order_Date]])</f>
        <v>15</v>
      </c>
      <c r="N322" s="2">
        <f>Procurement_kpi_Analysis[[#This Row],[Defective_Units]]/Procurement_kpi_Analysis[[#This Row],[Quantity]]</f>
        <v>4.431736954967834E-2</v>
      </c>
      <c r="O322" s="2">
        <f>(Procurement_kpi_Analysis[[#This Row],[Unit_Price]]-Procurement_kpi_Analysis[[#This Row],[Negotiated_Price]])*Procurement_kpi_Analysis[[#This Row],[Quantity]]</f>
        <v>5288.2199999999966</v>
      </c>
      <c r="P322" s="2">
        <f>Procurement_kpi_Analysis[[#This Row],[Total Savings]]/Procurement_kpi_Analysis[[#This Row],[Total Spend]]</f>
        <v>0.17034700315457402</v>
      </c>
      <c r="Q322" s="2" t="str">
        <f>IF(Procurement_kpi_Analysis[[#This Row],[Lead Time]]&lt;=14,"On Time","Late")</f>
        <v>Late</v>
      </c>
      <c r="R322" s="2">
        <f>Procurement_kpi_Analysis[[#This Row],[Unit_Price]]*Procurement_kpi_Analysis[[#This Row],[Quantity]]</f>
        <v>36332.03</v>
      </c>
      <c r="S322" s="2">
        <f>IF(Procurement_kpi_Analysis[[#This Row],[Compliance]]="Yes",1,0)</f>
        <v>1</v>
      </c>
      <c r="T322" s="2">
        <f>IF(Procurement_kpi_Analysis[[#This Row],[Compliance]]="No",1,0)</f>
        <v>0</v>
      </c>
    </row>
    <row r="323" spans="1:20" x14ac:dyDescent="0.3">
      <c r="A323" t="s">
        <v>348</v>
      </c>
      <c r="B323" t="s">
        <v>20</v>
      </c>
      <c r="C323" s="1">
        <v>44620</v>
      </c>
      <c r="D323" s="1">
        <v>44624</v>
      </c>
      <c r="E323" t="s">
        <v>39</v>
      </c>
      <c r="F323" t="s">
        <v>18</v>
      </c>
      <c r="G323">
        <v>513</v>
      </c>
      <c r="H323">
        <v>24.91</v>
      </c>
      <c r="I323">
        <v>22.58</v>
      </c>
      <c r="J323">
        <v>29</v>
      </c>
      <c r="K323" t="s">
        <v>15</v>
      </c>
      <c r="L323">
        <f>Procurement_kpi_Analysis[[#This Row],[Quantity]]*Procurement_kpi_Analysis[[#This Row],[Negotiated_Price]]</f>
        <v>11583.539999999999</v>
      </c>
      <c r="M323">
        <f>IF(Procurement_kpi_Analysis[[#This Row],[Delivery_Date]]="","",Procurement_kpi_Analysis[[#This Row],[Delivery_Date]]-Procurement_kpi_Analysis[[#This Row],[Order_Date]])</f>
        <v>4</v>
      </c>
      <c r="N323" s="2">
        <f>Procurement_kpi_Analysis[[#This Row],[Defective_Units]]/Procurement_kpi_Analysis[[#This Row],[Quantity]]</f>
        <v>5.6530214424951264E-2</v>
      </c>
      <c r="O323" s="2">
        <f>(Procurement_kpi_Analysis[[#This Row],[Unit_Price]]-Procurement_kpi_Analysis[[#This Row],[Negotiated_Price]])*Procurement_kpi_Analysis[[#This Row],[Quantity]]</f>
        <v>1195.2900000000009</v>
      </c>
      <c r="P323" s="2">
        <f>Procurement_kpi_Analysis[[#This Row],[Total Savings]]/Procurement_kpi_Analysis[[#This Row],[Total Spend]]</f>
        <v>0.10318866253321532</v>
      </c>
      <c r="Q323" s="2" t="str">
        <f>IF(Procurement_kpi_Analysis[[#This Row],[Lead Time]]&lt;=14,"On Time","Late")</f>
        <v>On Time</v>
      </c>
      <c r="R323" s="2">
        <f>Procurement_kpi_Analysis[[#This Row],[Unit_Price]]*Procurement_kpi_Analysis[[#This Row],[Quantity]]</f>
        <v>12778.83</v>
      </c>
      <c r="S323" s="2">
        <f>IF(Procurement_kpi_Analysis[[#This Row],[Compliance]]="Yes",1,0)</f>
        <v>1</v>
      </c>
      <c r="T323" s="2">
        <f>IF(Procurement_kpi_Analysis[[#This Row],[Compliance]]="No",1,0)</f>
        <v>0</v>
      </c>
    </row>
    <row r="324" spans="1:20" x14ac:dyDescent="0.3">
      <c r="A324" t="s">
        <v>349</v>
      </c>
      <c r="B324" t="s">
        <v>17</v>
      </c>
      <c r="C324" s="1">
        <v>44613</v>
      </c>
      <c r="D324" s="1">
        <v>44624</v>
      </c>
      <c r="E324" t="s">
        <v>21</v>
      </c>
      <c r="F324" t="s">
        <v>18</v>
      </c>
      <c r="G324">
        <v>1422</v>
      </c>
      <c r="H324">
        <v>83.73</v>
      </c>
      <c r="I324">
        <v>76.47</v>
      </c>
      <c r="J324">
        <v>198</v>
      </c>
      <c r="K324" t="s">
        <v>15</v>
      </c>
      <c r="L324">
        <f>Procurement_kpi_Analysis[[#This Row],[Quantity]]*Procurement_kpi_Analysis[[#This Row],[Negotiated_Price]]</f>
        <v>108740.34</v>
      </c>
      <c r="M324">
        <f>IF(Procurement_kpi_Analysis[[#This Row],[Delivery_Date]]="","",Procurement_kpi_Analysis[[#This Row],[Delivery_Date]]-Procurement_kpi_Analysis[[#This Row],[Order_Date]])</f>
        <v>11</v>
      </c>
      <c r="N324" s="2">
        <f>Procurement_kpi_Analysis[[#This Row],[Defective_Units]]/Procurement_kpi_Analysis[[#This Row],[Quantity]]</f>
        <v>0.13924050632911392</v>
      </c>
      <c r="O324" s="2">
        <f>(Procurement_kpi_Analysis[[#This Row],[Unit_Price]]-Procurement_kpi_Analysis[[#This Row],[Negotiated_Price]])*Procurement_kpi_Analysis[[#This Row],[Quantity]]</f>
        <v>10323.720000000007</v>
      </c>
      <c r="P324" s="2">
        <f>Procurement_kpi_Analysis[[#This Row],[Total Savings]]/Procurement_kpi_Analysis[[#This Row],[Total Spend]]</f>
        <v>9.4939191839937292E-2</v>
      </c>
      <c r="Q324" s="2" t="str">
        <f>IF(Procurement_kpi_Analysis[[#This Row],[Lead Time]]&lt;=14,"On Time","Late")</f>
        <v>On Time</v>
      </c>
      <c r="R324" s="2">
        <f>Procurement_kpi_Analysis[[#This Row],[Unit_Price]]*Procurement_kpi_Analysis[[#This Row],[Quantity]]</f>
        <v>119064.06000000001</v>
      </c>
      <c r="S324" s="2">
        <f>IF(Procurement_kpi_Analysis[[#This Row],[Compliance]]="Yes",1,0)</f>
        <v>1</v>
      </c>
      <c r="T324" s="2">
        <f>IF(Procurement_kpi_Analysis[[#This Row],[Compliance]]="No",1,0)</f>
        <v>0</v>
      </c>
    </row>
    <row r="325" spans="1:20" x14ac:dyDescent="0.3">
      <c r="A325" t="s">
        <v>350</v>
      </c>
      <c r="B325" t="s">
        <v>12</v>
      </c>
      <c r="C325" s="1">
        <v>45160</v>
      </c>
      <c r="D325" s="1">
        <v>45172</v>
      </c>
      <c r="E325" t="s">
        <v>13</v>
      </c>
      <c r="F325" t="s">
        <v>18</v>
      </c>
      <c r="G325">
        <v>1844</v>
      </c>
      <c r="H325">
        <v>76.510000000000005</v>
      </c>
      <c r="I325">
        <v>73.05</v>
      </c>
      <c r="J325">
        <v>0</v>
      </c>
      <c r="K325" t="s">
        <v>15</v>
      </c>
      <c r="L325">
        <f>Procurement_kpi_Analysis[[#This Row],[Quantity]]*Procurement_kpi_Analysis[[#This Row],[Negotiated_Price]]</f>
        <v>134704.19999999998</v>
      </c>
      <c r="M325">
        <f>IF(Procurement_kpi_Analysis[[#This Row],[Delivery_Date]]="","",Procurement_kpi_Analysis[[#This Row],[Delivery_Date]]-Procurement_kpi_Analysis[[#This Row],[Order_Date]])</f>
        <v>12</v>
      </c>
      <c r="N325" s="2">
        <f>Procurement_kpi_Analysis[[#This Row],[Defective_Units]]/Procurement_kpi_Analysis[[#This Row],[Quantity]]</f>
        <v>0</v>
      </c>
      <c r="O325" s="2">
        <f>(Procurement_kpi_Analysis[[#This Row],[Unit_Price]]-Procurement_kpi_Analysis[[#This Row],[Negotiated_Price]])*Procurement_kpi_Analysis[[#This Row],[Quantity]]</f>
        <v>6380.2400000000143</v>
      </c>
      <c r="P325" s="2">
        <f>Procurement_kpi_Analysis[[#This Row],[Total Savings]]/Procurement_kpi_Analysis[[#This Row],[Total Spend]]</f>
        <v>4.7364818617385465E-2</v>
      </c>
      <c r="Q325" s="2" t="str">
        <f>IF(Procurement_kpi_Analysis[[#This Row],[Lead Time]]&lt;=14,"On Time","Late")</f>
        <v>On Time</v>
      </c>
      <c r="R325" s="2">
        <f>Procurement_kpi_Analysis[[#This Row],[Unit_Price]]*Procurement_kpi_Analysis[[#This Row],[Quantity]]</f>
        <v>141084.44</v>
      </c>
      <c r="S325" s="2">
        <f>IF(Procurement_kpi_Analysis[[#This Row],[Compliance]]="Yes",1,0)</f>
        <v>1</v>
      </c>
      <c r="T325" s="2">
        <f>IF(Procurement_kpi_Analysis[[#This Row],[Compliance]]="No",1,0)</f>
        <v>0</v>
      </c>
    </row>
    <row r="326" spans="1:20" x14ac:dyDescent="0.3">
      <c r="A326" t="s">
        <v>351</v>
      </c>
      <c r="B326" t="s">
        <v>20</v>
      </c>
      <c r="C326" s="1">
        <v>45050</v>
      </c>
      <c r="D326" s="1"/>
      <c r="E326" t="s">
        <v>39</v>
      </c>
      <c r="F326" t="s">
        <v>18</v>
      </c>
      <c r="G326">
        <v>709</v>
      </c>
      <c r="H326">
        <v>61.64</v>
      </c>
      <c r="I326">
        <v>54.55</v>
      </c>
      <c r="J326">
        <v>41</v>
      </c>
      <c r="K326" t="s">
        <v>15</v>
      </c>
      <c r="L326">
        <f>Procurement_kpi_Analysis[[#This Row],[Quantity]]*Procurement_kpi_Analysis[[#This Row],[Negotiated_Price]]</f>
        <v>38675.949999999997</v>
      </c>
      <c r="M326" t="str">
        <f>IF(Procurement_kpi_Analysis[[#This Row],[Delivery_Date]]="","",Procurement_kpi_Analysis[[#This Row],[Delivery_Date]]-Procurement_kpi_Analysis[[#This Row],[Order_Date]])</f>
        <v/>
      </c>
      <c r="N326" s="2">
        <f>Procurement_kpi_Analysis[[#This Row],[Defective_Units]]/Procurement_kpi_Analysis[[#This Row],[Quantity]]</f>
        <v>5.7827926657263752E-2</v>
      </c>
      <c r="O326" s="2">
        <f>(Procurement_kpi_Analysis[[#This Row],[Unit_Price]]-Procurement_kpi_Analysis[[#This Row],[Negotiated_Price]])*Procurement_kpi_Analysis[[#This Row],[Quantity]]</f>
        <v>5026.8100000000022</v>
      </c>
      <c r="P326" s="2">
        <f>Procurement_kpi_Analysis[[#This Row],[Total Savings]]/Procurement_kpi_Analysis[[#This Row],[Total Spend]]</f>
        <v>0.12997250229147578</v>
      </c>
      <c r="Q326" s="2" t="str">
        <f>IF(Procurement_kpi_Analysis[[#This Row],[Lead Time]]&lt;=14,"On Time","Late")</f>
        <v>Late</v>
      </c>
      <c r="R326" s="2">
        <f>Procurement_kpi_Analysis[[#This Row],[Unit_Price]]*Procurement_kpi_Analysis[[#This Row],[Quantity]]</f>
        <v>43702.76</v>
      </c>
      <c r="S326" s="2">
        <f>IF(Procurement_kpi_Analysis[[#This Row],[Compliance]]="Yes",1,0)</f>
        <v>1</v>
      </c>
      <c r="T326" s="2">
        <f>IF(Procurement_kpi_Analysis[[#This Row],[Compliance]]="No",1,0)</f>
        <v>0</v>
      </c>
    </row>
    <row r="327" spans="1:20" x14ac:dyDescent="0.3">
      <c r="A327" t="s">
        <v>352</v>
      </c>
      <c r="B327" t="s">
        <v>17</v>
      </c>
      <c r="C327" s="1">
        <v>45076</v>
      </c>
      <c r="D327" s="1">
        <v>45092</v>
      </c>
      <c r="E327" t="s">
        <v>21</v>
      </c>
      <c r="F327" t="s">
        <v>18</v>
      </c>
      <c r="G327">
        <v>813</v>
      </c>
      <c r="H327">
        <v>45.68</v>
      </c>
      <c r="I327">
        <v>41.78</v>
      </c>
      <c r="J327">
        <v>0</v>
      </c>
      <c r="K327" t="s">
        <v>27</v>
      </c>
      <c r="L327">
        <f>Procurement_kpi_Analysis[[#This Row],[Quantity]]*Procurement_kpi_Analysis[[#This Row],[Negotiated_Price]]</f>
        <v>33967.14</v>
      </c>
      <c r="M327">
        <f>IF(Procurement_kpi_Analysis[[#This Row],[Delivery_Date]]="","",Procurement_kpi_Analysis[[#This Row],[Delivery_Date]]-Procurement_kpi_Analysis[[#This Row],[Order_Date]])</f>
        <v>16</v>
      </c>
      <c r="N327" s="2">
        <f>Procurement_kpi_Analysis[[#This Row],[Defective_Units]]/Procurement_kpi_Analysis[[#This Row],[Quantity]]</f>
        <v>0</v>
      </c>
      <c r="O327" s="2">
        <f>(Procurement_kpi_Analysis[[#This Row],[Unit_Price]]-Procurement_kpi_Analysis[[#This Row],[Negotiated_Price]])*Procurement_kpi_Analysis[[#This Row],[Quantity]]</f>
        <v>3170.6999999999989</v>
      </c>
      <c r="P327" s="2">
        <f>Procurement_kpi_Analysis[[#This Row],[Total Savings]]/Procurement_kpi_Analysis[[#This Row],[Total Spend]]</f>
        <v>9.3346098611775938E-2</v>
      </c>
      <c r="Q327" s="2" t="str">
        <f>IF(Procurement_kpi_Analysis[[#This Row],[Lead Time]]&lt;=14,"On Time","Late")</f>
        <v>Late</v>
      </c>
      <c r="R327" s="2">
        <f>Procurement_kpi_Analysis[[#This Row],[Unit_Price]]*Procurement_kpi_Analysis[[#This Row],[Quantity]]</f>
        <v>37137.839999999997</v>
      </c>
      <c r="S327" s="2">
        <f>IF(Procurement_kpi_Analysis[[#This Row],[Compliance]]="Yes",1,0)</f>
        <v>0</v>
      </c>
      <c r="T327" s="2">
        <f>IF(Procurement_kpi_Analysis[[#This Row],[Compliance]]="No",1,0)</f>
        <v>1</v>
      </c>
    </row>
    <row r="328" spans="1:20" x14ac:dyDescent="0.3">
      <c r="A328" t="s">
        <v>353</v>
      </c>
      <c r="B328" t="s">
        <v>17</v>
      </c>
      <c r="C328" s="1">
        <v>45105</v>
      </c>
      <c r="D328" s="1">
        <v>45108</v>
      </c>
      <c r="E328" t="s">
        <v>13</v>
      </c>
      <c r="F328" t="s">
        <v>18</v>
      </c>
      <c r="G328">
        <v>1004</v>
      </c>
      <c r="H328">
        <v>96.51</v>
      </c>
      <c r="I328">
        <v>92.9</v>
      </c>
      <c r="J328">
        <v>146</v>
      </c>
      <c r="K328" t="s">
        <v>27</v>
      </c>
      <c r="L328">
        <f>Procurement_kpi_Analysis[[#This Row],[Quantity]]*Procurement_kpi_Analysis[[#This Row],[Negotiated_Price]]</f>
        <v>93271.6</v>
      </c>
      <c r="M328">
        <f>IF(Procurement_kpi_Analysis[[#This Row],[Delivery_Date]]="","",Procurement_kpi_Analysis[[#This Row],[Delivery_Date]]-Procurement_kpi_Analysis[[#This Row],[Order_Date]])</f>
        <v>3</v>
      </c>
      <c r="N328" s="2">
        <f>Procurement_kpi_Analysis[[#This Row],[Defective_Units]]/Procurement_kpi_Analysis[[#This Row],[Quantity]]</f>
        <v>0.1454183266932271</v>
      </c>
      <c r="O328" s="2">
        <f>(Procurement_kpi_Analysis[[#This Row],[Unit_Price]]-Procurement_kpi_Analysis[[#This Row],[Negotiated_Price]])*Procurement_kpi_Analysis[[#This Row],[Quantity]]</f>
        <v>3624.4399999999996</v>
      </c>
      <c r="P328" s="2">
        <f>Procurement_kpi_Analysis[[#This Row],[Total Savings]]/Procurement_kpi_Analysis[[#This Row],[Total Spend]]</f>
        <v>3.8858988159311082E-2</v>
      </c>
      <c r="Q328" s="2" t="str">
        <f>IF(Procurement_kpi_Analysis[[#This Row],[Lead Time]]&lt;=14,"On Time","Late")</f>
        <v>On Time</v>
      </c>
      <c r="R328" s="2">
        <f>Procurement_kpi_Analysis[[#This Row],[Unit_Price]]*Procurement_kpi_Analysis[[#This Row],[Quantity]]</f>
        <v>96896.040000000008</v>
      </c>
      <c r="S328" s="2">
        <f>IF(Procurement_kpi_Analysis[[#This Row],[Compliance]]="Yes",1,0)</f>
        <v>0</v>
      </c>
      <c r="T328" s="2">
        <f>IF(Procurement_kpi_Analysis[[#This Row],[Compliance]]="No",1,0)</f>
        <v>1</v>
      </c>
    </row>
    <row r="329" spans="1:20" x14ac:dyDescent="0.3">
      <c r="A329" t="s">
        <v>354</v>
      </c>
      <c r="B329" t="s">
        <v>29</v>
      </c>
      <c r="C329" s="1">
        <v>44723</v>
      </c>
      <c r="D329" s="1">
        <v>44727</v>
      </c>
      <c r="E329" t="s">
        <v>26</v>
      </c>
      <c r="F329" t="s">
        <v>18</v>
      </c>
      <c r="G329">
        <v>452</v>
      </c>
      <c r="H329">
        <v>46.45</v>
      </c>
      <c r="I329">
        <v>40.39</v>
      </c>
      <c r="J329">
        <v>9</v>
      </c>
      <c r="K329" t="s">
        <v>15</v>
      </c>
      <c r="L329">
        <f>Procurement_kpi_Analysis[[#This Row],[Quantity]]*Procurement_kpi_Analysis[[#This Row],[Negotiated_Price]]</f>
        <v>18256.28</v>
      </c>
      <c r="M329">
        <f>IF(Procurement_kpi_Analysis[[#This Row],[Delivery_Date]]="","",Procurement_kpi_Analysis[[#This Row],[Delivery_Date]]-Procurement_kpi_Analysis[[#This Row],[Order_Date]])</f>
        <v>4</v>
      </c>
      <c r="N329" s="2">
        <f>Procurement_kpi_Analysis[[#This Row],[Defective_Units]]/Procurement_kpi_Analysis[[#This Row],[Quantity]]</f>
        <v>1.9911504424778761E-2</v>
      </c>
      <c r="O329" s="2">
        <f>(Procurement_kpi_Analysis[[#This Row],[Unit_Price]]-Procurement_kpi_Analysis[[#This Row],[Negotiated_Price]])*Procurement_kpi_Analysis[[#This Row],[Quantity]]</f>
        <v>2739.1200000000008</v>
      </c>
      <c r="P329" s="2">
        <f>Procurement_kpi_Analysis[[#This Row],[Total Savings]]/Procurement_kpi_Analysis[[#This Row],[Total Spend]]</f>
        <v>0.1500371379054222</v>
      </c>
      <c r="Q329" s="2" t="str">
        <f>IF(Procurement_kpi_Analysis[[#This Row],[Lead Time]]&lt;=14,"On Time","Late")</f>
        <v>On Time</v>
      </c>
      <c r="R329" s="2">
        <f>Procurement_kpi_Analysis[[#This Row],[Unit_Price]]*Procurement_kpi_Analysis[[#This Row],[Quantity]]</f>
        <v>20995.4</v>
      </c>
      <c r="S329" s="2">
        <f>IF(Procurement_kpi_Analysis[[#This Row],[Compliance]]="Yes",1,0)</f>
        <v>1</v>
      </c>
      <c r="T329" s="2">
        <f>IF(Procurement_kpi_Analysis[[#This Row],[Compliance]]="No",1,0)</f>
        <v>0</v>
      </c>
    </row>
    <row r="330" spans="1:20" x14ac:dyDescent="0.3">
      <c r="A330" t="s">
        <v>355</v>
      </c>
      <c r="B330" t="s">
        <v>23</v>
      </c>
      <c r="C330" s="1">
        <v>44620</v>
      </c>
      <c r="D330" s="1">
        <v>44632</v>
      </c>
      <c r="E330" t="s">
        <v>26</v>
      </c>
      <c r="F330" t="s">
        <v>35</v>
      </c>
      <c r="G330">
        <v>1419</v>
      </c>
      <c r="H330">
        <v>83.91</v>
      </c>
      <c r="I330">
        <v>71.459999999999994</v>
      </c>
      <c r="J330">
        <v>137</v>
      </c>
      <c r="K330" t="s">
        <v>15</v>
      </c>
      <c r="L330">
        <f>Procurement_kpi_Analysis[[#This Row],[Quantity]]*Procurement_kpi_Analysis[[#This Row],[Negotiated_Price]]</f>
        <v>101401.73999999999</v>
      </c>
      <c r="M330">
        <f>IF(Procurement_kpi_Analysis[[#This Row],[Delivery_Date]]="","",Procurement_kpi_Analysis[[#This Row],[Delivery_Date]]-Procurement_kpi_Analysis[[#This Row],[Order_Date]])</f>
        <v>12</v>
      </c>
      <c r="N330" s="2">
        <f>Procurement_kpi_Analysis[[#This Row],[Defective_Units]]/Procurement_kpi_Analysis[[#This Row],[Quantity]]</f>
        <v>9.654686398872446E-2</v>
      </c>
      <c r="O330" s="2">
        <f>(Procurement_kpi_Analysis[[#This Row],[Unit_Price]]-Procurement_kpi_Analysis[[#This Row],[Negotiated_Price]])*Procurement_kpi_Analysis[[#This Row],[Quantity]]</f>
        <v>17666.550000000003</v>
      </c>
      <c r="P330" s="2">
        <f>Procurement_kpi_Analysis[[#This Row],[Total Savings]]/Procurement_kpi_Analysis[[#This Row],[Total Spend]]</f>
        <v>0.17422334172963899</v>
      </c>
      <c r="Q330" s="2" t="str">
        <f>IF(Procurement_kpi_Analysis[[#This Row],[Lead Time]]&lt;=14,"On Time","Late")</f>
        <v>On Time</v>
      </c>
      <c r="R330" s="2">
        <f>Procurement_kpi_Analysis[[#This Row],[Unit_Price]]*Procurement_kpi_Analysis[[#This Row],[Quantity]]</f>
        <v>119068.29</v>
      </c>
      <c r="S330" s="2">
        <f>IF(Procurement_kpi_Analysis[[#This Row],[Compliance]]="Yes",1,0)</f>
        <v>1</v>
      </c>
      <c r="T330" s="2">
        <f>IF(Procurement_kpi_Analysis[[#This Row],[Compliance]]="No",1,0)</f>
        <v>0</v>
      </c>
    </row>
    <row r="331" spans="1:20" x14ac:dyDescent="0.3">
      <c r="A331" t="s">
        <v>356</v>
      </c>
      <c r="B331" t="s">
        <v>23</v>
      </c>
      <c r="C331" s="1">
        <v>45082</v>
      </c>
      <c r="D331" s="1">
        <v>45100</v>
      </c>
      <c r="E331" t="s">
        <v>24</v>
      </c>
      <c r="F331" t="s">
        <v>18</v>
      </c>
      <c r="G331">
        <v>1584</v>
      </c>
      <c r="H331">
        <v>53.73</v>
      </c>
      <c r="I331">
        <v>51.92</v>
      </c>
      <c r="J331">
        <v>167</v>
      </c>
      <c r="K331" t="s">
        <v>27</v>
      </c>
      <c r="L331">
        <f>Procurement_kpi_Analysis[[#This Row],[Quantity]]*Procurement_kpi_Analysis[[#This Row],[Negotiated_Price]]</f>
        <v>82241.279999999999</v>
      </c>
      <c r="M331">
        <f>IF(Procurement_kpi_Analysis[[#This Row],[Delivery_Date]]="","",Procurement_kpi_Analysis[[#This Row],[Delivery_Date]]-Procurement_kpi_Analysis[[#This Row],[Order_Date]])</f>
        <v>18</v>
      </c>
      <c r="N331" s="2">
        <f>Procurement_kpi_Analysis[[#This Row],[Defective_Units]]/Procurement_kpi_Analysis[[#This Row],[Quantity]]</f>
        <v>0.10542929292929293</v>
      </c>
      <c r="O331" s="2">
        <f>(Procurement_kpi_Analysis[[#This Row],[Unit_Price]]-Procurement_kpi_Analysis[[#This Row],[Negotiated_Price]])*Procurement_kpi_Analysis[[#This Row],[Quantity]]</f>
        <v>2867.0399999999922</v>
      </c>
      <c r="P331" s="2">
        <f>Procurement_kpi_Analysis[[#This Row],[Total Savings]]/Procurement_kpi_Analysis[[#This Row],[Total Spend]]</f>
        <v>3.4861325115562308E-2</v>
      </c>
      <c r="Q331" s="2" t="str">
        <f>IF(Procurement_kpi_Analysis[[#This Row],[Lead Time]]&lt;=14,"On Time","Late")</f>
        <v>Late</v>
      </c>
      <c r="R331" s="2">
        <f>Procurement_kpi_Analysis[[#This Row],[Unit_Price]]*Procurement_kpi_Analysis[[#This Row],[Quantity]]</f>
        <v>85108.319999999992</v>
      </c>
      <c r="S331" s="2">
        <f>IF(Procurement_kpi_Analysis[[#This Row],[Compliance]]="Yes",1,0)</f>
        <v>0</v>
      </c>
      <c r="T331" s="2">
        <f>IF(Procurement_kpi_Analysis[[#This Row],[Compliance]]="No",1,0)</f>
        <v>1</v>
      </c>
    </row>
    <row r="332" spans="1:20" x14ac:dyDescent="0.3">
      <c r="A332" t="s">
        <v>357</v>
      </c>
      <c r="B332" t="s">
        <v>20</v>
      </c>
      <c r="C332" s="1">
        <v>44644</v>
      </c>
      <c r="D332" s="1">
        <v>44662</v>
      </c>
      <c r="E332" t="s">
        <v>21</v>
      </c>
      <c r="F332" t="s">
        <v>35</v>
      </c>
      <c r="G332">
        <v>196</v>
      </c>
      <c r="H332">
        <v>44.36</v>
      </c>
      <c r="I332">
        <v>43.81</v>
      </c>
      <c r="J332">
        <v>6</v>
      </c>
      <c r="K332" t="s">
        <v>15</v>
      </c>
      <c r="L332">
        <f>Procurement_kpi_Analysis[[#This Row],[Quantity]]*Procurement_kpi_Analysis[[#This Row],[Negotiated_Price]]</f>
        <v>8586.76</v>
      </c>
      <c r="M332">
        <f>IF(Procurement_kpi_Analysis[[#This Row],[Delivery_Date]]="","",Procurement_kpi_Analysis[[#This Row],[Delivery_Date]]-Procurement_kpi_Analysis[[#This Row],[Order_Date]])</f>
        <v>18</v>
      </c>
      <c r="N332" s="2">
        <f>Procurement_kpi_Analysis[[#This Row],[Defective_Units]]/Procurement_kpi_Analysis[[#This Row],[Quantity]]</f>
        <v>3.0612244897959183E-2</v>
      </c>
      <c r="O332" s="2">
        <f>(Procurement_kpi_Analysis[[#This Row],[Unit_Price]]-Procurement_kpi_Analysis[[#This Row],[Negotiated_Price]])*Procurement_kpi_Analysis[[#This Row],[Quantity]]</f>
        <v>107.79999999999944</v>
      </c>
      <c r="P332" s="2">
        <f>Procurement_kpi_Analysis[[#This Row],[Total Savings]]/Procurement_kpi_Analysis[[#This Row],[Total Spend]]</f>
        <v>1.2554211367267682E-2</v>
      </c>
      <c r="Q332" s="2" t="str">
        <f>IF(Procurement_kpi_Analysis[[#This Row],[Lead Time]]&lt;=14,"On Time","Late")</f>
        <v>Late</v>
      </c>
      <c r="R332" s="2">
        <f>Procurement_kpi_Analysis[[#This Row],[Unit_Price]]*Procurement_kpi_Analysis[[#This Row],[Quantity]]</f>
        <v>8694.56</v>
      </c>
      <c r="S332" s="2">
        <f>IF(Procurement_kpi_Analysis[[#This Row],[Compliance]]="Yes",1,0)</f>
        <v>1</v>
      </c>
      <c r="T332" s="2">
        <f>IF(Procurement_kpi_Analysis[[#This Row],[Compliance]]="No",1,0)</f>
        <v>0</v>
      </c>
    </row>
    <row r="333" spans="1:20" x14ac:dyDescent="0.3">
      <c r="A333" t="s">
        <v>358</v>
      </c>
      <c r="B333" t="s">
        <v>12</v>
      </c>
      <c r="C333" s="1">
        <v>44752</v>
      </c>
      <c r="D333" s="1">
        <v>44756</v>
      </c>
      <c r="E333" t="s">
        <v>13</v>
      </c>
      <c r="F333" t="s">
        <v>18</v>
      </c>
      <c r="G333">
        <v>1221</v>
      </c>
      <c r="H333">
        <v>53.19</v>
      </c>
      <c r="I333">
        <v>46.18</v>
      </c>
      <c r="J333">
        <v>29</v>
      </c>
      <c r="K333" t="s">
        <v>15</v>
      </c>
      <c r="L333">
        <f>Procurement_kpi_Analysis[[#This Row],[Quantity]]*Procurement_kpi_Analysis[[#This Row],[Negotiated_Price]]</f>
        <v>56385.78</v>
      </c>
      <c r="M333">
        <f>IF(Procurement_kpi_Analysis[[#This Row],[Delivery_Date]]="","",Procurement_kpi_Analysis[[#This Row],[Delivery_Date]]-Procurement_kpi_Analysis[[#This Row],[Order_Date]])</f>
        <v>4</v>
      </c>
      <c r="N333" s="2">
        <f>Procurement_kpi_Analysis[[#This Row],[Defective_Units]]/Procurement_kpi_Analysis[[#This Row],[Quantity]]</f>
        <v>2.375102375102375E-2</v>
      </c>
      <c r="O333" s="2">
        <f>(Procurement_kpi_Analysis[[#This Row],[Unit_Price]]-Procurement_kpi_Analysis[[#This Row],[Negotiated_Price]])*Procurement_kpi_Analysis[[#This Row],[Quantity]]</f>
        <v>8559.2099999999973</v>
      </c>
      <c r="P333" s="2">
        <f>Procurement_kpi_Analysis[[#This Row],[Total Savings]]/Procurement_kpi_Analysis[[#This Row],[Total Spend]]</f>
        <v>0.15179731485491552</v>
      </c>
      <c r="Q333" s="2" t="str">
        <f>IF(Procurement_kpi_Analysis[[#This Row],[Lead Time]]&lt;=14,"On Time","Late")</f>
        <v>On Time</v>
      </c>
      <c r="R333" s="2">
        <f>Procurement_kpi_Analysis[[#This Row],[Unit_Price]]*Procurement_kpi_Analysis[[#This Row],[Quantity]]</f>
        <v>64944.99</v>
      </c>
      <c r="S333" s="2">
        <f>IF(Procurement_kpi_Analysis[[#This Row],[Compliance]]="Yes",1,0)</f>
        <v>1</v>
      </c>
      <c r="T333" s="2">
        <f>IF(Procurement_kpi_Analysis[[#This Row],[Compliance]]="No",1,0)</f>
        <v>0</v>
      </c>
    </row>
    <row r="334" spans="1:20" x14ac:dyDescent="0.3">
      <c r="A334" t="s">
        <v>359</v>
      </c>
      <c r="B334" t="s">
        <v>12</v>
      </c>
      <c r="C334" s="1">
        <v>44632</v>
      </c>
      <c r="D334" s="1">
        <v>44646</v>
      </c>
      <c r="E334" t="s">
        <v>24</v>
      </c>
      <c r="F334" t="s">
        <v>18</v>
      </c>
      <c r="G334">
        <v>913</v>
      </c>
      <c r="H334">
        <v>37.5</v>
      </c>
      <c r="I334">
        <v>36.200000000000003</v>
      </c>
      <c r="J334">
        <v>0</v>
      </c>
      <c r="K334" t="s">
        <v>15</v>
      </c>
      <c r="L334">
        <f>Procurement_kpi_Analysis[[#This Row],[Quantity]]*Procurement_kpi_Analysis[[#This Row],[Negotiated_Price]]</f>
        <v>33050.600000000006</v>
      </c>
      <c r="M334">
        <f>IF(Procurement_kpi_Analysis[[#This Row],[Delivery_Date]]="","",Procurement_kpi_Analysis[[#This Row],[Delivery_Date]]-Procurement_kpi_Analysis[[#This Row],[Order_Date]])</f>
        <v>14</v>
      </c>
      <c r="N334" s="2">
        <f>Procurement_kpi_Analysis[[#This Row],[Defective_Units]]/Procurement_kpi_Analysis[[#This Row],[Quantity]]</f>
        <v>0</v>
      </c>
      <c r="O334" s="2">
        <f>(Procurement_kpi_Analysis[[#This Row],[Unit_Price]]-Procurement_kpi_Analysis[[#This Row],[Negotiated_Price]])*Procurement_kpi_Analysis[[#This Row],[Quantity]]</f>
        <v>1186.8999999999974</v>
      </c>
      <c r="P334" s="2">
        <f>Procurement_kpi_Analysis[[#This Row],[Total Savings]]/Procurement_kpi_Analysis[[#This Row],[Total Spend]]</f>
        <v>3.5911602209944667E-2</v>
      </c>
      <c r="Q334" s="2" t="str">
        <f>IF(Procurement_kpi_Analysis[[#This Row],[Lead Time]]&lt;=14,"On Time","Late")</f>
        <v>On Time</v>
      </c>
      <c r="R334" s="2">
        <f>Procurement_kpi_Analysis[[#This Row],[Unit_Price]]*Procurement_kpi_Analysis[[#This Row],[Quantity]]</f>
        <v>34237.5</v>
      </c>
      <c r="S334" s="2">
        <f>IF(Procurement_kpi_Analysis[[#This Row],[Compliance]]="Yes",1,0)</f>
        <v>1</v>
      </c>
      <c r="T334" s="2">
        <f>IF(Procurement_kpi_Analysis[[#This Row],[Compliance]]="No",1,0)</f>
        <v>0</v>
      </c>
    </row>
    <row r="335" spans="1:20" x14ac:dyDescent="0.3">
      <c r="A335" t="s">
        <v>360</v>
      </c>
      <c r="B335" t="s">
        <v>12</v>
      </c>
      <c r="C335" s="1">
        <v>45171</v>
      </c>
      <c r="D335" s="1">
        <v>45173</v>
      </c>
      <c r="E335" t="s">
        <v>24</v>
      </c>
      <c r="F335" t="s">
        <v>18</v>
      </c>
      <c r="G335">
        <v>1784</v>
      </c>
      <c r="H335">
        <v>85.01</v>
      </c>
      <c r="I335">
        <v>76.69</v>
      </c>
      <c r="J335">
        <v>37</v>
      </c>
      <c r="K335" t="s">
        <v>15</v>
      </c>
      <c r="L335">
        <f>Procurement_kpi_Analysis[[#This Row],[Quantity]]*Procurement_kpi_Analysis[[#This Row],[Negotiated_Price]]</f>
        <v>136814.96</v>
      </c>
      <c r="M335">
        <f>IF(Procurement_kpi_Analysis[[#This Row],[Delivery_Date]]="","",Procurement_kpi_Analysis[[#This Row],[Delivery_Date]]-Procurement_kpi_Analysis[[#This Row],[Order_Date]])</f>
        <v>2</v>
      </c>
      <c r="N335" s="2">
        <f>Procurement_kpi_Analysis[[#This Row],[Defective_Units]]/Procurement_kpi_Analysis[[#This Row],[Quantity]]</f>
        <v>2.0739910313901346E-2</v>
      </c>
      <c r="O335" s="2">
        <f>(Procurement_kpi_Analysis[[#This Row],[Unit_Price]]-Procurement_kpi_Analysis[[#This Row],[Negotiated_Price]])*Procurement_kpi_Analysis[[#This Row],[Quantity]]</f>
        <v>14842.880000000014</v>
      </c>
      <c r="P335" s="2">
        <f>Procurement_kpi_Analysis[[#This Row],[Total Savings]]/Procurement_kpi_Analysis[[#This Row],[Total Spend]]</f>
        <v>0.10848872082409712</v>
      </c>
      <c r="Q335" s="2" t="str">
        <f>IF(Procurement_kpi_Analysis[[#This Row],[Lead Time]]&lt;=14,"On Time","Late")</f>
        <v>On Time</v>
      </c>
      <c r="R335" s="2">
        <f>Procurement_kpi_Analysis[[#This Row],[Unit_Price]]*Procurement_kpi_Analysis[[#This Row],[Quantity]]</f>
        <v>151657.84</v>
      </c>
      <c r="S335" s="2">
        <f>IF(Procurement_kpi_Analysis[[#This Row],[Compliance]]="Yes",1,0)</f>
        <v>1</v>
      </c>
      <c r="T335" s="2">
        <f>IF(Procurement_kpi_Analysis[[#This Row],[Compliance]]="No",1,0)</f>
        <v>0</v>
      </c>
    </row>
    <row r="336" spans="1:20" x14ac:dyDescent="0.3">
      <c r="A336" t="s">
        <v>361</v>
      </c>
      <c r="B336" t="s">
        <v>17</v>
      </c>
      <c r="C336" s="1">
        <v>44631</v>
      </c>
      <c r="D336" s="1"/>
      <c r="E336" t="s">
        <v>26</v>
      </c>
      <c r="F336" t="s">
        <v>18</v>
      </c>
      <c r="G336">
        <v>1893</v>
      </c>
      <c r="H336">
        <v>55.8</v>
      </c>
      <c r="I336">
        <v>52.35</v>
      </c>
      <c r="J336">
        <v>0</v>
      </c>
      <c r="K336" t="s">
        <v>15</v>
      </c>
      <c r="L336">
        <f>Procurement_kpi_Analysis[[#This Row],[Quantity]]*Procurement_kpi_Analysis[[#This Row],[Negotiated_Price]]</f>
        <v>99098.55</v>
      </c>
      <c r="M336" t="str">
        <f>IF(Procurement_kpi_Analysis[[#This Row],[Delivery_Date]]="","",Procurement_kpi_Analysis[[#This Row],[Delivery_Date]]-Procurement_kpi_Analysis[[#This Row],[Order_Date]])</f>
        <v/>
      </c>
      <c r="N336" s="2">
        <f>Procurement_kpi_Analysis[[#This Row],[Defective_Units]]/Procurement_kpi_Analysis[[#This Row],[Quantity]]</f>
        <v>0</v>
      </c>
      <c r="O336" s="2">
        <f>(Procurement_kpi_Analysis[[#This Row],[Unit_Price]]-Procurement_kpi_Analysis[[#This Row],[Negotiated_Price]])*Procurement_kpi_Analysis[[#This Row],[Quantity]]</f>
        <v>6530.8499999999922</v>
      </c>
      <c r="P336" s="2">
        <f>Procurement_kpi_Analysis[[#This Row],[Total Savings]]/Procurement_kpi_Analysis[[#This Row],[Total Spend]]</f>
        <v>6.5902578796561528E-2</v>
      </c>
      <c r="Q336" s="2" t="str">
        <f>IF(Procurement_kpi_Analysis[[#This Row],[Lead Time]]&lt;=14,"On Time","Late")</f>
        <v>Late</v>
      </c>
      <c r="R336" s="2">
        <f>Procurement_kpi_Analysis[[#This Row],[Unit_Price]]*Procurement_kpi_Analysis[[#This Row],[Quantity]]</f>
        <v>105629.4</v>
      </c>
      <c r="S336" s="2">
        <f>IF(Procurement_kpi_Analysis[[#This Row],[Compliance]]="Yes",1,0)</f>
        <v>1</v>
      </c>
      <c r="T336" s="2">
        <f>IF(Procurement_kpi_Analysis[[#This Row],[Compliance]]="No",1,0)</f>
        <v>0</v>
      </c>
    </row>
    <row r="337" spans="1:20" x14ac:dyDescent="0.3">
      <c r="A337" t="s">
        <v>362</v>
      </c>
      <c r="B337" t="s">
        <v>17</v>
      </c>
      <c r="C337" s="1">
        <v>45253</v>
      </c>
      <c r="D337" s="1">
        <v>45265</v>
      </c>
      <c r="E337" t="s">
        <v>39</v>
      </c>
      <c r="F337" t="s">
        <v>35</v>
      </c>
      <c r="G337">
        <v>538</v>
      </c>
      <c r="H337">
        <v>34.299999999999997</v>
      </c>
      <c r="I337">
        <v>32.25</v>
      </c>
      <c r="J337">
        <v>84</v>
      </c>
      <c r="K337" t="s">
        <v>27</v>
      </c>
      <c r="L337">
        <f>Procurement_kpi_Analysis[[#This Row],[Quantity]]*Procurement_kpi_Analysis[[#This Row],[Negotiated_Price]]</f>
        <v>17350.5</v>
      </c>
      <c r="M337">
        <f>IF(Procurement_kpi_Analysis[[#This Row],[Delivery_Date]]="","",Procurement_kpi_Analysis[[#This Row],[Delivery_Date]]-Procurement_kpi_Analysis[[#This Row],[Order_Date]])</f>
        <v>12</v>
      </c>
      <c r="N337" s="2">
        <f>Procurement_kpi_Analysis[[#This Row],[Defective_Units]]/Procurement_kpi_Analysis[[#This Row],[Quantity]]</f>
        <v>0.15613382899628253</v>
      </c>
      <c r="O337" s="2">
        <f>(Procurement_kpi_Analysis[[#This Row],[Unit_Price]]-Procurement_kpi_Analysis[[#This Row],[Negotiated_Price]])*Procurement_kpi_Analysis[[#This Row],[Quantity]]</f>
        <v>1102.8999999999985</v>
      </c>
      <c r="P337" s="2">
        <f>Procurement_kpi_Analysis[[#This Row],[Total Savings]]/Procurement_kpi_Analysis[[#This Row],[Total Spend]]</f>
        <v>6.3565891472868133E-2</v>
      </c>
      <c r="Q337" s="2" t="str">
        <f>IF(Procurement_kpi_Analysis[[#This Row],[Lead Time]]&lt;=14,"On Time","Late")</f>
        <v>On Time</v>
      </c>
      <c r="R337" s="2">
        <f>Procurement_kpi_Analysis[[#This Row],[Unit_Price]]*Procurement_kpi_Analysis[[#This Row],[Quantity]]</f>
        <v>18453.399999999998</v>
      </c>
      <c r="S337" s="2">
        <f>IF(Procurement_kpi_Analysis[[#This Row],[Compliance]]="Yes",1,0)</f>
        <v>0</v>
      </c>
      <c r="T337" s="2">
        <f>IF(Procurement_kpi_Analysis[[#This Row],[Compliance]]="No",1,0)</f>
        <v>1</v>
      </c>
    </row>
    <row r="338" spans="1:20" x14ac:dyDescent="0.3">
      <c r="A338" t="s">
        <v>363</v>
      </c>
      <c r="B338" t="s">
        <v>17</v>
      </c>
      <c r="C338" s="1">
        <v>44802</v>
      </c>
      <c r="D338" s="1">
        <v>44819</v>
      </c>
      <c r="E338" t="s">
        <v>13</v>
      </c>
      <c r="F338" t="s">
        <v>35</v>
      </c>
      <c r="G338">
        <v>978</v>
      </c>
      <c r="H338">
        <v>94.15</v>
      </c>
      <c r="I338">
        <v>87.7</v>
      </c>
      <c r="J338">
        <v>149</v>
      </c>
      <c r="K338" t="s">
        <v>27</v>
      </c>
      <c r="L338">
        <f>Procurement_kpi_Analysis[[#This Row],[Quantity]]*Procurement_kpi_Analysis[[#This Row],[Negotiated_Price]]</f>
        <v>85770.6</v>
      </c>
      <c r="M338">
        <f>IF(Procurement_kpi_Analysis[[#This Row],[Delivery_Date]]="","",Procurement_kpi_Analysis[[#This Row],[Delivery_Date]]-Procurement_kpi_Analysis[[#This Row],[Order_Date]])</f>
        <v>17</v>
      </c>
      <c r="N338" s="2">
        <f>Procurement_kpi_Analysis[[#This Row],[Defective_Units]]/Procurement_kpi_Analysis[[#This Row],[Quantity]]</f>
        <v>0.15235173824130879</v>
      </c>
      <c r="O338" s="2">
        <f>(Procurement_kpi_Analysis[[#This Row],[Unit_Price]]-Procurement_kpi_Analysis[[#This Row],[Negotiated_Price]])*Procurement_kpi_Analysis[[#This Row],[Quantity]]</f>
        <v>6308.1000000000031</v>
      </c>
      <c r="P338" s="2">
        <f>Procurement_kpi_Analysis[[#This Row],[Total Savings]]/Procurement_kpi_Analysis[[#This Row],[Total Spend]]</f>
        <v>7.3546180159635155E-2</v>
      </c>
      <c r="Q338" s="2" t="str">
        <f>IF(Procurement_kpi_Analysis[[#This Row],[Lead Time]]&lt;=14,"On Time","Late")</f>
        <v>Late</v>
      </c>
      <c r="R338" s="2">
        <f>Procurement_kpi_Analysis[[#This Row],[Unit_Price]]*Procurement_kpi_Analysis[[#This Row],[Quantity]]</f>
        <v>92078.700000000012</v>
      </c>
      <c r="S338" s="2">
        <f>IF(Procurement_kpi_Analysis[[#This Row],[Compliance]]="Yes",1,0)</f>
        <v>0</v>
      </c>
      <c r="T338" s="2">
        <f>IF(Procurement_kpi_Analysis[[#This Row],[Compliance]]="No",1,0)</f>
        <v>1</v>
      </c>
    </row>
    <row r="339" spans="1:20" x14ac:dyDescent="0.3">
      <c r="A339" t="s">
        <v>364</v>
      </c>
      <c r="B339" t="s">
        <v>29</v>
      </c>
      <c r="C339" s="1">
        <v>44975</v>
      </c>
      <c r="D339" s="1">
        <v>44991</v>
      </c>
      <c r="E339" t="s">
        <v>26</v>
      </c>
      <c r="F339" t="s">
        <v>14</v>
      </c>
      <c r="G339">
        <v>1713</v>
      </c>
      <c r="H339">
        <v>47.45</v>
      </c>
      <c r="I339">
        <v>42.05</v>
      </c>
      <c r="J339">
        <v>53</v>
      </c>
      <c r="K339" t="s">
        <v>15</v>
      </c>
      <c r="L339">
        <f>Procurement_kpi_Analysis[[#This Row],[Quantity]]*Procurement_kpi_Analysis[[#This Row],[Negotiated_Price]]</f>
        <v>72031.649999999994</v>
      </c>
      <c r="M339">
        <f>IF(Procurement_kpi_Analysis[[#This Row],[Delivery_Date]]="","",Procurement_kpi_Analysis[[#This Row],[Delivery_Date]]-Procurement_kpi_Analysis[[#This Row],[Order_Date]])</f>
        <v>16</v>
      </c>
      <c r="N339" s="2">
        <f>Procurement_kpi_Analysis[[#This Row],[Defective_Units]]/Procurement_kpi_Analysis[[#This Row],[Quantity]]</f>
        <v>3.0939871570344425E-2</v>
      </c>
      <c r="O339" s="2">
        <f>(Procurement_kpi_Analysis[[#This Row],[Unit_Price]]-Procurement_kpi_Analysis[[#This Row],[Negotiated_Price]])*Procurement_kpi_Analysis[[#This Row],[Quantity]]</f>
        <v>9250.2000000000098</v>
      </c>
      <c r="P339" s="2">
        <f>Procurement_kpi_Analysis[[#This Row],[Total Savings]]/Procurement_kpi_Analysis[[#This Row],[Total Spend]]</f>
        <v>0.12841854934601679</v>
      </c>
      <c r="Q339" s="2" t="str">
        <f>IF(Procurement_kpi_Analysis[[#This Row],[Lead Time]]&lt;=14,"On Time","Late")</f>
        <v>Late</v>
      </c>
      <c r="R339" s="2">
        <f>Procurement_kpi_Analysis[[#This Row],[Unit_Price]]*Procurement_kpi_Analysis[[#This Row],[Quantity]]</f>
        <v>81281.850000000006</v>
      </c>
      <c r="S339" s="2">
        <f>IF(Procurement_kpi_Analysis[[#This Row],[Compliance]]="Yes",1,0)</f>
        <v>1</v>
      </c>
      <c r="T339" s="2">
        <f>IF(Procurement_kpi_Analysis[[#This Row],[Compliance]]="No",1,0)</f>
        <v>0</v>
      </c>
    </row>
    <row r="340" spans="1:20" x14ac:dyDescent="0.3">
      <c r="A340" t="s">
        <v>365</v>
      </c>
      <c r="B340" t="s">
        <v>17</v>
      </c>
      <c r="C340" s="1">
        <v>44684</v>
      </c>
      <c r="D340" s="1">
        <v>44688</v>
      </c>
      <c r="E340" t="s">
        <v>26</v>
      </c>
      <c r="F340" t="s">
        <v>35</v>
      </c>
      <c r="G340">
        <v>600</v>
      </c>
      <c r="H340">
        <v>60.1</v>
      </c>
      <c r="I340">
        <v>57.92</v>
      </c>
      <c r="J340">
        <v>95</v>
      </c>
      <c r="K340" t="s">
        <v>27</v>
      </c>
      <c r="L340">
        <f>Procurement_kpi_Analysis[[#This Row],[Quantity]]*Procurement_kpi_Analysis[[#This Row],[Negotiated_Price]]</f>
        <v>34752</v>
      </c>
      <c r="M340">
        <f>IF(Procurement_kpi_Analysis[[#This Row],[Delivery_Date]]="","",Procurement_kpi_Analysis[[#This Row],[Delivery_Date]]-Procurement_kpi_Analysis[[#This Row],[Order_Date]])</f>
        <v>4</v>
      </c>
      <c r="N340" s="2">
        <f>Procurement_kpi_Analysis[[#This Row],[Defective_Units]]/Procurement_kpi_Analysis[[#This Row],[Quantity]]</f>
        <v>0.15833333333333333</v>
      </c>
      <c r="O340" s="2">
        <f>(Procurement_kpi_Analysis[[#This Row],[Unit_Price]]-Procurement_kpi_Analysis[[#This Row],[Negotiated_Price]])*Procurement_kpi_Analysis[[#This Row],[Quantity]]</f>
        <v>1307.9999999999998</v>
      </c>
      <c r="P340" s="2">
        <f>Procurement_kpi_Analysis[[#This Row],[Total Savings]]/Procurement_kpi_Analysis[[#This Row],[Total Spend]]</f>
        <v>3.763812154696132E-2</v>
      </c>
      <c r="Q340" s="2" t="str">
        <f>IF(Procurement_kpi_Analysis[[#This Row],[Lead Time]]&lt;=14,"On Time","Late")</f>
        <v>On Time</v>
      </c>
      <c r="R340" s="2">
        <f>Procurement_kpi_Analysis[[#This Row],[Unit_Price]]*Procurement_kpi_Analysis[[#This Row],[Quantity]]</f>
        <v>36060</v>
      </c>
      <c r="S340" s="2">
        <f>IF(Procurement_kpi_Analysis[[#This Row],[Compliance]]="Yes",1,0)</f>
        <v>0</v>
      </c>
      <c r="T340" s="2">
        <f>IF(Procurement_kpi_Analysis[[#This Row],[Compliance]]="No",1,0)</f>
        <v>1</v>
      </c>
    </row>
    <row r="341" spans="1:20" x14ac:dyDescent="0.3">
      <c r="A341" t="s">
        <v>366</v>
      </c>
      <c r="B341" t="s">
        <v>12</v>
      </c>
      <c r="C341" s="1">
        <v>45145</v>
      </c>
      <c r="D341" s="1">
        <v>45163</v>
      </c>
      <c r="E341" t="s">
        <v>39</v>
      </c>
      <c r="F341" t="s">
        <v>35</v>
      </c>
      <c r="G341">
        <v>387</v>
      </c>
      <c r="H341">
        <v>100.28</v>
      </c>
      <c r="I341">
        <v>85.54</v>
      </c>
      <c r="J341">
        <v>5</v>
      </c>
      <c r="K341" t="s">
        <v>15</v>
      </c>
      <c r="L341">
        <f>Procurement_kpi_Analysis[[#This Row],[Quantity]]*Procurement_kpi_Analysis[[#This Row],[Negotiated_Price]]</f>
        <v>33103.980000000003</v>
      </c>
      <c r="M341">
        <f>IF(Procurement_kpi_Analysis[[#This Row],[Delivery_Date]]="","",Procurement_kpi_Analysis[[#This Row],[Delivery_Date]]-Procurement_kpi_Analysis[[#This Row],[Order_Date]])</f>
        <v>18</v>
      </c>
      <c r="N341" s="2">
        <f>Procurement_kpi_Analysis[[#This Row],[Defective_Units]]/Procurement_kpi_Analysis[[#This Row],[Quantity]]</f>
        <v>1.2919896640826873E-2</v>
      </c>
      <c r="O341" s="2">
        <f>(Procurement_kpi_Analysis[[#This Row],[Unit_Price]]-Procurement_kpi_Analysis[[#This Row],[Negotiated_Price]])*Procurement_kpi_Analysis[[#This Row],[Quantity]]</f>
        <v>5704.3799999999983</v>
      </c>
      <c r="P341" s="2">
        <f>Procurement_kpi_Analysis[[#This Row],[Total Savings]]/Procurement_kpi_Analysis[[#This Row],[Total Spend]]</f>
        <v>0.17231704465747011</v>
      </c>
      <c r="Q341" s="2" t="str">
        <f>IF(Procurement_kpi_Analysis[[#This Row],[Lead Time]]&lt;=14,"On Time","Late")</f>
        <v>Late</v>
      </c>
      <c r="R341" s="2">
        <f>Procurement_kpi_Analysis[[#This Row],[Unit_Price]]*Procurement_kpi_Analysis[[#This Row],[Quantity]]</f>
        <v>38808.36</v>
      </c>
      <c r="S341" s="2">
        <f>IF(Procurement_kpi_Analysis[[#This Row],[Compliance]]="Yes",1,0)</f>
        <v>1</v>
      </c>
      <c r="T341" s="2">
        <f>IF(Procurement_kpi_Analysis[[#This Row],[Compliance]]="No",1,0)</f>
        <v>0</v>
      </c>
    </row>
    <row r="342" spans="1:20" x14ac:dyDescent="0.3">
      <c r="A342" t="s">
        <v>367</v>
      </c>
      <c r="B342" t="s">
        <v>12</v>
      </c>
      <c r="C342" s="1">
        <v>44814</v>
      </c>
      <c r="D342" s="1">
        <v>44823</v>
      </c>
      <c r="E342" t="s">
        <v>21</v>
      </c>
      <c r="F342" t="s">
        <v>35</v>
      </c>
      <c r="G342">
        <v>921</v>
      </c>
      <c r="H342">
        <v>68.83</v>
      </c>
      <c r="I342">
        <v>59.13</v>
      </c>
      <c r="J342">
        <v>22</v>
      </c>
      <c r="K342" t="s">
        <v>15</v>
      </c>
      <c r="L342">
        <f>Procurement_kpi_Analysis[[#This Row],[Quantity]]*Procurement_kpi_Analysis[[#This Row],[Negotiated_Price]]</f>
        <v>54458.73</v>
      </c>
      <c r="M342">
        <f>IF(Procurement_kpi_Analysis[[#This Row],[Delivery_Date]]="","",Procurement_kpi_Analysis[[#This Row],[Delivery_Date]]-Procurement_kpi_Analysis[[#This Row],[Order_Date]])</f>
        <v>9</v>
      </c>
      <c r="N342" s="2">
        <f>Procurement_kpi_Analysis[[#This Row],[Defective_Units]]/Procurement_kpi_Analysis[[#This Row],[Quantity]]</f>
        <v>2.3887079261672096E-2</v>
      </c>
      <c r="O342" s="2">
        <f>(Procurement_kpi_Analysis[[#This Row],[Unit_Price]]-Procurement_kpi_Analysis[[#This Row],[Negotiated_Price]])*Procurement_kpi_Analysis[[#This Row],[Quantity]]</f>
        <v>8933.6999999999953</v>
      </c>
      <c r="P342" s="2">
        <f>Procurement_kpi_Analysis[[#This Row],[Total Savings]]/Procurement_kpi_Analysis[[#This Row],[Total Spend]]</f>
        <v>0.16404532386267537</v>
      </c>
      <c r="Q342" s="2" t="str">
        <f>IF(Procurement_kpi_Analysis[[#This Row],[Lead Time]]&lt;=14,"On Time","Late")</f>
        <v>On Time</v>
      </c>
      <c r="R342" s="2">
        <f>Procurement_kpi_Analysis[[#This Row],[Unit_Price]]*Procurement_kpi_Analysis[[#This Row],[Quantity]]</f>
        <v>63392.43</v>
      </c>
      <c r="S342" s="2">
        <f>IF(Procurement_kpi_Analysis[[#This Row],[Compliance]]="Yes",1,0)</f>
        <v>1</v>
      </c>
      <c r="T342" s="2">
        <f>IF(Procurement_kpi_Analysis[[#This Row],[Compliance]]="No",1,0)</f>
        <v>0</v>
      </c>
    </row>
    <row r="343" spans="1:20" x14ac:dyDescent="0.3">
      <c r="A343" t="s">
        <v>368</v>
      </c>
      <c r="B343" t="s">
        <v>23</v>
      </c>
      <c r="C343" s="1">
        <v>45154</v>
      </c>
      <c r="D343" s="1">
        <v>45168</v>
      </c>
      <c r="E343" t="s">
        <v>21</v>
      </c>
      <c r="F343" t="s">
        <v>18</v>
      </c>
      <c r="G343">
        <v>690</v>
      </c>
      <c r="H343">
        <v>22.47</v>
      </c>
      <c r="I343">
        <v>21.94</v>
      </c>
      <c r="J343">
        <v>77</v>
      </c>
      <c r="K343" t="s">
        <v>15</v>
      </c>
      <c r="L343">
        <f>Procurement_kpi_Analysis[[#This Row],[Quantity]]*Procurement_kpi_Analysis[[#This Row],[Negotiated_Price]]</f>
        <v>15138.6</v>
      </c>
      <c r="M343">
        <f>IF(Procurement_kpi_Analysis[[#This Row],[Delivery_Date]]="","",Procurement_kpi_Analysis[[#This Row],[Delivery_Date]]-Procurement_kpi_Analysis[[#This Row],[Order_Date]])</f>
        <v>14</v>
      </c>
      <c r="N343" s="2">
        <f>Procurement_kpi_Analysis[[#This Row],[Defective_Units]]/Procurement_kpi_Analysis[[#This Row],[Quantity]]</f>
        <v>0.11159420289855072</v>
      </c>
      <c r="O343" s="2">
        <f>(Procurement_kpi_Analysis[[#This Row],[Unit_Price]]-Procurement_kpi_Analysis[[#This Row],[Negotiated_Price]])*Procurement_kpi_Analysis[[#This Row],[Quantity]]</f>
        <v>365.69999999999834</v>
      </c>
      <c r="P343" s="2">
        <f>Procurement_kpi_Analysis[[#This Row],[Total Savings]]/Procurement_kpi_Analysis[[#This Row],[Total Spend]]</f>
        <v>2.4156791248860419E-2</v>
      </c>
      <c r="Q343" s="2" t="str">
        <f>IF(Procurement_kpi_Analysis[[#This Row],[Lead Time]]&lt;=14,"On Time","Late")</f>
        <v>On Time</v>
      </c>
      <c r="R343" s="2">
        <f>Procurement_kpi_Analysis[[#This Row],[Unit_Price]]*Procurement_kpi_Analysis[[#This Row],[Quantity]]</f>
        <v>15504.3</v>
      </c>
      <c r="S343" s="2">
        <f>IF(Procurement_kpi_Analysis[[#This Row],[Compliance]]="Yes",1,0)</f>
        <v>1</v>
      </c>
      <c r="T343" s="2">
        <f>IF(Procurement_kpi_Analysis[[#This Row],[Compliance]]="No",1,0)</f>
        <v>0</v>
      </c>
    </row>
    <row r="344" spans="1:20" x14ac:dyDescent="0.3">
      <c r="A344" t="s">
        <v>369</v>
      </c>
      <c r="B344" t="s">
        <v>12</v>
      </c>
      <c r="C344" s="1">
        <v>45170</v>
      </c>
      <c r="D344" s="1">
        <v>45190</v>
      </c>
      <c r="E344" t="s">
        <v>13</v>
      </c>
      <c r="F344" t="s">
        <v>14</v>
      </c>
      <c r="G344">
        <v>1852</v>
      </c>
      <c r="H344">
        <v>104.04</v>
      </c>
      <c r="I344">
        <v>94.89</v>
      </c>
      <c r="J344">
        <v>36</v>
      </c>
      <c r="K344" t="s">
        <v>15</v>
      </c>
      <c r="L344">
        <f>Procurement_kpi_Analysis[[#This Row],[Quantity]]*Procurement_kpi_Analysis[[#This Row],[Negotiated_Price]]</f>
        <v>175736.28</v>
      </c>
      <c r="M344">
        <f>IF(Procurement_kpi_Analysis[[#This Row],[Delivery_Date]]="","",Procurement_kpi_Analysis[[#This Row],[Delivery_Date]]-Procurement_kpi_Analysis[[#This Row],[Order_Date]])</f>
        <v>20</v>
      </c>
      <c r="N344" s="2">
        <f>Procurement_kpi_Analysis[[#This Row],[Defective_Units]]/Procurement_kpi_Analysis[[#This Row],[Quantity]]</f>
        <v>1.9438444924406047E-2</v>
      </c>
      <c r="O344" s="2">
        <f>(Procurement_kpi_Analysis[[#This Row],[Unit_Price]]-Procurement_kpi_Analysis[[#This Row],[Negotiated_Price]])*Procurement_kpi_Analysis[[#This Row],[Quantity]]</f>
        <v>16945.80000000001</v>
      </c>
      <c r="P344" s="2">
        <f>Procurement_kpi_Analysis[[#This Row],[Total Savings]]/Procurement_kpi_Analysis[[#This Row],[Total Spend]]</f>
        <v>9.6427442301612445E-2</v>
      </c>
      <c r="Q344" s="2" t="str">
        <f>IF(Procurement_kpi_Analysis[[#This Row],[Lead Time]]&lt;=14,"On Time","Late")</f>
        <v>Late</v>
      </c>
      <c r="R344" s="2">
        <f>Procurement_kpi_Analysis[[#This Row],[Unit_Price]]*Procurement_kpi_Analysis[[#This Row],[Quantity]]</f>
        <v>192682.08000000002</v>
      </c>
      <c r="S344" s="2">
        <f>IF(Procurement_kpi_Analysis[[#This Row],[Compliance]]="Yes",1,0)</f>
        <v>1</v>
      </c>
      <c r="T344" s="2">
        <f>IF(Procurement_kpi_Analysis[[#This Row],[Compliance]]="No",1,0)</f>
        <v>0</v>
      </c>
    </row>
    <row r="345" spans="1:20" x14ac:dyDescent="0.3">
      <c r="A345" t="s">
        <v>370</v>
      </c>
      <c r="B345" t="s">
        <v>17</v>
      </c>
      <c r="C345" s="1">
        <v>44602</v>
      </c>
      <c r="D345" s="1">
        <v>44620</v>
      </c>
      <c r="E345" t="s">
        <v>39</v>
      </c>
      <c r="F345" t="s">
        <v>18</v>
      </c>
      <c r="G345">
        <v>522</v>
      </c>
      <c r="H345">
        <v>66.83</v>
      </c>
      <c r="I345">
        <v>58.01</v>
      </c>
      <c r="J345">
        <v>74</v>
      </c>
      <c r="K345" t="s">
        <v>15</v>
      </c>
      <c r="L345">
        <f>Procurement_kpi_Analysis[[#This Row],[Quantity]]*Procurement_kpi_Analysis[[#This Row],[Negotiated_Price]]</f>
        <v>30281.219999999998</v>
      </c>
      <c r="M345">
        <f>IF(Procurement_kpi_Analysis[[#This Row],[Delivery_Date]]="","",Procurement_kpi_Analysis[[#This Row],[Delivery_Date]]-Procurement_kpi_Analysis[[#This Row],[Order_Date]])</f>
        <v>18</v>
      </c>
      <c r="N345" s="2">
        <f>Procurement_kpi_Analysis[[#This Row],[Defective_Units]]/Procurement_kpi_Analysis[[#This Row],[Quantity]]</f>
        <v>0.1417624521072797</v>
      </c>
      <c r="O345" s="2">
        <f>(Procurement_kpi_Analysis[[#This Row],[Unit_Price]]-Procurement_kpi_Analysis[[#This Row],[Negotiated_Price]])*Procurement_kpi_Analysis[[#This Row],[Quantity]]</f>
        <v>4604.04</v>
      </c>
      <c r="P345" s="2">
        <f>Procurement_kpi_Analysis[[#This Row],[Total Savings]]/Procurement_kpi_Analysis[[#This Row],[Total Spend]]</f>
        <v>0.15204275124978453</v>
      </c>
      <c r="Q345" s="2" t="str">
        <f>IF(Procurement_kpi_Analysis[[#This Row],[Lead Time]]&lt;=14,"On Time","Late")</f>
        <v>Late</v>
      </c>
      <c r="R345" s="2">
        <f>Procurement_kpi_Analysis[[#This Row],[Unit_Price]]*Procurement_kpi_Analysis[[#This Row],[Quantity]]</f>
        <v>34885.26</v>
      </c>
      <c r="S345" s="2">
        <f>IF(Procurement_kpi_Analysis[[#This Row],[Compliance]]="Yes",1,0)</f>
        <v>1</v>
      </c>
      <c r="T345" s="2">
        <f>IF(Procurement_kpi_Analysis[[#This Row],[Compliance]]="No",1,0)</f>
        <v>0</v>
      </c>
    </row>
    <row r="346" spans="1:20" x14ac:dyDescent="0.3">
      <c r="A346" t="s">
        <v>371</v>
      </c>
      <c r="B346" t="s">
        <v>17</v>
      </c>
      <c r="C346" s="1">
        <v>45196</v>
      </c>
      <c r="D346" s="1">
        <v>45205</v>
      </c>
      <c r="E346" t="s">
        <v>39</v>
      </c>
      <c r="F346" t="s">
        <v>18</v>
      </c>
      <c r="G346">
        <v>200</v>
      </c>
      <c r="H346">
        <v>44.16</v>
      </c>
      <c r="I346">
        <v>43.13</v>
      </c>
      <c r="J346">
        <v>21</v>
      </c>
      <c r="K346" t="s">
        <v>15</v>
      </c>
      <c r="L346">
        <f>Procurement_kpi_Analysis[[#This Row],[Quantity]]*Procurement_kpi_Analysis[[#This Row],[Negotiated_Price]]</f>
        <v>8626</v>
      </c>
      <c r="M346">
        <f>IF(Procurement_kpi_Analysis[[#This Row],[Delivery_Date]]="","",Procurement_kpi_Analysis[[#This Row],[Delivery_Date]]-Procurement_kpi_Analysis[[#This Row],[Order_Date]])</f>
        <v>9</v>
      </c>
      <c r="N346" s="2">
        <f>Procurement_kpi_Analysis[[#This Row],[Defective_Units]]/Procurement_kpi_Analysis[[#This Row],[Quantity]]</f>
        <v>0.105</v>
      </c>
      <c r="O346" s="2">
        <f>(Procurement_kpi_Analysis[[#This Row],[Unit_Price]]-Procurement_kpi_Analysis[[#This Row],[Negotiated_Price]])*Procurement_kpi_Analysis[[#This Row],[Quantity]]</f>
        <v>205.99999999999881</v>
      </c>
      <c r="P346" s="2">
        <f>Procurement_kpi_Analysis[[#This Row],[Total Savings]]/Procurement_kpi_Analysis[[#This Row],[Total Spend]]</f>
        <v>2.3881289125898309E-2</v>
      </c>
      <c r="Q346" s="2" t="str">
        <f>IF(Procurement_kpi_Analysis[[#This Row],[Lead Time]]&lt;=14,"On Time","Late")</f>
        <v>On Time</v>
      </c>
      <c r="R346" s="2">
        <f>Procurement_kpi_Analysis[[#This Row],[Unit_Price]]*Procurement_kpi_Analysis[[#This Row],[Quantity]]</f>
        <v>8832</v>
      </c>
      <c r="S346" s="2">
        <f>IF(Procurement_kpi_Analysis[[#This Row],[Compliance]]="Yes",1,0)</f>
        <v>1</v>
      </c>
      <c r="T346" s="2">
        <f>IF(Procurement_kpi_Analysis[[#This Row],[Compliance]]="No",1,0)</f>
        <v>0</v>
      </c>
    </row>
    <row r="347" spans="1:20" x14ac:dyDescent="0.3">
      <c r="A347" t="s">
        <v>372</v>
      </c>
      <c r="B347" t="s">
        <v>20</v>
      </c>
      <c r="C347" s="1">
        <v>44645</v>
      </c>
      <c r="D347" s="1">
        <v>44654</v>
      </c>
      <c r="E347" t="s">
        <v>24</v>
      </c>
      <c r="F347" t="s">
        <v>18</v>
      </c>
      <c r="G347">
        <v>1488</v>
      </c>
      <c r="H347">
        <v>22.76</v>
      </c>
      <c r="I347">
        <v>21.99</v>
      </c>
      <c r="J347">
        <v>0</v>
      </c>
      <c r="K347" t="s">
        <v>15</v>
      </c>
      <c r="L347">
        <f>Procurement_kpi_Analysis[[#This Row],[Quantity]]*Procurement_kpi_Analysis[[#This Row],[Negotiated_Price]]</f>
        <v>32721.119999999999</v>
      </c>
      <c r="M347">
        <f>IF(Procurement_kpi_Analysis[[#This Row],[Delivery_Date]]="","",Procurement_kpi_Analysis[[#This Row],[Delivery_Date]]-Procurement_kpi_Analysis[[#This Row],[Order_Date]])</f>
        <v>9</v>
      </c>
      <c r="N347" s="2">
        <f>Procurement_kpi_Analysis[[#This Row],[Defective_Units]]/Procurement_kpi_Analysis[[#This Row],[Quantity]]</f>
        <v>0</v>
      </c>
      <c r="O347" s="2">
        <f>(Procurement_kpi_Analysis[[#This Row],[Unit_Price]]-Procurement_kpi_Analysis[[#This Row],[Negotiated_Price]])*Procurement_kpi_Analysis[[#This Row],[Quantity]]</f>
        <v>1145.7600000000048</v>
      </c>
      <c r="P347" s="2">
        <f>Procurement_kpi_Analysis[[#This Row],[Total Savings]]/Procurement_kpi_Analysis[[#This Row],[Total Spend]]</f>
        <v>3.5015916325602692E-2</v>
      </c>
      <c r="Q347" s="2" t="str">
        <f>IF(Procurement_kpi_Analysis[[#This Row],[Lead Time]]&lt;=14,"On Time","Late")</f>
        <v>On Time</v>
      </c>
      <c r="R347" s="2">
        <f>Procurement_kpi_Analysis[[#This Row],[Unit_Price]]*Procurement_kpi_Analysis[[#This Row],[Quantity]]</f>
        <v>33866.880000000005</v>
      </c>
      <c r="S347" s="2">
        <f>IF(Procurement_kpi_Analysis[[#This Row],[Compliance]]="Yes",1,0)</f>
        <v>1</v>
      </c>
      <c r="T347" s="2">
        <f>IF(Procurement_kpi_Analysis[[#This Row],[Compliance]]="No",1,0)</f>
        <v>0</v>
      </c>
    </row>
    <row r="348" spans="1:20" x14ac:dyDescent="0.3">
      <c r="A348" t="s">
        <v>373</v>
      </c>
      <c r="B348" t="s">
        <v>29</v>
      </c>
      <c r="C348" s="1">
        <v>44991</v>
      </c>
      <c r="D348" s="1">
        <v>45001</v>
      </c>
      <c r="E348" t="s">
        <v>39</v>
      </c>
      <c r="F348" t="s">
        <v>18</v>
      </c>
      <c r="G348">
        <v>1371</v>
      </c>
      <c r="H348">
        <v>87.16</v>
      </c>
      <c r="I348">
        <v>78.13</v>
      </c>
      <c r="J348">
        <v>43</v>
      </c>
      <c r="K348" t="s">
        <v>15</v>
      </c>
      <c r="L348">
        <f>Procurement_kpi_Analysis[[#This Row],[Quantity]]*Procurement_kpi_Analysis[[#This Row],[Negotiated_Price]]</f>
        <v>107116.23</v>
      </c>
      <c r="M348">
        <f>IF(Procurement_kpi_Analysis[[#This Row],[Delivery_Date]]="","",Procurement_kpi_Analysis[[#This Row],[Delivery_Date]]-Procurement_kpi_Analysis[[#This Row],[Order_Date]])</f>
        <v>10</v>
      </c>
      <c r="N348" s="2">
        <f>Procurement_kpi_Analysis[[#This Row],[Defective_Units]]/Procurement_kpi_Analysis[[#This Row],[Quantity]]</f>
        <v>3.1363967906637494E-2</v>
      </c>
      <c r="O348" s="2">
        <f>(Procurement_kpi_Analysis[[#This Row],[Unit_Price]]-Procurement_kpi_Analysis[[#This Row],[Negotiated_Price]])*Procurement_kpi_Analysis[[#This Row],[Quantity]]</f>
        <v>12380.130000000001</v>
      </c>
      <c r="P348" s="2">
        <f>Procurement_kpi_Analysis[[#This Row],[Total Savings]]/Procurement_kpi_Analysis[[#This Row],[Total Spend]]</f>
        <v>0.11557660309740178</v>
      </c>
      <c r="Q348" s="2" t="str">
        <f>IF(Procurement_kpi_Analysis[[#This Row],[Lead Time]]&lt;=14,"On Time","Late")</f>
        <v>On Time</v>
      </c>
      <c r="R348" s="2">
        <f>Procurement_kpi_Analysis[[#This Row],[Unit_Price]]*Procurement_kpi_Analysis[[#This Row],[Quantity]]</f>
        <v>119496.36</v>
      </c>
      <c r="S348" s="2">
        <f>IF(Procurement_kpi_Analysis[[#This Row],[Compliance]]="Yes",1,0)</f>
        <v>1</v>
      </c>
      <c r="T348" s="2">
        <f>IF(Procurement_kpi_Analysis[[#This Row],[Compliance]]="No",1,0)</f>
        <v>0</v>
      </c>
    </row>
    <row r="349" spans="1:20" x14ac:dyDescent="0.3">
      <c r="A349" t="s">
        <v>374</v>
      </c>
      <c r="B349" t="s">
        <v>12</v>
      </c>
      <c r="C349" s="1">
        <v>45235</v>
      </c>
      <c r="D349" s="1"/>
      <c r="E349" t="s">
        <v>13</v>
      </c>
      <c r="F349" t="s">
        <v>18</v>
      </c>
      <c r="G349">
        <v>1684</v>
      </c>
      <c r="H349">
        <v>73.05</v>
      </c>
      <c r="I349">
        <v>62.53</v>
      </c>
      <c r="J349">
        <v>0</v>
      </c>
      <c r="K349" t="s">
        <v>15</v>
      </c>
      <c r="L349">
        <f>Procurement_kpi_Analysis[[#This Row],[Quantity]]*Procurement_kpi_Analysis[[#This Row],[Negotiated_Price]]</f>
        <v>105300.52</v>
      </c>
      <c r="M349" t="str">
        <f>IF(Procurement_kpi_Analysis[[#This Row],[Delivery_Date]]="","",Procurement_kpi_Analysis[[#This Row],[Delivery_Date]]-Procurement_kpi_Analysis[[#This Row],[Order_Date]])</f>
        <v/>
      </c>
      <c r="N349" s="2">
        <f>Procurement_kpi_Analysis[[#This Row],[Defective_Units]]/Procurement_kpi_Analysis[[#This Row],[Quantity]]</f>
        <v>0</v>
      </c>
      <c r="O349" s="2">
        <f>(Procurement_kpi_Analysis[[#This Row],[Unit_Price]]-Procurement_kpi_Analysis[[#This Row],[Negotiated_Price]])*Procurement_kpi_Analysis[[#This Row],[Quantity]]</f>
        <v>17715.679999999993</v>
      </c>
      <c r="P349" s="2">
        <f>Procurement_kpi_Analysis[[#This Row],[Total Savings]]/Procurement_kpi_Analysis[[#This Row],[Total Spend]]</f>
        <v>0.16823924516232203</v>
      </c>
      <c r="Q349" s="2" t="str">
        <f>IF(Procurement_kpi_Analysis[[#This Row],[Lead Time]]&lt;=14,"On Time","Late")</f>
        <v>Late</v>
      </c>
      <c r="R349" s="2">
        <f>Procurement_kpi_Analysis[[#This Row],[Unit_Price]]*Procurement_kpi_Analysis[[#This Row],[Quantity]]</f>
        <v>123016.2</v>
      </c>
      <c r="S349" s="2">
        <f>IF(Procurement_kpi_Analysis[[#This Row],[Compliance]]="Yes",1,0)</f>
        <v>1</v>
      </c>
      <c r="T349" s="2">
        <f>IF(Procurement_kpi_Analysis[[#This Row],[Compliance]]="No",1,0)</f>
        <v>0</v>
      </c>
    </row>
    <row r="350" spans="1:20" x14ac:dyDescent="0.3">
      <c r="A350" t="s">
        <v>375</v>
      </c>
      <c r="B350" t="s">
        <v>29</v>
      </c>
      <c r="C350" s="1">
        <v>45159</v>
      </c>
      <c r="D350" s="1">
        <v>45165</v>
      </c>
      <c r="E350" t="s">
        <v>39</v>
      </c>
      <c r="F350" t="s">
        <v>18</v>
      </c>
      <c r="G350">
        <v>312</v>
      </c>
      <c r="H350">
        <v>63.52</v>
      </c>
      <c r="I350">
        <v>58.09</v>
      </c>
      <c r="J350">
        <v>0</v>
      </c>
      <c r="K350" t="s">
        <v>15</v>
      </c>
      <c r="L350">
        <f>Procurement_kpi_Analysis[[#This Row],[Quantity]]*Procurement_kpi_Analysis[[#This Row],[Negotiated_Price]]</f>
        <v>18124.080000000002</v>
      </c>
      <c r="M350">
        <f>IF(Procurement_kpi_Analysis[[#This Row],[Delivery_Date]]="","",Procurement_kpi_Analysis[[#This Row],[Delivery_Date]]-Procurement_kpi_Analysis[[#This Row],[Order_Date]])</f>
        <v>6</v>
      </c>
      <c r="N350" s="2">
        <f>Procurement_kpi_Analysis[[#This Row],[Defective_Units]]/Procurement_kpi_Analysis[[#This Row],[Quantity]]</f>
        <v>0</v>
      </c>
      <c r="O350" s="2">
        <f>(Procurement_kpi_Analysis[[#This Row],[Unit_Price]]-Procurement_kpi_Analysis[[#This Row],[Negotiated_Price]])*Procurement_kpi_Analysis[[#This Row],[Quantity]]</f>
        <v>1694.1599999999999</v>
      </c>
      <c r="P350" s="2">
        <f>Procurement_kpi_Analysis[[#This Row],[Total Savings]]/Procurement_kpi_Analysis[[#This Row],[Total Spend]]</f>
        <v>9.3475641246341862E-2</v>
      </c>
      <c r="Q350" s="2" t="str">
        <f>IF(Procurement_kpi_Analysis[[#This Row],[Lead Time]]&lt;=14,"On Time","Late")</f>
        <v>On Time</v>
      </c>
      <c r="R350" s="2">
        <f>Procurement_kpi_Analysis[[#This Row],[Unit_Price]]*Procurement_kpi_Analysis[[#This Row],[Quantity]]</f>
        <v>19818.240000000002</v>
      </c>
      <c r="S350" s="2">
        <f>IF(Procurement_kpi_Analysis[[#This Row],[Compliance]]="Yes",1,0)</f>
        <v>1</v>
      </c>
      <c r="T350" s="2">
        <f>IF(Procurement_kpi_Analysis[[#This Row],[Compliance]]="No",1,0)</f>
        <v>0</v>
      </c>
    </row>
    <row r="351" spans="1:20" x14ac:dyDescent="0.3">
      <c r="A351" t="s">
        <v>376</v>
      </c>
      <c r="B351" t="s">
        <v>12</v>
      </c>
      <c r="C351" s="1">
        <v>45140</v>
      </c>
      <c r="D351" s="1">
        <v>45159</v>
      </c>
      <c r="E351" t="s">
        <v>24</v>
      </c>
      <c r="F351" t="s">
        <v>14</v>
      </c>
      <c r="G351">
        <v>1837</v>
      </c>
      <c r="H351">
        <v>99.04</v>
      </c>
      <c r="I351">
        <v>86.51</v>
      </c>
      <c r="J351">
        <v>39</v>
      </c>
      <c r="K351" t="s">
        <v>15</v>
      </c>
      <c r="L351">
        <f>Procurement_kpi_Analysis[[#This Row],[Quantity]]*Procurement_kpi_Analysis[[#This Row],[Negotiated_Price]]</f>
        <v>158918.87</v>
      </c>
      <c r="M351">
        <f>IF(Procurement_kpi_Analysis[[#This Row],[Delivery_Date]]="","",Procurement_kpi_Analysis[[#This Row],[Delivery_Date]]-Procurement_kpi_Analysis[[#This Row],[Order_Date]])</f>
        <v>19</v>
      </c>
      <c r="N351" s="2">
        <f>Procurement_kpi_Analysis[[#This Row],[Defective_Units]]/Procurement_kpi_Analysis[[#This Row],[Quantity]]</f>
        <v>2.1230266739248774E-2</v>
      </c>
      <c r="O351" s="2">
        <f>(Procurement_kpi_Analysis[[#This Row],[Unit_Price]]-Procurement_kpi_Analysis[[#This Row],[Negotiated_Price]])*Procurement_kpi_Analysis[[#This Row],[Quantity]]</f>
        <v>23017.61</v>
      </c>
      <c r="P351" s="2">
        <f>Procurement_kpi_Analysis[[#This Row],[Total Savings]]/Procurement_kpi_Analysis[[#This Row],[Total Spend]]</f>
        <v>0.14483874696566873</v>
      </c>
      <c r="Q351" s="2" t="str">
        <f>IF(Procurement_kpi_Analysis[[#This Row],[Lead Time]]&lt;=14,"On Time","Late")</f>
        <v>Late</v>
      </c>
      <c r="R351" s="2">
        <f>Procurement_kpi_Analysis[[#This Row],[Unit_Price]]*Procurement_kpi_Analysis[[#This Row],[Quantity]]</f>
        <v>181936.48</v>
      </c>
      <c r="S351" s="2">
        <f>IF(Procurement_kpi_Analysis[[#This Row],[Compliance]]="Yes",1,0)</f>
        <v>1</v>
      </c>
      <c r="T351" s="2">
        <f>IF(Procurement_kpi_Analysis[[#This Row],[Compliance]]="No",1,0)</f>
        <v>0</v>
      </c>
    </row>
    <row r="352" spans="1:20" x14ac:dyDescent="0.3">
      <c r="A352" t="s">
        <v>377</v>
      </c>
      <c r="B352" t="s">
        <v>23</v>
      </c>
      <c r="C352" s="1">
        <v>45097</v>
      </c>
      <c r="D352" s="1">
        <v>45100</v>
      </c>
      <c r="E352" t="s">
        <v>21</v>
      </c>
      <c r="F352" t="s">
        <v>18</v>
      </c>
      <c r="G352">
        <v>193</v>
      </c>
      <c r="H352">
        <v>87.86</v>
      </c>
      <c r="I352">
        <v>81.739999999999995</v>
      </c>
      <c r="J352">
        <v>21</v>
      </c>
      <c r="K352" t="s">
        <v>15</v>
      </c>
      <c r="L352">
        <f>Procurement_kpi_Analysis[[#This Row],[Quantity]]*Procurement_kpi_Analysis[[#This Row],[Negotiated_Price]]</f>
        <v>15775.82</v>
      </c>
      <c r="M352">
        <f>IF(Procurement_kpi_Analysis[[#This Row],[Delivery_Date]]="","",Procurement_kpi_Analysis[[#This Row],[Delivery_Date]]-Procurement_kpi_Analysis[[#This Row],[Order_Date]])</f>
        <v>3</v>
      </c>
      <c r="N352" s="2">
        <f>Procurement_kpi_Analysis[[#This Row],[Defective_Units]]/Procurement_kpi_Analysis[[#This Row],[Quantity]]</f>
        <v>0.10880829015544041</v>
      </c>
      <c r="O352" s="2">
        <f>(Procurement_kpi_Analysis[[#This Row],[Unit_Price]]-Procurement_kpi_Analysis[[#This Row],[Negotiated_Price]])*Procurement_kpi_Analysis[[#This Row],[Quantity]]</f>
        <v>1181.1600000000008</v>
      </c>
      <c r="P352" s="2">
        <f>Procurement_kpi_Analysis[[#This Row],[Total Savings]]/Procurement_kpi_Analysis[[#This Row],[Total Spend]]</f>
        <v>7.4871543919745584E-2</v>
      </c>
      <c r="Q352" s="2" t="str">
        <f>IF(Procurement_kpi_Analysis[[#This Row],[Lead Time]]&lt;=14,"On Time","Late")</f>
        <v>On Time</v>
      </c>
      <c r="R352" s="2">
        <f>Procurement_kpi_Analysis[[#This Row],[Unit_Price]]*Procurement_kpi_Analysis[[#This Row],[Quantity]]</f>
        <v>16956.98</v>
      </c>
      <c r="S352" s="2">
        <f>IF(Procurement_kpi_Analysis[[#This Row],[Compliance]]="Yes",1,0)</f>
        <v>1</v>
      </c>
      <c r="T352" s="2">
        <f>IF(Procurement_kpi_Analysis[[#This Row],[Compliance]]="No",1,0)</f>
        <v>0</v>
      </c>
    </row>
    <row r="353" spans="1:20" x14ac:dyDescent="0.3">
      <c r="A353" t="s">
        <v>378</v>
      </c>
      <c r="B353" t="s">
        <v>23</v>
      </c>
      <c r="C353" s="1">
        <v>44885</v>
      </c>
      <c r="D353" s="1">
        <v>44886</v>
      </c>
      <c r="E353" t="s">
        <v>39</v>
      </c>
      <c r="F353" t="s">
        <v>18</v>
      </c>
      <c r="G353">
        <v>395</v>
      </c>
      <c r="H353">
        <v>24.83</v>
      </c>
      <c r="I353">
        <v>23.96</v>
      </c>
      <c r="J353">
        <v>31</v>
      </c>
      <c r="K353" t="s">
        <v>15</v>
      </c>
      <c r="L353">
        <f>Procurement_kpi_Analysis[[#This Row],[Quantity]]*Procurement_kpi_Analysis[[#This Row],[Negotiated_Price]]</f>
        <v>9464.2000000000007</v>
      </c>
      <c r="M353">
        <f>IF(Procurement_kpi_Analysis[[#This Row],[Delivery_Date]]="","",Procurement_kpi_Analysis[[#This Row],[Delivery_Date]]-Procurement_kpi_Analysis[[#This Row],[Order_Date]])</f>
        <v>1</v>
      </c>
      <c r="N353" s="2">
        <f>Procurement_kpi_Analysis[[#This Row],[Defective_Units]]/Procurement_kpi_Analysis[[#This Row],[Quantity]]</f>
        <v>7.848101265822785E-2</v>
      </c>
      <c r="O353" s="2">
        <f>(Procurement_kpi_Analysis[[#This Row],[Unit_Price]]-Procurement_kpi_Analysis[[#This Row],[Negotiated_Price]])*Procurement_kpi_Analysis[[#This Row],[Quantity]]</f>
        <v>343.64999999999901</v>
      </c>
      <c r="P353" s="2">
        <f>Procurement_kpi_Analysis[[#This Row],[Total Savings]]/Procurement_kpi_Analysis[[#This Row],[Total Spend]]</f>
        <v>3.6310517529215249E-2</v>
      </c>
      <c r="Q353" s="2" t="str">
        <f>IF(Procurement_kpi_Analysis[[#This Row],[Lead Time]]&lt;=14,"On Time","Late")</f>
        <v>On Time</v>
      </c>
      <c r="R353" s="2">
        <f>Procurement_kpi_Analysis[[#This Row],[Unit_Price]]*Procurement_kpi_Analysis[[#This Row],[Quantity]]</f>
        <v>9807.8499999999985</v>
      </c>
      <c r="S353" s="2">
        <f>IF(Procurement_kpi_Analysis[[#This Row],[Compliance]]="Yes",1,0)</f>
        <v>1</v>
      </c>
      <c r="T353" s="2">
        <f>IF(Procurement_kpi_Analysis[[#This Row],[Compliance]]="No",1,0)</f>
        <v>0</v>
      </c>
    </row>
    <row r="354" spans="1:20" x14ac:dyDescent="0.3">
      <c r="A354" t="s">
        <v>379</v>
      </c>
      <c r="B354" t="s">
        <v>29</v>
      </c>
      <c r="C354" s="1">
        <v>44829</v>
      </c>
      <c r="D354" s="1">
        <v>44846</v>
      </c>
      <c r="E354" t="s">
        <v>39</v>
      </c>
      <c r="F354" t="s">
        <v>14</v>
      </c>
      <c r="G354">
        <v>673</v>
      </c>
      <c r="H354">
        <v>39.58</v>
      </c>
      <c r="I354">
        <v>35.83</v>
      </c>
      <c r="J354">
        <v>25</v>
      </c>
      <c r="K354" t="s">
        <v>15</v>
      </c>
      <c r="L354">
        <f>Procurement_kpi_Analysis[[#This Row],[Quantity]]*Procurement_kpi_Analysis[[#This Row],[Negotiated_Price]]</f>
        <v>24113.59</v>
      </c>
      <c r="M354">
        <f>IF(Procurement_kpi_Analysis[[#This Row],[Delivery_Date]]="","",Procurement_kpi_Analysis[[#This Row],[Delivery_Date]]-Procurement_kpi_Analysis[[#This Row],[Order_Date]])</f>
        <v>17</v>
      </c>
      <c r="N354" s="2">
        <f>Procurement_kpi_Analysis[[#This Row],[Defective_Units]]/Procurement_kpi_Analysis[[#This Row],[Quantity]]</f>
        <v>3.7147102526002972E-2</v>
      </c>
      <c r="O354" s="2">
        <f>(Procurement_kpi_Analysis[[#This Row],[Unit_Price]]-Procurement_kpi_Analysis[[#This Row],[Negotiated_Price]])*Procurement_kpi_Analysis[[#This Row],[Quantity]]</f>
        <v>2523.75</v>
      </c>
      <c r="P354" s="2">
        <f>Procurement_kpi_Analysis[[#This Row],[Total Savings]]/Procurement_kpi_Analysis[[#This Row],[Total Spend]]</f>
        <v>0.10466089868825007</v>
      </c>
      <c r="Q354" s="2" t="str">
        <f>IF(Procurement_kpi_Analysis[[#This Row],[Lead Time]]&lt;=14,"On Time","Late")</f>
        <v>Late</v>
      </c>
      <c r="R354" s="2">
        <f>Procurement_kpi_Analysis[[#This Row],[Unit_Price]]*Procurement_kpi_Analysis[[#This Row],[Quantity]]</f>
        <v>26637.34</v>
      </c>
      <c r="S354" s="2">
        <f>IF(Procurement_kpi_Analysis[[#This Row],[Compliance]]="Yes",1,0)</f>
        <v>1</v>
      </c>
      <c r="T354" s="2">
        <f>IF(Procurement_kpi_Analysis[[#This Row],[Compliance]]="No",1,0)</f>
        <v>0</v>
      </c>
    </row>
    <row r="355" spans="1:20" x14ac:dyDescent="0.3">
      <c r="A355" t="s">
        <v>380</v>
      </c>
      <c r="B355" t="s">
        <v>17</v>
      </c>
      <c r="C355" s="1">
        <v>44771</v>
      </c>
      <c r="D355" s="1">
        <v>44785</v>
      </c>
      <c r="E355" t="s">
        <v>13</v>
      </c>
      <c r="F355" t="s">
        <v>14</v>
      </c>
      <c r="G355">
        <v>1066</v>
      </c>
      <c r="H355">
        <v>33.33</v>
      </c>
      <c r="I355">
        <v>28.47</v>
      </c>
      <c r="J355">
        <v>162</v>
      </c>
      <c r="K355" t="s">
        <v>27</v>
      </c>
      <c r="L355">
        <f>Procurement_kpi_Analysis[[#This Row],[Quantity]]*Procurement_kpi_Analysis[[#This Row],[Negotiated_Price]]</f>
        <v>30349.02</v>
      </c>
      <c r="M355">
        <f>IF(Procurement_kpi_Analysis[[#This Row],[Delivery_Date]]="","",Procurement_kpi_Analysis[[#This Row],[Delivery_Date]]-Procurement_kpi_Analysis[[#This Row],[Order_Date]])</f>
        <v>14</v>
      </c>
      <c r="N355" s="2">
        <f>Procurement_kpi_Analysis[[#This Row],[Defective_Units]]/Procurement_kpi_Analysis[[#This Row],[Quantity]]</f>
        <v>0.15196998123827393</v>
      </c>
      <c r="O355" s="2">
        <f>(Procurement_kpi_Analysis[[#This Row],[Unit_Price]]-Procurement_kpi_Analysis[[#This Row],[Negotiated_Price]])*Procurement_kpi_Analysis[[#This Row],[Quantity]]</f>
        <v>5180.7599999999993</v>
      </c>
      <c r="P355" s="2">
        <f>Procurement_kpi_Analysis[[#This Row],[Total Savings]]/Procurement_kpi_Analysis[[#This Row],[Total Spend]]</f>
        <v>0.17070600632244465</v>
      </c>
      <c r="Q355" s="2" t="str">
        <f>IF(Procurement_kpi_Analysis[[#This Row],[Lead Time]]&lt;=14,"On Time","Late")</f>
        <v>On Time</v>
      </c>
      <c r="R355" s="2">
        <f>Procurement_kpi_Analysis[[#This Row],[Unit_Price]]*Procurement_kpi_Analysis[[#This Row],[Quantity]]</f>
        <v>35529.78</v>
      </c>
      <c r="S355" s="2">
        <f>IF(Procurement_kpi_Analysis[[#This Row],[Compliance]]="Yes",1,0)</f>
        <v>0</v>
      </c>
      <c r="T355" s="2">
        <f>IF(Procurement_kpi_Analysis[[#This Row],[Compliance]]="No",1,0)</f>
        <v>1</v>
      </c>
    </row>
    <row r="356" spans="1:20" x14ac:dyDescent="0.3">
      <c r="A356" t="s">
        <v>381</v>
      </c>
      <c r="B356" t="s">
        <v>20</v>
      </c>
      <c r="C356" s="1">
        <v>45247</v>
      </c>
      <c r="D356" s="1">
        <v>45253</v>
      </c>
      <c r="E356" t="s">
        <v>24</v>
      </c>
      <c r="F356" t="s">
        <v>18</v>
      </c>
      <c r="G356">
        <v>1645</v>
      </c>
      <c r="H356">
        <v>85.42</v>
      </c>
      <c r="I356">
        <v>80.78</v>
      </c>
      <c r="J356">
        <v>73</v>
      </c>
      <c r="K356" t="s">
        <v>27</v>
      </c>
      <c r="L356">
        <f>Procurement_kpi_Analysis[[#This Row],[Quantity]]*Procurement_kpi_Analysis[[#This Row],[Negotiated_Price]]</f>
        <v>132883.1</v>
      </c>
      <c r="M356">
        <f>IF(Procurement_kpi_Analysis[[#This Row],[Delivery_Date]]="","",Procurement_kpi_Analysis[[#This Row],[Delivery_Date]]-Procurement_kpi_Analysis[[#This Row],[Order_Date]])</f>
        <v>6</v>
      </c>
      <c r="N356" s="2">
        <f>Procurement_kpi_Analysis[[#This Row],[Defective_Units]]/Procurement_kpi_Analysis[[#This Row],[Quantity]]</f>
        <v>4.4376899696048633E-2</v>
      </c>
      <c r="O356" s="2">
        <f>(Procurement_kpi_Analysis[[#This Row],[Unit_Price]]-Procurement_kpi_Analysis[[#This Row],[Negotiated_Price]])*Procurement_kpi_Analysis[[#This Row],[Quantity]]</f>
        <v>7632.8000000000011</v>
      </c>
      <c r="P356" s="2">
        <f>Procurement_kpi_Analysis[[#This Row],[Total Savings]]/Procurement_kpi_Analysis[[#This Row],[Total Spend]]</f>
        <v>5.7439960386234223E-2</v>
      </c>
      <c r="Q356" s="2" t="str">
        <f>IF(Procurement_kpi_Analysis[[#This Row],[Lead Time]]&lt;=14,"On Time","Late")</f>
        <v>On Time</v>
      </c>
      <c r="R356" s="2">
        <f>Procurement_kpi_Analysis[[#This Row],[Unit_Price]]*Procurement_kpi_Analysis[[#This Row],[Quantity]]</f>
        <v>140515.9</v>
      </c>
      <c r="S356" s="2">
        <f>IF(Procurement_kpi_Analysis[[#This Row],[Compliance]]="Yes",1,0)</f>
        <v>0</v>
      </c>
      <c r="T356" s="2">
        <f>IF(Procurement_kpi_Analysis[[#This Row],[Compliance]]="No",1,0)</f>
        <v>1</v>
      </c>
    </row>
    <row r="357" spans="1:20" x14ac:dyDescent="0.3">
      <c r="A357" t="s">
        <v>382</v>
      </c>
      <c r="B357" t="s">
        <v>12</v>
      </c>
      <c r="C357" s="1">
        <v>44883</v>
      </c>
      <c r="D357" s="1">
        <v>44894</v>
      </c>
      <c r="E357" t="s">
        <v>39</v>
      </c>
      <c r="F357" t="s">
        <v>18</v>
      </c>
      <c r="G357">
        <v>930</v>
      </c>
      <c r="H357">
        <v>13.67</v>
      </c>
      <c r="I357">
        <v>11.95</v>
      </c>
      <c r="J357">
        <v>16</v>
      </c>
      <c r="K357" t="s">
        <v>15</v>
      </c>
      <c r="L357">
        <f>Procurement_kpi_Analysis[[#This Row],[Quantity]]*Procurement_kpi_Analysis[[#This Row],[Negotiated_Price]]</f>
        <v>11113.5</v>
      </c>
      <c r="M357">
        <f>IF(Procurement_kpi_Analysis[[#This Row],[Delivery_Date]]="","",Procurement_kpi_Analysis[[#This Row],[Delivery_Date]]-Procurement_kpi_Analysis[[#This Row],[Order_Date]])</f>
        <v>11</v>
      </c>
      <c r="N357" s="2">
        <f>Procurement_kpi_Analysis[[#This Row],[Defective_Units]]/Procurement_kpi_Analysis[[#This Row],[Quantity]]</f>
        <v>1.7204301075268817E-2</v>
      </c>
      <c r="O357" s="2">
        <f>(Procurement_kpi_Analysis[[#This Row],[Unit_Price]]-Procurement_kpi_Analysis[[#This Row],[Negotiated_Price]])*Procurement_kpi_Analysis[[#This Row],[Quantity]]</f>
        <v>1599.6000000000006</v>
      </c>
      <c r="P357" s="2">
        <f>Procurement_kpi_Analysis[[#This Row],[Total Savings]]/Procurement_kpi_Analysis[[#This Row],[Total Spend]]</f>
        <v>0.1439330543933055</v>
      </c>
      <c r="Q357" s="2" t="str">
        <f>IF(Procurement_kpi_Analysis[[#This Row],[Lead Time]]&lt;=14,"On Time","Late")</f>
        <v>On Time</v>
      </c>
      <c r="R357" s="2">
        <f>Procurement_kpi_Analysis[[#This Row],[Unit_Price]]*Procurement_kpi_Analysis[[#This Row],[Quantity]]</f>
        <v>12713.1</v>
      </c>
      <c r="S357" s="2">
        <f>IF(Procurement_kpi_Analysis[[#This Row],[Compliance]]="Yes",1,0)</f>
        <v>1</v>
      </c>
      <c r="T357" s="2">
        <f>IF(Procurement_kpi_Analysis[[#This Row],[Compliance]]="No",1,0)</f>
        <v>0</v>
      </c>
    </row>
    <row r="358" spans="1:20" x14ac:dyDescent="0.3">
      <c r="A358" t="s">
        <v>383</v>
      </c>
      <c r="B358" t="s">
        <v>12</v>
      </c>
      <c r="C358" s="1">
        <v>44806</v>
      </c>
      <c r="D358" s="1">
        <v>44825</v>
      </c>
      <c r="E358" t="s">
        <v>13</v>
      </c>
      <c r="F358" t="s">
        <v>18</v>
      </c>
      <c r="G358">
        <v>51</v>
      </c>
      <c r="H358">
        <v>63.74</v>
      </c>
      <c r="I358">
        <v>56.1</v>
      </c>
      <c r="J358">
        <v>0</v>
      </c>
      <c r="K358" t="s">
        <v>15</v>
      </c>
      <c r="L358">
        <f>Procurement_kpi_Analysis[[#This Row],[Quantity]]*Procurement_kpi_Analysis[[#This Row],[Negotiated_Price]]</f>
        <v>2861.1</v>
      </c>
      <c r="M358">
        <f>IF(Procurement_kpi_Analysis[[#This Row],[Delivery_Date]]="","",Procurement_kpi_Analysis[[#This Row],[Delivery_Date]]-Procurement_kpi_Analysis[[#This Row],[Order_Date]])</f>
        <v>19</v>
      </c>
      <c r="N358" s="2">
        <f>Procurement_kpi_Analysis[[#This Row],[Defective_Units]]/Procurement_kpi_Analysis[[#This Row],[Quantity]]</f>
        <v>0</v>
      </c>
      <c r="O358" s="2">
        <f>(Procurement_kpi_Analysis[[#This Row],[Unit_Price]]-Procurement_kpi_Analysis[[#This Row],[Negotiated_Price]])*Procurement_kpi_Analysis[[#This Row],[Quantity]]</f>
        <v>389.64000000000004</v>
      </c>
      <c r="P358" s="2">
        <f>Procurement_kpi_Analysis[[#This Row],[Total Savings]]/Procurement_kpi_Analysis[[#This Row],[Total Spend]]</f>
        <v>0.13618538324420679</v>
      </c>
      <c r="Q358" s="2" t="str">
        <f>IF(Procurement_kpi_Analysis[[#This Row],[Lead Time]]&lt;=14,"On Time","Late")</f>
        <v>Late</v>
      </c>
      <c r="R358" s="2">
        <f>Procurement_kpi_Analysis[[#This Row],[Unit_Price]]*Procurement_kpi_Analysis[[#This Row],[Quantity]]</f>
        <v>3250.7400000000002</v>
      </c>
      <c r="S358" s="2">
        <f>IF(Procurement_kpi_Analysis[[#This Row],[Compliance]]="Yes",1,0)</f>
        <v>1</v>
      </c>
      <c r="T358" s="2">
        <f>IF(Procurement_kpi_Analysis[[#This Row],[Compliance]]="No",1,0)</f>
        <v>0</v>
      </c>
    </row>
    <row r="359" spans="1:20" x14ac:dyDescent="0.3">
      <c r="A359" t="s">
        <v>384</v>
      </c>
      <c r="B359" t="s">
        <v>20</v>
      </c>
      <c r="C359" s="1">
        <v>44833</v>
      </c>
      <c r="D359" s="1">
        <v>44835</v>
      </c>
      <c r="E359" t="s">
        <v>24</v>
      </c>
      <c r="F359" t="s">
        <v>18</v>
      </c>
      <c r="G359">
        <v>946</v>
      </c>
      <c r="H359">
        <v>81.77</v>
      </c>
      <c r="I359">
        <v>71.650000000000006</v>
      </c>
      <c r="J359">
        <v>55</v>
      </c>
      <c r="K359" t="s">
        <v>15</v>
      </c>
      <c r="L359">
        <f>Procurement_kpi_Analysis[[#This Row],[Quantity]]*Procurement_kpi_Analysis[[#This Row],[Negotiated_Price]]</f>
        <v>67780.900000000009</v>
      </c>
      <c r="M359">
        <f>IF(Procurement_kpi_Analysis[[#This Row],[Delivery_Date]]="","",Procurement_kpi_Analysis[[#This Row],[Delivery_Date]]-Procurement_kpi_Analysis[[#This Row],[Order_Date]])</f>
        <v>2</v>
      </c>
      <c r="N359" s="2">
        <f>Procurement_kpi_Analysis[[#This Row],[Defective_Units]]/Procurement_kpi_Analysis[[#This Row],[Quantity]]</f>
        <v>5.8139534883720929E-2</v>
      </c>
      <c r="O359" s="2">
        <f>(Procurement_kpi_Analysis[[#This Row],[Unit_Price]]-Procurement_kpi_Analysis[[#This Row],[Negotiated_Price]])*Procurement_kpi_Analysis[[#This Row],[Quantity]]</f>
        <v>9573.5199999999913</v>
      </c>
      <c r="P359" s="2">
        <f>Procurement_kpi_Analysis[[#This Row],[Total Savings]]/Procurement_kpi_Analysis[[#This Row],[Total Spend]]</f>
        <v>0.14124214933705498</v>
      </c>
      <c r="Q359" s="2" t="str">
        <f>IF(Procurement_kpi_Analysis[[#This Row],[Lead Time]]&lt;=14,"On Time","Late")</f>
        <v>On Time</v>
      </c>
      <c r="R359" s="2">
        <f>Procurement_kpi_Analysis[[#This Row],[Unit_Price]]*Procurement_kpi_Analysis[[#This Row],[Quantity]]</f>
        <v>77354.42</v>
      </c>
      <c r="S359" s="2">
        <f>IF(Procurement_kpi_Analysis[[#This Row],[Compliance]]="Yes",1,0)</f>
        <v>1</v>
      </c>
      <c r="T359" s="2">
        <f>IF(Procurement_kpi_Analysis[[#This Row],[Compliance]]="No",1,0)</f>
        <v>0</v>
      </c>
    </row>
    <row r="360" spans="1:20" x14ac:dyDescent="0.3">
      <c r="A360" t="s">
        <v>385</v>
      </c>
      <c r="B360" t="s">
        <v>29</v>
      </c>
      <c r="C360" s="1">
        <v>44967</v>
      </c>
      <c r="D360" s="1">
        <v>44987</v>
      </c>
      <c r="E360" t="s">
        <v>26</v>
      </c>
      <c r="F360" t="s">
        <v>33</v>
      </c>
      <c r="G360">
        <v>1377</v>
      </c>
      <c r="H360">
        <v>94.69</v>
      </c>
      <c r="I360">
        <v>84.2</v>
      </c>
      <c r="J360">
        <v>0</v>
      </c>
      <c r="K360" t="s">
        <v>15</v>
      </c>
      <c r="L360">
        <f>Procurement_kpi_Analysis[[#This Row],[Quantity]]*Procurement_kpi_Analysis[[#This Row],[Negotiated_Price]]</f>
        <v>115943.40000000001</v>
      </c>
      <c r="M360">
        <f>IF(Procurement_kpi_Analysis[[#This Row],[Delivery_Date]]="","",Procurement_kpi_Analysis[[#This Row],[Delivery_Date]]-Procurement_kpi_Analysis[[#This Row],[Order_Date]])</f>
        <v>20</v>
      </c>
      <c r="N360" s="2">
        <f>Procurement_kpi_Analysis[[#This Row],[Defective_Units]]/Procurement_kpi_Analysis[[#This Row],[Quantity]]</f>
        <v>0</v>
      </c>
      <c r="O360" s="2">
        <f>(Procurement_kpi_Analysis[[#This Row],[Unit_Price]]-Procurement_kpi_Analysis[[#This Row],[Negotiated_Price]])*Procurement_kpi_Analysis[[#This Row],[Quantity]]</f>
        <v>14444.729999999992</v>
      </c>
      <c r="P360" s="2">
        <f>Procurement_kpi_Analysis[[#This Row],[Total Savings]]/Procurement_kpi_Analysis[[#This Row],[Total Spend]]</f>
        <v>0.12458432304037997</v>
      </c>
      <c r="Q360" s="2" t="str">
        <f>IF(Procurement_kpi_Analysis[[#This Row],[Lead Time]]&lt;=14,"On Time","Late")</f>
        <v>Late</v>
      </c>
      <c r="R360" s="2">
        <f>Procurement_kpi_Analysis[[#This Row],[Unit_Price]]*Procurement_kpi_Analysis[[#This Row],[Quantity]]</f>
        <v>130388.12999999999</v>
      </c>
      <c r="S360" s="2">
        <f>IF(Procurement_kpi_Analysis[[#This Row],[Compliance]]="Yes",1,0)</f>
        <v>1</v>
      </c>
      <c r="T360" s="2">
        <f>IF(Procurement_kpi_Analysis[[#This Row],[Compliance]]="No",1,0)</f>
        <v>0</v>
      </c>
    </row>
    <row r="361" spans="1:20" x14ac:dyDescent="0.3">
      <c r="A361" t="s">
        <v>386</v>
      </c>
      <c r="B361" t="s">
        <v>29</v>
      </c>
      <c r="C361" s="1">
        <v>44696</v>
      </c>
      <c r="D361" s="1">
        <v>44699</v>
      </c>
      <c r="E361" t="s">
        <v>24</v>
      </c>
      <c r="F361" t="s">
        <v>14</v>
      </c>
      <c r="G361">
        <v>303</v>
      </c>
      <c r="H361">
        <v>41.6</v>
      </c>
      <c r="I361">
        <v>40.51</v>
      </c>
      <c r="J361">
        <v>11</v>
      </c>
      <c r="K361" t="s">
        <v>15</v>
      </c>
      <c r="L361">
        <f>Procurement_kpi_Analysis[[#This Row],[Quantity]]*Procurement_kpi_Analysis[[#This Row],[Negotiated_Price]]</f>
        <v>12274.529999999999</v>
      </c>
      <c r="M361">
        <f>IF(Procurement_kpi_Analysis[[#This Row],[Delivery_Date]]="","",Procurement_kpi_Analysis[[#This Row],[Delivery_Date]]-Procurement_kpi_Analysis[[#This Row],[Order_Date]])</f>
        <v>3</v>
      </c>
      <c r="N361" s="2">
        <f>Procurement_kpi_Analysis[[#This Row],[Defective_Units]]/Procurement_kpi_Analysis[[#This Row],[Quantity]]</f>
        <v>3.6303630363036306E-2</v>
      </c>
      <c r="O361" s="2">
        <f>(Procurement_kpi_Analysis[[#This Row],[Unit_Price]]-Procurement_kpi_Analysis[[#This Row],[Negotiated_Price]])*Procurement_kpi_Analysis[[#This Row],[Quantity]]</f>
        <v>330.270000000001</v>
      </c>
      <c r="P361" s="2">
        <f>Procurement_kpi_Analysis[[#This Row],[Total Savings]]/Procurement_kpi_Analysis[[#This Row],[Total Spend]]</f>
        <v>2.6906936558874436E-2</v>
      </c>
      <c r="Q361" s="2" t="str">
        <f>IF(Procurement_kpi_Analysis[[#This Row],[Lead Time]]&lt;=14,"On Time","Late")</f>
        <v>On Time</v>
      </c>
      <c r="R361" s="2">
        <f>Procurement_kpi_Analysis[[#This Row],[Unit_Price]]*Procurement_kpi_Analysis[[#This Row],[Quantity]]</f>
        <v>12604.800000000001</v>
      </c>
      <c r="S361" s="2">
        <f>IF(Procurement_kpi_Analysis[[#This Row],[Compliance]]="Yes",1,0)</f>
        <v>1</v>
      </c>
      <c r="T361" s="2">
        <f>IF(Procurement_kpi_Analysis[[#This Row],[Compliance]]="No",1,0)</f>
        <v>0</v>
      </c>
    </row>
    <row r="362" spans="1:20" x14ac:dyDescent="0.3">
      <c r="A362" t="s">
        <v>387</v>
      </c>
      <c r="B362" t="s">
        <v>12</v>
      </c>
      <c r="C362" s="1">
        <v>45249</v>
      </c>
      <c r="D362" s="1">
        <v>45263</v>
      </c>
      <c r="E362" t="s">
        <v>26</v>
      </c>
      <c r="F362" t="s">
        <v>18</v>
      </c>
      <c r="G362">
        <v>1725</v>
      </c>
      <c r="H362">
        <v>93.14</v>
      </c>
      <c r="I362">
        <v>79.62</v>
      </c>
      <c r="J362">
        <v>24</v>
      </c>
      <c r="K362" t="s">
        <v>15</v>
      </c>
      <c r="L362">
        <f>Procurement_kpi_Analysis[[#This Row],[Quantity]]*Procurement_kpi_Analysis[[#This Row],[Negotiated_Price]]</f>
        <v>137344.5</v>
      </c>
      <c r="M362">
        <f>IF(Procurement_kpi_Analysis[[#This Row],[Delivery_Date]]="","",Procurement_kpi_Analysis[[#This Row],[Delivery_Date]]-Procurement_kpi_Analysis[[#This Row],[Order_Date]])</f>
        <v>14</v>
      </c>
      <c r="N362" s="2">
        <f>Procurement_kpi_Analysis[[#This Row],[Defective_Units]]/Procurement_kpi_Analysis[[#This Row],[Quantity]]</f>
        <v>1.391304347826087E-2</v>
      </c>
      <c r="O362" s="2">
        <f>(Procurement_kpi_Analysis[[#This Row],[Unit_Price]]-Procurement_kpi_Analysis[[#This Row],[Negotiated_Price]])*Procurement_kpi_Analysis[[#This Row],[Quantity]]</f>
        <v>23321.999999999993</v>
      </c>
      <c r="P362" s="2">
        <f>Procurement_kpi_Analysis[[#This Row],[Total Savings]]/Procurement_kpi_Analysis[[#This Row],[Total Spend]]</f>
        <v>0.16980658126098966</v>
      </c>
      <c r="Q362" s="2" t="str">
        <f>IF(Procurement_kpi_Analysis[[#This Row],[Lead Time]]&lt;=14,"On Time","Late")</f>
        <v>On Time</v>
      </c>
      <c r="R362" s="2">
        <f>Procurement_kpi_Analysis[[#This Row],[Unit_Price]]*Procurement_kpi_Analysis[[#This Row],[Quantity]]</f>
        <v>160666.5</v>
      </c>
      <c r="S362" s="2">
        <f>IF(Procurement_kpi_Analysis[[#This Row],[Compliance]]="Yes",1,0)</f>
        <v>1</v>
      </c>
      <c r="T362" s="2">
        <f>IF(Procurement_kpi_Analysis[[#This Row],[Compliance]]="No",1,0)</f>
        <v>0</v>
      </c>
    </row>
    <row r="363" spans="1:20" x14ac:dyDescent="0.3">
      <c r="A363" t="s">
        <v>388</v>
      </c>
      <c r="B363" t="s">
        <v>23</v>
      </c>
      <c r="C363" s="1">
        <v>45222</v>
      </c>
      <c r="D363" s="1">
        <v>45237</v>
      </c>
      <c r="E363" t="s">
        <v>26</v>
      </c>
      <c r="F363" t="s">
        <v>14</v>
      </c>
      <c r="G363">
        <v>502</v>
      </c>
      <c r="H363">
        <v>22.05</v>
      </c>
      <c r="I363">
        <v>20.65</v>
      </c>
      <c r="J363">
        <v>50</v>
      </c>
      <c r="K363" t="s">
        <v>27</v>
      </c>
      <c r="L363">
        <f>Procurement_kpi_Analysis[[#This Row],[Quantity]]*Procurement_kpi_Analysis[[#This Row],[Negotiated_Price]]</f>
        <v>10366.299999999999</v>
      </c>
      <c r="M363">
        <f>IF(Procurement_kpi_Analysis[[#This Row],[Delivery_Date]]="","",Procurement_kpi_Analysis[[#This Row],[Delivery_Date]]-Procurement_kpi_Analysis[[#This Row],[Order_Date]])</f>
        <v>15</v>
      </c>
      <c r="N363" s="2">
        <f>Procurement_kpi_Analysis[[#This Row],[Defective_Units]]/Procurement_kpi_Analysis[[#This Row],[Quantity]]</f>
        <v>9.9601593625498003E-2</v>
      </c>
      <c r="O363" s="2">
        <f>(Procurement_kpi_Analysis[[#This Row],[Unit_Price]]-Procurement_kpi_Analysis[[#This Row],[Negotiated_Price]])*Procurement_kpi_Analysis[[#This Row],[Quantity]]</f>
        <v>702.80000000000109</v>
      </c>
      <c r="P363" s="2">
        <f>Procurement_kpi_Analysis[[#This Row],[Total Savings]]/Procurement_kpi_Analysis[[#This Row],[Total Spend]]</f>
        <v>6.7796610169491636E-2</v>
      </c>
      <c r="Q363" s="2" t="str">
        <f>IF(Procurement_kpi_Analysis[[#This Row],[Lead Time]]&lt;=14,"On Time","Late")</f>
        <v>Late</v>
      </c>
      <c r="R363" s="2">
        <f>Procurement_kpi_Analysis[[#This Row],[Unit_Price]]*Procurement_kpi_Analysis[[#This Row],[Quantity]]</f>
        <v>11069.1</v>
      </c>
      <c r="S363" s="2">
        <f>IF(Procurement_kpi_Analysis[[#This Row],[Compliance]]="Yes",1,0)</f>
        <v>0</v>
      </c>
      <c r="T363" s="2">
        <f>IF(Procurement_kpi_Analysis[[#This Row],[Compliance]]="No",1,0)</f>
        <v>1</v>
      </c>
    </row>
    <row r="364" spans="1:20" x14ac:dyDescent="0.3">
      <c r="A364" t="s">
        <v>389</v>
      </c>
      <c r="B364" t="s">
        <v>20</v>
      </c>
      <c r="C364" s="1">
        <v>44869</v>
      </c>
      <c r="D364" s="1">
        <v>44876</v>
      </c>
      <c r="E364" t="s">
        <v>24</v>
      </c>
      <c r="F364" t="s">
        <v>18</v>
      </c>
      <c r="G364">
        <v>1110</v>
      </c>
      <c r="H364">
        <v>90.49</v>
      </c>
      <c r="I364">
        <v>80.03</v>
      </c>
      <c r="J364">
        <v>61</v>
      </c>
      <c r="K364" t="s">
        <v>15</v>
      </c>
      <c r="L364">
        <f>Procurement_kpi_Analysis[[#This Row],[Quantity]]*Procurement_kpi_Analysis[[#This Row],[Negotiated_Price]]</f>
        <v>88833.3</v>
      </c>
      <c r="M364">
        <f>IF(Procurement_kpi_Analysis[[#This Row],[Delivery_Date]]="","",Procurement_kpi_Analysis[[#This Row],[Delivery_Date]]-Procurement_kpi_Analysis[[#This Row],[Order_Date]])</f>
        <v>7</v>
      </c>
      <c r="N364" s="2">
        <f>Procurement_kpi_Analysis[[#This Row],[Defective_Units]]/Procurement_kpi_Analysis[[#This Row],[Quantity]]</f>
        <v>5.4954954954954956E-2</v>
      </c>
      <c r="O364" s="2">
        <f>(Procurement_kpi_Analysis[[#This Row],[Unit_Price]]-Procurement_kpi_Analysis[[#This Row],[Negotiated_Price]])*Procurement_kpi_Analysis[[#This Row],[Quantity]]</f>
        <v>11610.599999999993</v>
      </c>
      <c r="P364" s="2">
        <f>Procurement_kpi_Analysis[[#This Row],[Total Savings]]/Procurement_kpi_Analysis[[#This Row],[Total Spend]]</f>
        <v>0.13070098712982622</v>
      </c>
      <c r="Q364" s="2" t="str">
        <f>IF(Procurement_kpi_Analysis[[#This Row],[Lead Time]]&lt;=14,"On Time","Late")</f>
        <v>On Time</v>
      </c>
      <c r="R364" s="2">
        <f>Procurement_kpi_Analysis[[#This Row],[Unit_Price]]*Procurement_kpi_Analysis[[#This Row],[Quantity]]</f>
        <v>100443.9</v>
      </c>
      <c r="S364" s="2">
        <f>IF(Procurement_kpi_Analysis[[#This Row],[Compliance]]="Yes",1,0)</f>
        <v>1</v>
      </c>
      <c r="T364" s="2">
        <f>IF(Procurement_kpi_Analysis[[#This Row],[Compliance]]="No",1,0)</f>
        <v>0</v>
      </c>
    </row>
    <row r="365" spans="1:20" x14ac:dyDescent="0.3">
      <c r="A365" t="s">
        <v>390</v>
      </c>
      <c r="B365" t="s">
        <v>12</v>
      </c>
      <c r="C365" s="1">
        <v>45030</v>
      </c>
      <c r="D365" s="1">
        <v>45034</v>
      </c>
      <c r="E365" t="s">
        <v>24</v>
      </c>
      <c r="F365" t="s">
        <v>18</v>
      </c>
      <c r="G365">
        <v>1233</v>
      </c>
      <c r="H365">
        <v>23.08</v>
      </c>
      <c r="I365">
        <v>20.57</v>
      </c>
      <c r="J365">
        <v>0</v>
      </c>
      <c r="K365" t="s">
        <v>15</v>
      </c>
      <c r="L365">
        <f>Procurement_kpi_Analysis[[#This Row],[Quantity]]*Procurement_kpi_Analysis[[#This Row],[Negotiated_Price]]</f>
        <v>25362.81</v>
      </c>
      <c r="M365">
        <f>IF(Procurement_kpi_Analysis[[#This Row],[Delivery_Date]]="","",Procurement_kpi_Analysis[[#This Row],[Delivery_Date]]-Procurement_kpi_Analysis[[#This Row],[Order_Date]])</f>
        <v>4</v>
      </c>
      <c r="N365" s="2">
        <f>Procurement_kpi_Analysis[[#This Row],[Defective_Units]]/Procurement_kpi_Analysis[[#This Row],[Quantity]]</f>
        <v>0</v>
      </c>
      <c r="O365" s="2">
        <f>(Procurement_kpi_Analysis[[#This Row],[Unit_Price]]-Procurement_kpi_Analysis[[#This Row],[Negotiated_Price]])*Procurement_kpi_Analysis[[#This Row],[Quantity]]</f>
        <v>3094.8299999999977</v>
      </c>
      <c r="P365" s="2">
        <f>Procurement_kpi_Analysis[[#This Row],[Total Savings]]/Procurement_kpi_Analysis[[#This Row],[Total Spend]]</f>
        <v>0.12202236266407379</v>
      </c>
      <c r="Q365" s="2" t="str">
        <f>IF(Procurement_kpi_Analysis[[#This Row],[Lead Time]]&lt;=14,"On Time","Late")</f>
        <v>On Time</v>
      </c>
      <c r="R365" s="2">
        <f>Procurement_kpi_Analysis[[#This Row],[Unit_Price]]*Procurement_kpi_Analysis[[#This Row],[Quantity]]</f>
        <v>28457.64</v>
      </c>
      <c r="S365" s="2">
        <f>IF(Procurement_kpi_Analysis[[#This Row],[Compliance]]="Yes",1,0)</f>
        <v>1</v>
      </c>
      <c r="T365" s="2">
        <f>IF(Procurement_kpi_Analysis[[#This Row],[Compliance]]="No",1,0)</f>
        <v>0</v>
      </c>
    </row>
    <row r="366" spans="1:20" x14ac:dyDescent="0.3">
      <c r="A366" t="s">
        <v>391</v>
      </c>
      <c r="B366" t="s">
        <v>23</v>
      </c>
      <c r="C366" s="1">
        <v>44885</v>
      </c>
      <c r="D366" s="1">
        <v>44889</v>
      </c>
      <c r="E366" t="s">
        <v>13</v>
      </c>
      <c r="F366" t="s">
        <v>18</v>
      </c>
      <c r="G366">
        <v>1064</v>
      </c>
      <c r="H366">
        <v>48.04</v>
      </c>
      <c r="I366">
        <v>43.6</v>
      </c>
      <c r="J366">
        <v>94</v>
      </c>
      <c r="K366" t="s">
        <v>15</v>
      </c>
      <c r="L366">
        <f>Procurement_kpi_Analysis[[#This Row],[Quantity]]*Procurement_kpi_Analysis[[#This Row],[Negotiated_Price]]</f>
        <v>46390.400000000001</v>
      </c>
      <c r="M366">
        <f>IF(Procurement_kpi_Analysis[[#This Row],[Delivery_Date]]="","",Procurement_kpi_Analysis[[#This Row],[Delivery_Date]]-Procurement_kpi_Analysis[[#This Row],[Order_Date]])</f>
        <v>4</v>
      </c>
      <c r="N366" s="2">
        <f>Procurement_kpi_Analysis[[#This Row],[Defective_Units]]/Procurement_kpi_Analysis[[#This Row],[Quantity]]</f>
        <v>8.834586466165413E-2</v>
      </c>
      <c r="O366" s="2">
        <f>(Procurement_kpi_Analysis[[#This Row],[Unit_Price]]-Procurement_kpi_Analysis[[#This Row],[Negotiated_Price]])*Procurement_kpi_Analysis[[#This Row],[Quantity]]</f>
        <v>4724.159999999998</v>
      </c>
      <c r="P366" s="2">
        <f>Procurement_kpi_Analysis[[#This Row],[Total Savings]]/Procurement_kpi_Analysis[[#This Row],[Total Spend]]</f>
        <v>0.10183486238532105</v>
      </c>
      <c r="Q366" s="2" t="str">
        <f>IF(Procurement_kpi_Analysis[[#This Row],[Lead Time]]&lt;=14,"On Time","Late")</f>
        <v>On Time</v>
      </c>
      <c r="R366" s="2">
        <f>Procurement_kpi_Analysis[[#This Row],[Unit_Price]]*Procurement_kpi_Analysis[[#This Row],[Quantity]]</f>
        <v>51114.559999999998</v>
      </c>
      <c r="S366" s="2">
        <f>IF(Procurement_kpi_Analysis[[#This Row],[Compliance]]="Yes",1,0)</f>
        <v>1</v>
      </c>
      <c r="T366" s="2">
        <f>IF(Procurement_kpi_Analysis[[#This Row],[Compliance]]="No",1,0)</f>
        <v>0</v>
      </c>
    </row>
    <row r="367" spans="1:20" x14ac:dyDescent="0.3">
      <c r="A367" t="s">
        <v>392</v>
      </c>
      <c r="B367" t="s">
        <v>29</v>
      </c>
      <c r="C367" s="1">
        <v>44636</v>
      </c>
      <c r="D367" s="1">
        <v>44655</v>
      </c>
      <c r="E367" t="s">
        <v>24</v>
      </c>
      <c r="F367" t="s">
        <v>33</v>
      </c>
      <c r="G367">
        <v>58</v>
      </c>
      <c r="H367">
        <v>82.57</v>
      </c>
      <c r="I367">
        <v>76.55</v>
      </c>
      <c r="J367">
        <v>0</v>
      </c>
      <c r="K367" t="s">
        <v>15</v>
      </c>
      <c r="L367">
        <f>Procurement_kpi_Analysis[[#This Row],[Quantity]]*Procurement_kpi_Analysis[[#This Row],[Negotiated_Price]]</f>
        <v>4439.8999999999996</v>
      </c>
      <c r="M367">
        <f>IF(Procurement_kpi_Analysis[[#This Row],[Delivery_Date]]="","",Procurement_kpi_Analysis[[#This Row],[Delivery_Date]]-Procurement_kpi_Analysis[[#This Row],[Order_Date]])</f>
        <v>19</v>
      </c>
      <c r="N367" s="2">
        <f>Procurement_kpi_Analysis[[#This Row],[Defective_Units]]/Procurement_kpi_Analysis[[#This Row],[Quantity]]</f>
        <v>0</v>
      </c>
      <c r="O367" s="2">
        <f>(Procurement_kpi_Analysis[[#This Row],[Unit_Price]]-Procurement_kpi_Analysis[[#This Row],[Negotiated_Price]])*Procurement_kpi_Analysis[[#This Row],[Quantity]]</f>
        <v>349.15999999999974</v>
      </c>
      <c r="P367" s="2">
        <f>Procurement_kpi_Analysis[[#This Row],[Total Savings]]/Procurement_kpi_Analysis[[#This Row],[Total Spend]]</f>
        <v>7.8641410842586495E-2</v>
      </c>
      <c r="Q367" s="2" t="str">
        <f>IF(Procurement_kpi_Analysis[[#This Row],[Lead Time]]&lt;=14,"On Time","Late")</f>
        <v>Late</v>
      </c>
      <c r="R367" s="2">
        <f>Procurement_kpi_Analysis[[#This Row],[Unit_Price]]*Procurement_kpi_Analysis[[#This Row],[Quantity]]</f>
        <v>4789.0599999999995</v>
      </c>
      <c r="S367" s="2">
        <f>IF(Procurement_kpi_Analysis[[#This Row],[Compliance]]="Yes",1,0)</f>
        <v>1</v>
      </c>
      <c r="T367" s="2">
        <f>IF(Procurement_kpi_Analysis[[#This Row],[Compliance]]="No",1,0)</f>
        <v>0</v>
      </c>
    </row>
    <row r="368" spans="1:20" x14ac:dyDescent="0.3">
      <c r="A368" t="s">
        <v>393</v>
      </c>
      <c r="B368" t="s">
        <v>23</v>
      </c>
      <c r="C368" s="1">
        <v>44571</v>
      </c>
      <c r="D368" s="1">
        <v>44581</v>
      </c>
      <c r="E368" t="s">
        <v>21</v>
      </c>
      <c r="F368" t="s">
        <v>18</v>
      </c>
      <c r="G368">
        <v>1306</v>
      </c>
      <c r="H368">
        <v>23.49</v>
      </c>
      <c r="I368">
        <v>20.170000000000002</v>
      </c>
      <c r="J368">
        <v>116</v>
      </c>
      <c r="K368" t="s">
        <v>27</v>
      </c>
      <c r="L368">
        <f>Procurement_kpi_Analysis[[#This Row],[Quantity]]*Procurement_kpi_Analysis[[#This Row],[Negotiated_Price]]</f>
        <v>26342.02</v>
      </c>
      <c r="M368">
        <f>IF(Procurement_kpi_Analysis[[#This Row],[Delivery_Date]]="","",Procurement_kpi_Analysis[[#This Row],[Delivery_Date]]-Procurement_kpi_Analysis[[#This Row],[Order_Date]])</f>
        <v>10</v>
      </c>
      <c r="N368" s="2">
        <f>Procurement_kpi_Analysis[[#This Row],[Defective_Units]]/Procurement_kpi_Analysis[[#This Row],[Quantity]]</f>
        <v>8.8820826952526799E-2</v>
      </c>
      <c r="O368" s="2">
        <f>(Procurement_kpi_Analysis[[#This Row],[Unit_Price]]-Procurement_kpi_Analysis[[#This Row],[Negotiated_Price]])*Procurement_kpi_Analysis[[#This Row],[Quantity]]</f>
        <v>4335.9199999999955</v>
      </c>
      <c r="P368" s="2">
        <f>Procurement_kpi_Analysis[[#This Row],[Total Savings]]/Procurement_kpi_Analysis[[#This Row],[Total Spend]]</f>
        <v>0.16460089241447678</v>
      </c>
      <c r="Q368" s="2" t="str">
        <f>IF(Procurement_kpi_Analysis[[#This Row],[Lead Time]]&lt;=14,"On Time","Late")</f>
        <v>On Time</v>
      </c>
      <c r="R368" s="2">
        <f>Procurement_kpi_Analysis[[#This Row],[Unit_Price]]*Procurement_kpi_Analysis[[#This Row],[Quantity]]</f>
        <v>30677.94</v>
      </c>
      <c r="S368" s="2">
        <f>IF(Procurement_kpi_Analysis[[#This Row],[Compliance]]="Yes",1,0)</f>
        <v>0</v>
      </c>
      <c r="T368" s="2">
        <f>IF(Procurement_kpi_Analysis[[#This Row],[Compliance]]="No",1,0)</f>
        <v>1</v>
      </c>
    </row>
    <row r="369" spans="1:20" x14ac:dyDescent="0.3">
      <c r="A369" t="s">
        <v>394</v>
      </c>
      <c r="B369" t="s">
        <v>17</v>
      </c>
      <c r="C369" s="1">
        <v>45031</v>
      </c>
      <c r="D369" s="1">
        <v>45044</v>
      </c>
      <c r="E369" t="s">
        <v>39</v>
      </c>
      <c r="F369" t="s">
        <v>18</v>
      </c>
      <c r="G369">
        <v>1172</v>
      </c>
      <c r="H369">
        <v>32.93</v>
      </c>
      <c r="I369">
        <v>29.28</v>
      </c>
      <c r="J369">
        <v>0</v>
      </c>
      <c r="K369" t="s">
        <v>27</v>
      </c>
      <c r="L369">
        <f>Procurement_kpi_Analysis[[#This Row],[Quantity]]*Procurement_kpi_Analysis[[#This Row],[Negotiated_Price]]</f>
        <v>34316.160000000003</v>
      </c>
      <c r="M369">
        <f>IF(Procurement_kpi_Analysis[[#This Row],[Delivery_Date]]="","",Procurement_kpi_Analysis[[#This Row],[Delivery_Date]]-Procurement_kpi_Analysis[[#This Row],[Order_Date]])</f>
        <v>13</v>
      </c>
      <c r="N369" s="2">
        <f>Procurement_kpi_Analysis[[#This Row],[Defective_Units]]/Procurement_kpi_Analysis[[#This Row],[Quantity]]</f>
        <v>0</v>
      </c>
      <c r="O369" s="2">
        <f>(Procurement_kpi_Analysis[[#This Row],[Unit_Price]]-Procurement_kpi_Analysis[[#This Row],[Negotiated_Price]])*Procurement_kpi_Analysis[[#This Row],[Quantity]]</f>
        <v>4277.7999999999984</v>
      </c>
      <c r="P369" s="2">
        <f>Procurement_kpi_Analysis[[#This Row],[Total Savings]]/Procurement_kpi_Analysis[[#This Row],[Total Spend]]</f>
        <v>0.12465846994535514</v>
      </c>
      <c r="Q369" s="2" t="str">
        <f>IF(Procurement_kpi_Analysis[[#This Row],[Lead Time]]&lt;=14,"On Time","Late")</f>
        <v>On Time</v>
      </c>
      <c r="R369" s="2">
        <f>Procurement_kpi_Analysis[[#This Row],[Unit_Price]]*Procurement_kpi_Analysis[[#This Row],[Quantity]]</f>
        <v>38593.96</v>
      </c>
      <c r="S369" s="2">
        <f>IF(Procurement_kpi_Analysis[[#This Row],[Compliance]]="Yes",1,0)</f>
        <v>0</v>
      </c>
      <c r="T369" s="2">
        <f>IF(Procurement_kpi_Analysis[[#This Row],[Compliance]]="No",1,0)</f>
        <v>1</v>
      </c>
    </row>
    <row r="370" spans="1:20" x14ac:dyDescent="0.3">
      <c r="A370" t="s">
        <v>395</v>
      </c>
      <c r="B370" t="s">
        <v>12</v>
      </c>
      <c r="C370" s="1">
        <v>45198</v>
      </c>
      <c r="D370" s="1"/>
      <c r="E370" t="s">
        <v>24</v>
      </c>
      <c r="F370" t="s">
        <v>18</v>
      </c>
      <c r="G370">
        <v>1732</v>
      </c>
      <c r="H370">
        <v>82.5</v>
      </c>
      <c r="I370">
        <v>71.709999999999994</v>
      </c>
      <c r="J370">
        <v>24</v>
      </c>
      <c r="K370" t="s">
        <v>15</v>
      </c>
      <c r="L370">
        <f>Procurement_kpi_Analysis[[#This Row],[Quantity]]*Procurement_kpi_Analysis[[#This Row],[Negotiated_Price]]</f>
        <v>124201.71999999999</v>
      </c>
      <c r="M370" t="str">
        <f>IF(Procurement_kpi_Analysis[[#This Row],[Delivery_Date]]="","",Procurement_kpi_Analysis[[#This Row],[Delivery_Date]]-Procurement_kpi_Analysis[[#This Row],[Order_Date]])</f>
        <v/>
      </c>
      <c r="N370" s="2">
        <f>Procurement_kpi_Analysis[[#This Row],[Defective_Units]]/Procurement_kpi_Analysis[[#This Row],[Quantity]]</f>
        <v>1.3856812933025405E-2</v>
      </c>
      <c r="O370" s="2">
        <f>(Procurement_kpi_Analysis[[#This Row],[Unit_Price]]-Procurement_kpi_Analysis[[#This Row],[Negotiated_Price]])*Procurement_kpi_Analysis[[#This Row],[Quantity]]</f>
        <v>18688.28000000001</v>
      </c>
      <c r="P370" s="2">
        <f>Procurement_kpi_Analysis[[#This Row],[Total Savings]]/Procurement_kpi_Analysis[[#This Row],[Total Spend]]</f>
        <v>0.15046715939199562</v>
      </c>
      <c r="Q370" s="2" t="str">
        <f>IF(Procurement_kpi_Analysis[[#This Row],[Lead Time]]&lt;=14,"On Time","Late")</f>
        <v>Late</v>
      </c>
      <c r="R370" s="2">
        <f>Procurement_kpi_Analysis[[#This Row],[Unit_Price]]*Procurement_kpi_Analysis[[#This Row],[Quantity]]</f>
        <v>142890</v>
      </c>
      <c r="S370" s="2">
        <f>IF(Procurement_kpi_Analysis[[#This Row],[Compliance]]="Yes",1,0)</f>
        <v>1</v>
      </c>
      <c r="T370" s="2">
        <f>IF(Procurement_kpi_Analysis[[#This Row],[Compliance]]="No",1,0)</f>
        <v>0</v>
      </c>
    </row>
    <row r="371" spans="1:20" x14ac:dyDescent="0.3">
      <c r="A371" t="s">
        <v>396</v>
      </c>
      <c r="B371" t="s">
        <v>20</v>
      </c>
      <c r="C371" s="1">
        <v>45138</v>
      </c>
      <c r="D371" s="1">
        <v>45145</v>
      </c>
      <c r="E371" t="s">
        <v>26</v>
      </c>
      <c r="F371" t="s">
        <v>18</v>
      </c>
      <c r="G371">
        <v>865</v>
      </c>
      <c r="H371">
        <v>81.540000000000006</v>
      </c>
      <c r="I371">
        <v>71.59</v>
      </c>
      <c r="J371">
        <v>39</v>
      </c>
      <c r="K371" t="s">
        <v>15</v>
      </c>
      <c r="L371">
        <f>Procurement_kpi_Analysis[[#This Row],[Quantity]]*Procurement_kpi_Analysis[[#This Row],[Negotiated_Price]]</f>
        <v>61925.350000000006</v>
      </c>
      <c r="M371">
        <f>IF(Procurement_kpi_Analysis[[#This Row],[Delivery_Date]]="","",Procurement_kpi_Analysis[[#This Row],[Delivery_Date]]-Procurement_kpi_Analysis[[#This Row],[Order_Date]])</f>
        <v>7</v>
      </c>
      <c r="N371" s="2">
        <f>Procurement_kpi_Analysis[[#This Row],[Defective_Units]]/Procurement_kpi_Analysis[[#This Row],[Quantity]]</f>
        <v>4.5086705202312137E-2</v>
      </c>
      <c r="O371" s="2">
        <f>(Procurement_kpi_Analysis[[#This Row],[Unit_Price]]-Procurement_kpi_Analysis[[#This Row],[Negotiated_Price]])*Procurement_kpi_Analysis[[#This Row],[Quantity]]</f>
        <v>8606.7500000000018</v>
      </c>
      <c r="P371" s="2">
        <f>Procurement_kpi_Analysis[[#This Row],[Total Savings]]/Procurement_kpi_Analysis[[#This Row],[Total Spend]]</f>
        <v>0.13898589188434141</v>
      </c>
      <c r="Q371" s="2" t="str">
        <f>IF(Procurement_kpi_Analysis[[#This Row],[Lead Time]]&lt;=14,"On Time","Late")</f>
        <v>On Time</v>
      </c>
      <c r="R371" s="2">
        <f>Procurement_kpi_Analysis[[#This Row],[Unit_Price]]*Procurement_kpi_Analysis[[#This Row],[Quantity]]</f>
        <v>70532.100000000006</v>
      </c>
      <c r="S371" s="2">
        <f>IF(Procurement_kpi_Analysis[[#This Row],[Compliance]]="Yes",1,0)</f>
        <v>1</v>
      </c>
      <c r="T371" s="2">
        <f>IF(Procurement_kpi_Analysis[[#This Row],[Compliance]]="No",1,0)</f>
        <v>0</v>
      </c>
    </row>
    <row r="372" spans="1:20" x14ac:dyDescent="0.3">
      <c r="A372" t="s">
        <v>397</v>
      </c>
      <c r="B372" t="s">
        <v>23</v>
      </c>
      <c r="C372" s="1">
        <v>44664</v>
      </c>
      <c r="D372" s="1">
        <v>44671</v>
      </c>
      <c r="E372" t="s">
        <v>26</v>
      </c>
      <c r="F372" t="s">
        <v>18</v>
      </c>
      <c r="G372">
        <v>257</v>
      </c>
      <c r="H372">
        <v>68.72</v>
      </c>
      <c r="I372">
        <v>66.92</v>
      </c>
      <c r="J372">
        <v>22</v>
      </c>
      <c r="K372" t="s">
        <v>15</v>
      </c>
      <c r="L372">
        <f>Procurement_kpi_Analysis[[#This Row],[Quantity]]*Procurement_kpi_Analysis[[#This Row],[Negotiated_Price]]</f>
        <v>17198.439999999999</v>
      </c>
      <c r="M372">
        <f>IF(Procurement_kpi_Analysis[[#This Row],[Delivery_Date]]="","",Procurement_kpi_Analysis[[#This Row],[Delivery_Date]]-Procurement_kpi_Analysis[[#This Row],[Order_Date]])</f>
        <v>7</v>
      </c>
      <c r="N372" s="2">
        <f>Procurement_kpi_Analysis[[#This Row],[Defective_Units]]/Procurement_kpi_Analysis[[#This Row],[Quantity]]</f>
        <v>8.5603112840466927E-2</v>
      </c>
      <c r="O372" s="2">
        <f>(Procurement_kpi_Analysis[[#This Row],[Unit_Price]]-Procurement_kpi_Analysis[[#This Row],[Negotiated_Price]])*Procurement_kpi_Analysis[[#This Row],[Quantity]]</f>
        <v>462.59999999999928</v>
      </c>
      <c r="P372" s="2">
        <f>Procurement_kpi_Analysis[[#This Row],[Total Savings]]/Procurement_kpi_Analysis[[#This Row],[Total Spend]]</f>
        <v>2.6897788404064517E-2</v>
      </c>
      <c r="Q372" s="2" t="str">
        <f>IF(Procurement_kpi_Analysis[[#This Row],[Lead Time]]&lt;=14,"On Time","Late")</f>
        <v>On Time</v>
      </c>
      <c r="R372" s="2">
        <f>Procurement_kpi_Analysis[[#This Row],[Unit_Price]]*Procurement_kpi_Analysis[[#This Row],[Quantity]]</f>
        <v>17661.04</v>
      </c>
      <c r="S372" s="2">
        <f>IF(Procurement_kpi_Analysis[[#This Row],[Compliance]]="Yes",1,0)</f>
        <v>1</v>
      </c>
      <c r="T372" s="2">
        <f>IF(Procurement_kpi_Analysis[[#This Row],[Compliance]]="No",1,0)</f>
        <v>0</v>
      </c>
    </row>
    <row r="373" spans="1:20" x14ac:dyDescent="0.3">
      <c r="A373" t="s">
        <v>398</v>
      </c>
      <c r="B373" t="s">
        <v>29</v>
      </c>
      <c r="C373" s="1">
        <v>44637</v>
      </c>
      <c r="D373" s="1">
        <v>44646</v>
      </c>
      <c r="E373" t="s">
        <v>24</v>
      </c>
      <c r="F373" t="s">
        <v>18</v>
      </c>
      <c r="G373">
        <v>1204</v>
      </c>
      <c r="H373">
        <v>73.180000000000007</v>
      </c>
      <c r="I373">
        <v>67.59</v>
      </c>
      <c r="J373">
        <v>31</v>
      </c>
      <c r="K373" t="s">
        <v>15</v>
      </c>
      <c r="L373">
        <f>Procurement_kpi_Analysis[[#This Row],[Quantity]]*Procurement_kpi_Analysis[[#This Row],[Negotiated_Price]]</f>
        <v>81378.36</v>
      </c>
      <c r="M373">
        <f>IF(Procurement_kpi_Analysis[[#This Row],[Delivery_Date]]="","",Procurement_kpi_Analysis[[#This Row],[Delivery_Date]]-Procurement_kpi_Analysis[[#This Row],[Order_Date]])</f>
        <v>9</v>
      </c>
      <c r="N373" s="2">
        <f>Procurement_kpi_Analysis[[#This Row],[Defective_Units]]/Procurement_kpi_Analysis[[#This Row],[Quantity]]</f>
        <v>2.5747508305647839E-2</v>
      </c>
      <c r="O373" s="2">
        <f>(Procurement_kpi_Analysis[[#This Row],[Unit_Price]]-Procurement_kpi_Analysis[[#This Row],[Negotiated_Price]])*Procurement_kpi_Analysis[[#This Row],[Quantity]]</f>
        <v>6730.3600000000042</v>
      </c>
      <c r="P373" s="2">
        <f>Procurement_kpi_Analysis[[#This Row],[Total Savings]]/Procurement_kpi_Analysis[[#This Row],[Total Spend]]</f>
        <v>8.2704542092025504E-2</v>
      </c>
      <c r="Q373" s="2" t="str">
        <f>IF(Procurement_kpi_Analysis[[#This Row],[Lead Time]]&lt;=14,"On Time","Late")</f>
        <v>On Time</v>
      </c>
      <c r="R373" s="2">
        <f>Procurement_kpi_Analysis[[#This Row],[Unit_Price]]*Procurement_kpi_Analysis[[#This Row],[Quantity]]</f>
        <v>88108.72</v>
      </c>
      <c r="S373" s="2">
        <f>IF(Procurement_kpi_Analysis[[#This Row],[Compliance]]="Yes",1,0)</f>
        <v>1</v>
      </c>
      <c r="T373" s="2">
        <f>IF(Procurement_kpi_Analysis[[#This Row],[Compliance]]="No",1,0)</f>
        <v>0</v>
      </c>
    </row>
    <row r="374" spans="1:20" x14ac:dyDescent="0.3">
      <c r="A374" t="s">
        <v>399</v>
      </c>
      <c r="B374" t="s">
        <v>23</v>
      </c>
      <c r="C374" s="1">
        <v>45112</v>
      </c>
      <c r="D374" s="1">
        <v>45116</v>
      </c>
      <c r="E374" t="s">
        <v>39</v>
      </c>
      <c r="F374" t="s">
        <v>33</v>
      </c>
      <c r="G374">
        <v>453</v>
      </c>
      <c r="H374">
        <v>64.14</v>
      </c>
      <c r="I374">
        <v>60.18</v>
      </c>
      <c r="J374">
        <v>51</v>
      </c>
      <c r="K374" t="s">
        <v>15</v>
      </c>
      <c r="L374">
        <f>Procurement_kpi_Analysis[[#This Row],[Quantity]]*Procurement_kpi_Analysis[[#This Row],[Negotiated_Price]]</f>
        <v>27261.54</v>
      </c>
      <c r="M374">
        <f>IF(Procurement_kpi_Analysis[[#This Row],[Delivery_Date]]="","",Procurement_kpi_Analysis[[#This Row],[Delivery_Date]]-Procurement_kpi_Analysis[[#This Row],[Order_Date]])</f>
        <v>4</v>
      </c>
      <c r="N374" s="2">
        <f>Procurement_kpi_Analysis[[#This Row],[Defective_Units]]/Procurement_kpi_Analysis[[#This Row],[Quantity]]</f>
        <v>0.11258278145695365</v>
      </c>
      <c r="O374" s="2">
        <f>(Procurement_kpi_Analysis[[#This Row],[Unit_Price]]-Procurement_kpi_Analysis[[#This Row],[Negotiated_Price]])*Procurement_kpi_Analysis[[#This Row],[Quantity]]</f>
        <v>1793.8800000000003</v>
      </c>
      <c r="P374" s="2">
        <f>Procurement_kpi_Analysis[[#This Row],[Total Savings]]/Procurement_kpi_Analysis[[#This Row],[Total Spend]]</f>
        <v>6.5802592223330014E-2</v>
      </c>
      <c r="Q374" s="2" t="str">
        <f>IF(Procurement_kpi_Analysis[[#This Row],[Lead Time]]&lt;=14,"On Time","Late")</f>
        <v>On Time</v>
      </c>
      <c r="R374" s="2">
        <f>Procurement_kpi_Analysis[[#This Row],[Unit_Price]]*Procurement_kpi_Analysis[[#This Row],[Quantity]]</f>
        <v>29055.420000000002</v>
      </c>
      <c r="S374" s="2">
        <f>IF(Procurement_kpi_Analysis[[#This Row],[Compliance]]="Yes",1,0)</f>
        <v>1</v>
      </c>
      <c r="T374" s="2">
        <f>IF(Procurement_kpi_Analysis[[#This Row],[Compliance]]="No",1,0)</f>
        <v>0</v>
      </c>
    </row>
    <row r="375" spans="1:20" x14ac:dyDescent="0.3">
      <c r="A375" t="s">
        <v>400</v>
      </c>
      <c r="B375" t="s">
        <v>29</v>
      </c>
      <c r="C375" s="1">
        <v>44780</v>
      </c>
      <c r="D375" s="1">
        <v>44794</v>
      </c>
      <c r="E375" t="s">
        <v>39</v>
      </c>
      <c r="F375" t="s">
        <v>18</v>
      </c>
      <c r="G375">
        <v>201</v>
      </c>
      <c r="H375">
        <v>33.81</v>
      </c>
      <c r="I375">
        <v>32.54</v>
      </c>
      <c r="J375">
        <v>3</v>
      </c>
      <c r="K375" t="s">
        <v>15</v>
      </c>
      <c r="L375">
        <f>Procurement_kpi_Analysis[[#This Row],[Quantity]]*Procurement_kpi_Analysis[[#This Row],[Negotiated_Price]]</f>
        <v>6540.54</v>
      </c>
      <c r="M375">
        <f>IF(Procurement_kpi_Analysis[[#This Row],[Delivery_Date]]="","",Procurement_kpi_Analysis[[#This Row],[Delivery_Date]]-Procurement_kpi_Analysis[[#This Row],[Order_Date]])</f>
        <v>14</v>
      </c>
      <c r="N375" s="2">
        <f>Procurement_kpi_Analysis[[#This Row],[Defective_Units]]/Procurement_kpi_Analysis[[#This Row],[Quantity]]</f>
        <v>1.4925373134328358E-2</v>
      </c>
      <c r="O375" s="2">
        <f>(Procurement_kpi_Analysis[[#This Row],[Unit_Price]]-Procurement_kpi_Analysis[[#This Row],[Negotiated_Price]])*Procurement_kpi_Analysis[[#This Row],[Quantity]]</f>
        <v>255.27000000000064</v>
      </c>
      <c r="P375" s="2">
        <f>Procurement_kpi_Analysis[[#This Row],[Total Savings]]/Procurement_kpi_Analysis[[#This Row],[Total Spend]]</f>
        <v>3.9028887523048651E-2</v>
      </c>
      <c r="Q375" s="2" t="str">
        <f>IF(Procurement_kpi_Analysis[[#This Row],[Lead Time]]&lt;=14,"On Time","Late")</f>
        <v>On Time</v>
      </c>
      <c r="R375" s="2">
        <f>Procurement_kpi_Analysis[[#This Row],[Unit_Price]]*Procurement_kpi_Analysis[[#This Row],[Quantity]]</f>
        <v>6795.81</v>
      </c>
      <c r="S375" s="2">
        <f>IF(Procurement_kpi_Analysis[[#This Row],[Compliance]]="Yes",1,0)</f>
        <v>1</v>
      </c>
      <c r="T375" s="2">
        <f>IF(Procurement_kpi_Analysis[[#This Row],[Compliance]]="No",1,0)</f>
        <v>0</v>
      </c>
    </row>
    <row r="376" spans="1:20" x14ac:dyDescent="0.3">
      <c r="A376" t="s">
        <v>401</v>
      </c>
      <c r="B376" t="s">
        <v>17</v>
      </c>
      <c r="C376" s="1">
        <v>45080</v>
      </c>
      <c r="D376" s="1">
        <v>45093</v>
      </c>
      <c r="E376" t="s">
        <v>13</v>
      </c>
      <c r="F376" t="s">
        <v>18</v>
      </c>
      <c r="G376">
        <v>103</v>
      </c>
      <c r="H376">
        <v>44.61</v>
      </c>
      <c r="I376">
        <v>42.88</v>
      </c>
      <c r="J376">
        <v>10</v>
      </c>
      <c r="K376" t="s">
        <v>15</v>
      </c>
      <c r="L376">
        <f>Procurement_kpi_Analysis[[#This Row],[Quantity]]*Procurement_kpi_Analysis[[#This Row],[Negotiated_Price]]</f>
        <v>4416.6400000000003</v>
      </c>
      <c r="M376">
        <f>IF(Procurement_kpi_Analysis[[#This Row],[Delivery_Date]]="","",Procurement_kpi_Analysis[[#This Row],[Delivery_Date]]-Procurement_kpi_Analysis[[#This Row],[Order_Date]])</f>
        <v>13</v>
      </c>
      <c r="N376" s="2">
        <f>Procurement_kpi_Analysis[[#This Row],[Defective_Units]]/Procurement_kpi_Analysis[[#This Row],[Quantity]]</f>
        <v>9.7087378640776698E-2</v>
      </c>
      <c r="O376" s="2">
        <f>(Procurement_kpi_Analysis[[#This Row],[Unit_Price]]-Procurement_kpi_Analysis[[#This Row],[Negotiated_Price]])*Procurement_kpi_Analysis[[#This Row],[Quantity]]</f>
        <v>178.18999999999969</v>
      </c>
      <c r="P376" s="2">
        <f>Procurement_kpi_Analysis[[#This Row],[Total Savings]]/Procurement_kpi_Analysis[[#This Row],[Total Spend]]</f>
        <v>4.0345149253731269E-2</v>
      </c>
      <c r="Q376" s="2" t="str">
        <f>IF(Procurement_kpi_Analysis[[#This Row],[Lead Time]]&lt;=14,"On Time","Late")</f>
        <v>On Time</v>
      </c>
      <c r="R376" s="2">
        <f>Procurement_kpi_Analysis[[#This Row],[Unit_Price]]*Procurement_kpi_Analysis[[#This Row],[Quantity]]</f>
        <v>4594.83</v>
      </c>
      <c r="S376" s="2">
        <f>IF(Procurement_kpi_Analysis[[#This Row],[Compliance]]="Yes",1,0)</f>
        <v>1</v>
      </c>
      <c r="T376" s="2">
        <f>IF(Procurement_kpi_Analysis[[#This Row],[Compliance]]="No",1,0)</f>
        <v>0</v>
      </c>
    </row>
    <row r="377" spans="1:20" x14ac:dyDescent="0.3">
      <c r="A377" t="s">
        <v>402</v>
      </c>
      <c r="B377" t="s">
        <v>29</v>
      </c>
      <c r="C377" s="1">
        <v>44833</v>
      </c>
      <c r="D377" s="1">
        <v>44841</v>
      </c>
      <c r="E377" t="s">
        <v>13</v>
      </c>
      <c r="F377" t="s">
        <v>18</v>
      </c>
      <c r="G377">
        <v>1193</v>
      </c>
      <c r="H377">
        <v>27.4</v>
      </c>
      <c r="I377">
        <v>27.09</v>
      </c>
      <c r="J377">
        <v>0</v>
      </c>
      <c r="K377" t="s">
        <v>15</v>
      </c>
      <c r="L377">
        <f>Procurement_kpi_Analysis[[#This Row],[Quantity]]*Procurement_kpi_Analysis[[#This Row],[Negotiated_Price]]</f>
        <v>32318.37</v>
      </c>
      <c r="M377">
        <f>IF(Procurement_kpi_Analysis[[#This Row],[Delivery_Date]]="","",Procurement_kpi_Analysis[[#This Row],[Delivery_Date]]-Procurement_kpi_Analysis[[#This Row],[Order_Date]])</f>
        <v>8</v>
      </c>
      <c r="N377" s="2">
        <f>Procurement_kpi_Analysis[[#This Row],[Defective_Units]]/Procurement_kpi_Analysis[[#This Row],[Quantity]]</f>
        <v>0</v>
      </c>
      <c r="O377" s="2">
        <f>(Procurement_kpi_Analysis[[#This Row],[Unit_Price]]-Procurement_kpi_Analysis[[#This Row],[Negotiated_Price]])*Procurement_kpi_Analysis[[#This Row],[Quantity]]</f>
        <v>369.82999999999845</v>
      </c>
      <c r="P377" s="2">
        <f>Procurement_kpi_Analysis[[#This Row],[Total Savings]]/Procurement_kpi_Analysis[[#This Row],[Total Spend]]</f>
        <v>1.1443337024732325E-2</v>
      </c>
      <c r="Q377" s="2" t="str">
        <f>IF(Procurement_kpi_Analysis[[#This Row],[Lead Time]]&lt;=14,"On Time","Late")</f>
        <v>On Time</v>
      </c>
      <c r="R377" s="2">
        <f>Procurement_kpi_Analysis[[#This Row],[Unit_Price]]*Procurement_kpi_Analysis[[#This Row],[Quantity]]</f>
        <v>32688.199999999997</v>
      </c>
      <c r="S377" s="2">
        <f>IF(Procurement_kpi_Analysis[[#This Row],[Compliance]]="Yes",1,0)</f>
        <v>1</v>
      </c>
      <c r="T377" s="2">
        <f>IF(Procurement_kpi_Analysis[[#This Row],[Compliance]]="No",1,0)</f>
        <v>0</v>
      </c>
    </row>
    <row r="378" spans="1:20" x14ac:dyDescent="0.3">
      <c r="A378" t="s">
        <v>403</v>
      </c>
      <c r="B378" t="s">
        <v>20</v>
      </c>
      <c r="C378" s="1">
        <v>44697</v>
      </c>
      <c r="D378" s="1">
        <v>44709</v>
      </c>
      <c r="E378" t="s">
        <v>13</v>
      </c>
      <c r="F378" t="s">
        <v>33</v>
      </c>
      <c r="G378">
        <v>1746</v>
      </c>
      <c r="H378">
        <v>93.6</v>
      </c>
      <c r="I378">
        <v>89.81</v>
      </c>
      <c r="J378">
        <v>85</v>
      </c>
      <c r="K378" t="s">
        <v>15</v>
      </c>
      <c r="L378">
        <f>Procurement_kpi_Analysis[[#This Row],[Quantity]]*Procurement_kpi_Analysis[[#This Row],[Negotiated_Price]]</f>
        <v>156808.26</v>
      </c>
      <c r="M378">
        <f>IF(Procurement_kpi_Analysis[[#This Row],[Delivery_Date]]="","",Procurement_kpi_Analysis[[#This Row],[Delivery_Date]]-Procurement_kpi_Analysis[[#This Row],[Order_Date]])</f>
        <v>12</v>
      </c>
      <c r="N378" s="2">
        <f>Procurement_kpi_Analysis[[#This Row],[Defective_Units]]/Procurement_kpi_Analysis[[#This Row],[Quantity]]</f>
        <v>4.868270332187858E-2</v>
      </c>
      <c r="O378" s="2">
        <f>(Procurement_kpi_Analysis[[#This Row],[Unit_Price]]-Procurement_kpi_Analysis[[#This Row],[Negotiated_Price]])*Procurement_kpi_Analysis[[#This Row],[Quantity]]</f>
        <v>6617.3399999999865</v>
      </c>
      <c r="P378" s="2">
        <f>Procurement_kpi_Analysis[[#This Row],[Total Savings]]/Procurement_kpi_Analysis[[#This Row],[Total Spend]]</f>
        <v>4.2200200423115376E-2</v>
      </c>
      <c r="Q378" s="2" t="str">
        <f>IF(Procurement_kpi_Analysis[[#This Row],[Lead Time]]&lt;=14,"On Time","Late")</f>
        <v>On Time</v>
      </c>
      <c r="R378" s="2">
        <f>Procurement_kpi_Analysis[[#This Row],[Unit_Price]]*Procurement_kpi_Analysis[[#This Row],[Quantity]]</f>
        <v>163425.59999999998</v>
      </c>
      <c r="S378" s="2">
        <f>IF(Procurement_kpi_Analysis[[#This Row],[Compliance]]="Yes",1,0)</f>
        <v>1</v>
      </c>
      <c r="T378" s="2">
        <f>IF(Procurement_kpi_Analysis[[#This Row],[Compliance]]="No",1,0)</f>
        <v>0</v>
      </c>
    </row>
    <row r="379" spans="1:20" x14ac:dyDescent="0.3">
      <c r="A379" t="s">
        <v>404</v>
      </c>
      <c r="B379" t="s">
        <v>17</v>
      </c>
      <c r="C379" s="1">
        <v>44919</v>
      </c>
      <c r="D379" s="1">
        <v>44921</v>
      </c>
      <c r="E379" t="s">
        <v>39</v>
      </c>
      <c r="F379" t="s">
        <v>18</v>
      </c>
      <c r="G379">
        <v>1993</v>
      </c>
      <c r="H379">
        <v>65.94</v>
      </c>
      <c r="I379">
        <v>59.36</v>
      </c>
      <c r="J379">
        <v>0</v>
      </c>
      <c r="K379" t="s">
        <v>15</v>
      </c>
      <c r="L379">
        <f>Procurement_kpi_Analysis[[#This Row],[Quantity]]*Procurement_kpi_Analysis[[#This Row],[Negotiated_Price]]</f>
        <v>118304.48</v>
      </c>
      <c r="M379">
        <f>IF(Procurement_kpi_Analysis[[#This Row],[Delivery_Date]]="","",Procurement_kpi_Analysis[[#This Row],[Delivery_Date]]-Procurement_kpi_Analysis[[#This Row],[Order_Date]])</f>
        <v>2</v>
      </c>
      <c r="N379" s="2">
        <f>Procurement_kpi_Analysis[[#This Row],[Defective_Units]]/Procurement_kpi_Analysis[[#This Row],[Quantity]]</f>
        <v>0</v>
      </c>
      <c r="O379" s="2">
        <f>(Procurement_kpi_Analysis[[#This Row],[Unit_Price]]-Procurement_kpi_Analysis[[#This Row],[Negotiated_Price]])*Procurement_kpi_Analysis[[#This Row],[Quantity]]</f>
        <v>13113.939999999997</v>
      </c>
      <c r="P379" s="2">
        <f>Procurement_kpi_Analysis[[#This Row],[Total Savings]]/Procurement_kpi_Analysis[[#This Row],[Total Spend]]</f>
        <v>0.11084905660377356</v>
      </c>
      <c r="Q379" s="2" t="str">
        <f>IF(Procurement_kpi_Analysis[[#This Row],[Lead Time]]&lt;=14,"On Time","Late")</f>
        <v>On Time</v>
      </c>
      <c r="R379" s="2">
        <f>Procurement_kpi_Analysis[[#This Row],[Unit_Price]]*Procurement_kpi_Analysis[[#This Row],[Quantity]]</f>
        <v>131418.41999999998</v>
      </c>
      <c r="S379" s="2">
        <f>IF(Procurement_kpi_Analysis[[#This Row],[Compliance]]="Yes",1,0)</f>
        <v>1</v>
      </c>
      <c r="T379" s="2">
        <f>IF(Procurement_kpi_Analysis[[#This Row],[Compliance]]="No",1,0)</f>
        <v>0</v>
      </c>
    </row>
    <row r="380" spans="1:20" x14ac:dyDescent="0.3">
      <c r="A380" t="s">
        <v>405</v>
      </c>
      <c r="B380" t="s">
        <v>23</v>
      </c>
      <c r="C380" s="1">
        <v>44632</v>
      </c>
      <c r="D380" s="1">
        <v>44647</v>
      </c>
      <c r="E380" t="s">
        <v>26</v>
      </c>
      <c r="F380" t="s">
        <v>18</v>
      </c>
      <c r="G380">
        <v>677</v>
      </c>
      <c r="H380">
        <v>46.54</v>
      </c>
      <c r="I380">
        <v>43.11</v>
      </c>
      <c r="J380">
        <v>0</v>
      </c>
      <c r="K380" t="s">
        <v>27</v>
      </c>
      <c r="L380">
        <f>Procurement_kpi_Analysis[[#This Row],[Quantity]]*Procurement_kpi_Analysis[[#This Row],[Negotiated_Price]]</f>
        <v>29185.47</v>
      </c>
      <c r="M380">
        <f>IF(Procurement_kpi_Analysis[[#This Row],[Delivery_Date]]="","",Procurement_kpi_Analysis[[#This Row],[Delivery_Date]]-Procurement_kpi_Analysis[[#This Row],[Order_Date]])</f>
        <v>15</v>
      </c>
      <c r="N380" s="2">
        <f>Procurement_kpi_Analysis[[#This Row],[Defective_Units]]/Procurement_kpi_Analysis[[#This Row],[Quantity]]</f>
        <v>0</v>
      </c>
      <c r="O380" s="2">
        <f>(Procurement_kpi_Analysis[[#This Row],[Unit_Price]]-Procurement_kpi_Analysis[[#This Row],[Negotiated_Price]])*Procurement_kpi_Analysis[[#This Row],[Quantity]]</f>
        <v>2322.1099999999997</v>
      </c>
      <c r="P380" s="2">
        <f>Procurement_kpi_Analysis[[#This Row],[Total Savings]]/Procurement_kpi_Analysis[[#This Row],[Total Spend]]</f>
        <v>7.9563906286244476E-2</v>
      </c>
      <c r="Q380" s="2" t="str">
        <f>IF(Procurement_kpi_Analysis[[#This Row],[Lead Time]]&lt;=14,"On Time","Late")</f>
        <v>Late</v>
      </c>
      <c r="R380" s="2">
        <f>Procurement_kpi_Analysis[[#This Row],[Unit_Price]]*Procurement_kpi_Analysis[[#This Row],[Quantity]]</f>
        <v>31507.579999999998</v>
      </c>
      <c r="S380" s="2">
        <f>IF(Procurement_kpi_Analysis[[#This Row],[Compliance]]="Yes",1,0)</f>
        <v>0</v>
      </c>
      <c r="T380" s="2">
        <f>IF(Procurement_kpi_Analysis[[#This Row],[Compliance]]="No",1,0)</f>
        <v>1</v>
      </c>
    </row>
    <row r="381" spans="1:20" x14ac:dyDescent="0.3">
      <c r="A381" t="s">
        <v>406</v>
      </c>
      <c r="B381" t="s">
        <v>12</v>
      </c>
      <c r="C381" s="1">
        <v>44812</v>
      </c>
      <c r="D381" s="1"/>
      <c r="E381" t="s">
        <v>13</v>
      </c>
      <c r="F381" t="s">
        <v>35</v>
      </c>
      <c r="G381">
        <v>636</v>
      </c>
      <c r="H381">
        <v>53.64</v>
      </c>
      <c r="I381">
        <v>49.23</v>
      </c>
      <c r="J381">
        <v>18</v>
      </c>
      <c r="K381" t="s">
        <v>15</v>
      </c>
      <c r="L381">
        <f>Procurement_kpi_Analysis[[#This Row],[Quantity]]*Procurement_kpi_Analysis[[#This Row],[Negotiated_Price]]</f>
        <v>31310.28</v>
      </c>
      <c r="M381" t="str">
        <f>IF(Procurement_kpi_Analysis[[#This Row],[Delivery_Date]]="","",Procurement_kpi_Analysis[[#This Row],[Delivery_Date]]-Procurement_kpi_Analysis[[#This Row],[Order_Date]])</f>
        <v/>
      </c>
      <c r="N381" s="2">
        <f>Procurement_kpi_Analysis[[#This Row],[Defective_Units]]/Procurement_kpi_Analysis[[#This Row],[Quantity]]</f>
        <v>2.8301886792452831E-2</v>
      </c>
      <c r="O381" s="2">
        <f>(Procurement_kpi_Analysis[[#This Row],[Unit_Price]]-Procurement_kpi_Analysis[[#This Row],[Negotiated_Price]])*Procurement_kpi_Analysis[[#This Row],[Quantity]]</f>
        <v>2804.7600000000025</v>
      </c>
      <c r="P381" s="2">
        <f>Procurement_kpi_Analysis[[#This Row],[Total Savings]]/Procurement_kpi_Analysis[[#This Row],[Total Spend]]</f>
        <v>8.9579524680073214E-2</v>
      </c>
      <c r="Q381" s="2" t="str">
        <f>IF(Procurement_kpi_Analysis[[#This Row],[Lead Time]]&lt;=14,"On Time","Late")</f>
        <v>Late</v>
      </c>
      <c r="R381" s="2">
        <f>Procurement_kpi_Analysis[[#This Row],[Unit_Price]]*Procurement_kpi_Analysis[[#This Row],[Quantity]]</f>
        <v>34115.040000000001</v>
      </c>
      <c r="S381" s="2">
        <f>IF(Procurement_kpi_Analysis[[#This Row],[Compliance]]="Yes",1,0)</f>
        <v>1</v>
      </c>
      <c r="T381" s="2">
        <f>IF(Procurement_kpi_Analysis[[#This Row],[Compliance]]="No",1,0)</f>
        <v>0</v>
      </c>
    </row>
    <row r="382" spans="1:20" x14ac:dyDescent="0.3">
      <c r="A382" t="s">
        <v>407</v>
      </c>
      <c r="B382" t="s">
        <v>29</v>
      </c>
      <c r="C382" s="1">
        <v>44940</v>
      </c>
      <c r="D382" s="1">
        <v>44959</v>
      </c>
      <c r="E382" t="s">
        <v>24</v>
      </c>
      <c r="F382" t="s">
        <v>18</v>
      </c>
      <c r="G382">
        <v>1698</v>
      </c>
      <c r="H382">
        <v>100.97</v>
      </c>
      <c r="I382">
        <v>98.73</v>
      </c>
      <c r="J382">
        <v>52</v>
      </c>
      <c r="K382" t="s">
        <v>15</v>
      </c>
      <c r="L382">
        <f>Procurement_kpi_Analysis[[#This Row],[Quantity]]*Procurement_kpi_Analysis[[#This Row],[Negotiated_Price]]</f>
        <v>167643.54</v>
      </c>
      <c r="M382">
        <f>IF(Procurement_kpi_Analysis[[#This Row],[Delivery_Date]]="","",Procurement_kpi_Analysis[[#This Row],[Delivery_Date]]-Procurement_kpi_Analysis[[#This Row],[Order_Date]])</f>
        <v>19</v>
      </c>
      <c r="N382" s="2">
        <f>Procurement_kpi_Analysis[[#This Row],[Defective_Units]]/Procurement_kpi_Analysis[[#This Row],[Quantity]]</f>
        <v>3.0624263839811542E-2</v>
      </c>
      <c r="O382" s="2">
        <f>(Procurement_kpi_Analysis[[#This Row],[Unit_Price]]-Procurement_kpi_Analysis[[#This Row],[Negotiated_Price]])*Procurement_kpi_Analysis[[#This Row],[Quantity]]</f>
        <v>3803.5199999999913</v>
      </c>
      <c r="P382" s="2">
        <f>Procurement_kpi_Analysis[[#This Row],[Total Savings]]/Procurement_kpi_Analysis[[#This Row],[Total Spend]]</f>
        <v>2.2688139369998934E-2</v>
      </c>
      <c r="Q382" s="2" t="str">
        <f>IF(Procurement_kpi_Analysis[[#This Row],[Lead Time]]&lt;=14,"On Time","Late")</f>
        <v>Late</v>
      </c>
      <c r="R382" s="2">
        <f>Procurement_kpi_Analysis[[#This Row],[Unit_Price]]*Procurement_kpi_Analysis[[#This Row],[Quantity]]</f>
        <v>171447.06</v>
      </c>
      <c r="S382" s="2">
        <f>IF(Procurement_kpi_Analysis[[#This Row],[Compliance]]="Yes",1,0)</f>
        <v>1</v>
      </c>
      <c r="T382" s="2">
        <f>IF(Procurement_kpi_Analysis[[#This Row],[Compliance]]="No",1,0)</f>
        <v>0</v>
      </c>
    </row>
    <row r="383" spans="1:20" x14ac:dyDescent="0.3">
      <c r="A383" t="s">
        <v>408</v>
      </c>
      <c r="B383" t="s">
        <v>20</v>
      </c>
      <c r="C383" s="1">
        <v>44853</v>
      </c>
      <c r="D383" s="1">
        <v>44866</v>
      </c>
      <c r="E383" t="s">
        <v>13</v>
      </c>
      <c r="F383" t="s">
        <v>18</v>
      </c>
      <c r="G383">
        <v>1493</v>
      </c>
      <c r="H383">
        <v>24.87</v>
      </c>
      <c r="I383">
        <v>22.89</v>
      </c>
      <c r="J383">
        <v>56</v>
      </c>
      <c r="K383" t="s">
        <v>15</v>
      </c>
      <c r="L383">
        <f>Procurement_kpi_Analysis[[#This Row],[Quantity]]*Procurement_kpi_Analysis[[#This Row],[Negotiated_Price]]</f>
        <v>34174.770000000004</v>
      </c>
      <c r="M383">
        <f>IF(Procurement_kpi_Analysis[[#This Row],[Delivery_Date]]="","",Procurement_kpi_Analysis[[#This Row],[Delivery_Date]]-Procurement_kpi_Analysis[[#This Row],[Order_Date]])</f>
        <v>13</v>
      </c>
      <c r="N383" s="2">
        <f>Procurement_kpi_Analysis[[#This Row],[Defective_Units]]/Procurement_kpi_Analysis[[#This Row],[Quantity]]</f>
        <v>3.7508372404554589E-2</v>
      </c>
      <c r="O383" s="2">
        <f>(Procurement_kpi_Analysis[[#This Row],[Unit_Price]]-Procurement_kpi_Analysis[[#This Row],[Negotiated_Price]])*Procurement_kpi_Analysis[[#This Row],[Quantity]]</f>
        <v>2956.1400000000008</v>
      </c>
      <c r="P383" s="2">
        <f>Procurement_kpi_Analysis[[#This Row],[Total Savings]]/Procurement_kpi_Analysis[[#This Row],[Total Spend]]</f>
        <v>8.6500655307994764E-2</v>
      </c>
      <c r="Q383" s="2" t="str">
        <f>IF(Procurement_kpi_Analysis[[#This Row],[Lead Time]]&lt;=14,"On Time","Late")</f>
        <v>On Time</v>
      </c>
      <c r="R383" s="2">
        <f>Procurement_kpi_Analysis[[#This Row],[Unit_Price]]*Procurement_kpi_Analysis[[#This Row],[Quantity]]</f>
        <v>37130.910000000003</v>
      </c>
      <c r="S383" s="2">
        <f>IF(Procurement_kpi_Analysis[[#This Row],[Compliance]]="Yes",1,0)</f>
        <v>1</v>
      </c>
      <c r="T383" s="2">
        <f>IF(Procurement_kpi_Analysis[[#This Row],[Compliance]]="No",1,0)</f>
        <v>0</v>
      </c>
    </row>
    <row r="384" spans="1:20" x14ac:dyDescent="0.3">
      <c r="A384" t="s">
        <v>409</v>
      </c>
      <c r="B384" t="s">
        <v>12</v>
      </c>
      <c r="C384" s="1">
        <v>44723</v>
      </c>
      <c r="D384" s="1">
        <v>44737</v>
      </c>
      <c r="E384" t="s">
        <v>24</v>
      </c>
      <c r="F384" t="s">
        <v>18</v>
      </c>
      <c r="G384">
        <v>1495</v>
      </c>
      <c r="H384">
        <v>64.33</v>
      </c>
      <c r="I384">
        <v>58.18</v>
      </c>
      <c r="J384">
        <v>26</v>
      </c>
      <c r="K384" t="s">
        <v>15</v>
      </c>
      <c r="L384">
        <f>Procurement_kpi_Analysis[[#This Row],[Quantity]]*Procurement_kpi_Analysis[[#This Row],[Negotiated_Price]]</f>
        <v>86979.1</v>
      </c>
      <c r="M384">
        <f>IF(Procurement_kpi_Analysis[[#This Row],[Delivery_Date]]="","",Procurement_kpi_Analysis[[#This Row],[Delivery_Date]]-Procurement_kpi_Analysis[[#This Row],[Order_Date]])</f>
        <v>14</v>
      </c>
      <c r="N384" s="2">
        <f>Procurement_kpi_Analysis[[#This Row],[Defective_Units]]/Procurement_kpi_Analysis[[#This Row],[Quantity]]</f>
        <v>1.7391304347826087E-2</v>
      </c>
      <c r="O384" s="2">
        <f>(Procurement_kpi_Analysis[[#This Row],[Unit_Price]]-Procurement_kpi_Analysis[[#This Row],[Negotiated_Price]])*Procurement_kpi_Analysis[[#This Row],[Quantity]]</f>
        <v>9194.2499999999982</v>
      </c>
      <c r="P384" s="2">
        <f>Procurement_kpi_Analysis[[#This Row],[Total Savings]]/Procurement_kpi_Analysis[[#This Row],[Total Spend]]</f>
        <v>0.10570642832588516</v>
      </c>
      <c r="Q384" s="2" t="str">
        <f>IF(Procurement_kpi_Analysis[[#This Row],[Lead Time]]&lt;=14,"On Time","Late")</f>
        <v>On Time</v>
      </c>
      <c r="R384" s="2">
        <f>Procurement_kpi_Analysis[[#This Row],[Unit_Price]]*Procurement_kpi_Analysis[[#This Row],[Quantity]]</f>
        <v>96173.349999999991</v>
      </c>
      <c r="S384" s="2">
        <f>IF(Procurement_kpi_Analysis[[#This Row],[Compliance]]="Yes",1,0)</f>
        <v>1</v>
      </c>
      <c r="T384" s="2">
        <f>IF(Procurement_kpi_Analysis[[#This Row],[Compliance]]="No",1,0)</f>
        <v>0</v>
      </c>
    </row>
    <row r="385" spans="1:20" x14ac:dyDescent="0.3">
      <c r="A385" t="s">
        <v>410</v>
      </c>
      <c r="B385" t="s">
        <v>12</v>
      </c>
      <c r="C385" s="1">
        <v>45010</v>
      </c>
      <c r="D385" s="1">
        <v>45023</v>
      </c>
      <c r="E385" t="s">
        <v>24</v>
      </c>
      <c r="F385" t="s">
        <v>14</v>
      </c>
      <c r="G385">
        <v>153</v>
      </c>
      <c r="H385">
        <v>59.42</v>
      </c>
      <c r="I385">
        <v>52</v>
      </c>
      <c r="J385">
        <v>3</v>
      </c>
      <c r="K385" t="s">
        <v>15</v>
      </c>
      <c r="L385">
        <f>Procurement_kpi_Analysis[[#This Row],[Quantity]]*Procurement_kpi_Analysis[[#This Row],[Negotiated_Price]]</f>
        <v>7956</v>
      </c>
      <c r="M385">
        <f>IF(Procurement_kpi_Analysis[[#This Row],[Delivery_Date]]="","",Procurement_kpi_Analysis[[#This Row],[Delivery_Date]]-Procurement_kpi_Analysis[[#This Row],[Order_Date]])</f>
        <v>13</v>
      </c>
      <c r="N385" s="2">
        <f>Procurement_kpi_Analysis[[#This Row],[Defective_Units]]/Procurement_kpi_Analysis[[#This Row],[Quantity]]</f>
        <v>1.9607843137254902E-2</v>
      </c>
      <c r="O385" s="2">
        <f>(Procurement_kpi_Analysis[[#This Row],[Unit_Price]]-Procurement_kpi_Analysis[[#This Row],[Negotiated_Price]])*Procurement_kpi_Analysis[[#This Row],[Quantity]]</f>
        <v>1135.2600000000002</v>
      </c>
      <c r="P385" s="2">
        <f>Procurement_kpi_Analysis[[#This Row],[Total Savings]]/Procurement_kpi_Analysis[[#This Row],[Total Spend]]</f>
        <v>0.14269230769230773</v>
      </c>
      <c r="Q385" s="2" t="str">
        <f>IF(Procurement_kpi_Analysis[[#This Row],[Lead Time]]&lt;=14,"On Time","Late")</f>
        <v>On Time</v>
      </c>
      <c r="R385" s="2">
        <f>Procurement_kpi_Analysis[[#This Row],[Unit_Price]]*Procurement_kpi_Analysis[[#This Row],[Quantity]]</f>
        <v>9091.26</v>
      </c>
      <c r="S385" s="2">
        <f>IF(Procurement_kpi_Analysis[[#This Row],[Compliance]]="Yes",1,0)</f>
        <v>1</v>
      </c>
      <c r="T385" s="2">
        <f>IF(Procurement_kpi_Analysis[[#This Row],[Compliance]]="No",1,0)</f>
        <v>0</v>
      </c>
    </row>
    <row r="386" spans="1:20" x14ac:dyDescent="0.3">
      <c r="A386" t="s">
        <v>411</v>
      </c>
      <c r="B386" t="s">
        <v>17</v>
      </c>
      <c r="C386" s="1">
        <v>45118</v>
      </c>
      <c r="D386" s="1">
        <v>45129</v>
      </c>
      <c r="E386" t="s">
        <v>26</v>
      </c>
      <c r="F386" t="s">
        <v>14</v>
      </c>
      <c r="G386">
        <v>1925</v>
      </c>
      <c r="H386">
        <v>70.88</v>
      </c>
      <c r="I386">
        <v>63.41</v>
      </c>
      <c r="J386">
        <v>292</v>
      </c>
      <c r="K386" t="s">
        <v>15</v>
      </c>
      <c r="L386">
        <f>Procurement_kpi_Analysis[[#This Row],[Quantity]]*Procurement_kpi_Analysis[[#This Row],[Negotiated_Price]]</f>
        <v>122064.25</v>
      </c>
      <c r="M386">
        <f>IF(Procurement_kpi_Analysis[[#This Row],[Delivery_Date]]="","",Procurement_kpi_Analysis[[#This Row],[Delivery_Date]]-Procurement_kpi_Analysis[[#This Row],[Order_Date]])</f>
        <v>11</v>
      </c>
      <c r="N386" s="2">
        <f>Procurement_kpi_Analysis[[#This Row],[Defective_Units]]/Procurement_kpi_Analysis[[#This Row],[Quantity]]</f>
        <v>0.15168831168831168</v>
      </c>
      <c r="O386" s="2">
        <f>(Procurement_kpi_Analysis[[#This Row],[Unit_Price]]-Procurement_kpi_Analysis[[#This Row],[Negotiated_Price]])*Procurement_kpi_Analysis[[#This Row],[Quantity]]</f>
        <v>14379.749999999998</v>
      </c>
      <c r="P386" s="2">
        <f>Procurement_kpi_Analysis[[#This Row],[Total Savings]]/Procurement_kpi_Analysis[[#This Row],[Total Spend]]</f>
        <v>0.11780476265573252</v>
      </c>
      <c r="Q386" s="2" t="str">
        <f>IF(Procurement_kpi_Analysis[[#This Row],[Lead Time]]&lt;=14,"On Time","Late")</f>
        <v>On Time</v>
      </c>
      <c r="R386" s="2">
        <f>Procurement_kpi_Analysis[[#This Row],[Unit_Price]]*Procurement_kpi_Analysis[[#This Row],[Quantity]]</f>
        <v>136444</v>
      </c>
      <c r="S386" s="2">
        <f>IF(Procurement_kpi_Analysis[[#This Row],[Compliance]]="Yes",1,0)</f>
        <v>1</v>
      </c>
      <c r="T386" s="2">
        <f>IF(Procurement_kpi_Analysis[[#This Row],[Compliance]]="No",1,0)</f>
        <v>0</v>
      </c>
    </row>
    <row r="387" spans="1:20" x14ac:dyDescent="0.3">
      <c r="A387" t="s">
        <v>412</v>
      </c>
      <c r="B387" t="s">
        <v>23</v>
      </c>
      <c r="C387" s="1">
        <v>45282</v>
      </c>
      <c r="D387" s="1">
        <v>45302</v>
      </c>
      <c r="E387" t="s">
        <v>24</v>
      </c>
      <c r="F387" t="s">
        <v>18</v>
      </c>
      <c r="G387">
        <v>303</v>
      </c>
      <c r="H387">
        <v>12.97</v>
      </c>
      <c r="I387">
        <v>11.42</v>
      </c>
      <c r="J387">
        <v>0</v>
      </c>
      <c r="K387" t="s">
        <v>27</v>
      </c>
      <c r="L387">
        <f>Procurement_kpi_Analysis[[#This Row],[Quantity]]*Procurement_kpi_Analysis[[#This Row],[Negotiated_Price]]</f>
        <v>3460.2599999999998</v>
      </c>
      <c r="M387">
        <f>IF(Procurement_kpi_Analysis[[#This Row],[Delivery_Date]]="","",Procurement_kpi_Analysis[[#This Row],[Delivery_Date]]-Procurement_kpi_Analysis[[#This Row],[Order_Date]])</f>
        <v>20</v>
      </c>
      <c r="N387" s="2">
        <f>Procurement_kpi_Analysis[[#This Row],[Defective_Units]]/Procurement_kpi_Analysis[[#This Row],[Quantity]]</f>
        <v>0</v>
      </c>
      <c r="O387" s="2">
        <f>(Procurement_kpi_Analysis[[#This Row],[Unit_Price]]-Procurement_kpi_Analysis[[#This Row],[Negotiated_Price]])*Procurement_kpi_Analysis[[#This Row],[Quantity]]</f>
        <v>469.6500000000002</v>
      </c>
      <c r="P387" s="2">
        <f>Procurement_kpi_Analysis[[#This Row],[Total Savings]]/Procurement_kpi_Analysis[[#This Row],[Total Spend]]</f>
        <v>0.13572679509632232</v>
      </c>
      <c r="Q387" s="2" t="str">
        <f>IF(Procurement_kpi_Analysis[[#This Row],[Lead Time]]&lt;=14,"On Time","Late")</f>
        <v>Late</v>
      </c>
      <c r="R387" s="2">
        <f>Procurement_kpi_Analysis[[#This Row],[Unit_Price]]*Procurement_kpi_Analysis[[#This Row],[Quantity]]</f>
        <v>3929.9100000000003</v>
      </c>
      <c r="S387" s="2">
        <f>IF(Procurement_kpi_Analysis[[#This Row],[Compliance]]="Yes",1,0)</f>
        <v>0</v>
      </c>
      <c r="T387" s="2">
        <f>IF(Procurement_kpi_Analysis[[#This Row],[Compliance]]="No",1,0)</f>
        <v>1</v>
      </c>
    </row>
    <row r="388" spans="1:20" x14ac:dyDescent="0.3">
      <c r="A388" t="s">
        <v>413</v>
      </c>
      <c r="B388" t="s">
        <v>12</v>
      </c>
      <c r="C388" s="1">
        <v>44871</v>
      </c>
      <c r="D388" s="1">
        <v>44883</v>
      </c>
      <c r="E388" t="s">
        <v>13</v>
      </c>
      <c r="F388" t="s">
        <v>18</v>
      </c>
      <c r="G388">
        <v>1300</v>
      </c>
      <c r="H388">
        <v>92.92</v>
      </c>
      <c r="I388">
        <v>90.63</v>
      </c>
      <c r="J388">
        <v>0</v>
      </c>
      <c r="K388" t="s">
        <v>15</v>
      </c>
      <c r="L388">
        <f>Procurement_kpi_Analysis[[#This Row],[Quantity]]*Procurement_kpi_Analysis[[#This Row],[Negotiated_Price]]</f>
        <v>117819</v>
      </c>
      <c r="M388">
        <f>IF(Procurement_kpi_Analysis[[#This Row],[Delivery_Date]]="","",Procurement_kpi_Analysis[[#This Row],[Delivery_Date]]-Procurement_kpi_Analysis[[#This Row],[Order_Date]])</f>
        <v>12</v>
      </c>
      <c r="N388" s="2">
        <f>Procurement_kpi_Analysis[[#This Row],[Defective_Units]]/Procurement_kpi_Analysis[[#This Row],[Quantity]]</f>
        <v>0</v>
      </c>
      <c r="O388" s="2">
        <f>(Procurement_kpi_Analysis[[#This Row],[Unit_Price]]-Procurement_kpi_Analysis[[#This Row],[Negotiated_Price]])*Procurement_kpi_Analysis[[#This Row],[Quantity]]</f>
        <v>2977.0000000000082</v>
      </c>
      <c r="P388" s="2">
        <f>Procurement_kpi_Analysis[[#This Row],[Total Savings]]/Procurement_kpi_Analysis[[#This Row],[Total Spend]]</f>
        <v>2.5267571444334176E-2</v>
      </c>
      <c r="Q388" s="2" t="str">
        <f>IF(Procurement_kpi_Analysis[[#This Row],[Lead Time]]&lt;=14,"On Time","Late")</f>
        <v>On Time</v>
      </c>
      <c r="R388" s="2">
        <f>Procurement_kpi_Analysis[[#This Row],[Unit_Price]]*Procurement_kpi_Analysis[[#This Row],[Quantity]]</f>
        <v>120796</v>
      </c>
      <c r="S388" s="2">
        <f>IF(Procurement_kpi_Analysis[[#This Row],[Compliance]]="Yes",1,0)</f>
        <v>1</v>
      </c>
      <c r="T388" s="2">
        <f>IF(Procurement_kpi_Analysis[[#This Row],[Compliance]]="No",1,0)</f>
        <v>0</v>
      </c>
    </row>
    <row r="389" spans="1:20" x14ac:dyDescent="0.3">
      <c r="A389" t="s">
        <v>414</v>
      </c>
      <c r="B389" t="s">
        <v>20</v>
      </c>
      <c r="C389" s="1">
        <v>45188</v>
      </c>
      <c r="D389" s="1">
        <v>45192</v>
      </c>
      <c r="E389" t="s">
        <v>26</v>
      </c>
      <c r="F389" t="s">
        <v>18</v>
      </c>
      <c r="G389">
        <v>1185</v>
      </c>
      <c r="H389">
        <v>103.28</v>
      </c>
      <c r="I389">
        <v>99.05</v>
      </c>
      <c r="J389">
        <v>0</v>
      </c>
      <c r="K389" t="s">
        <v>15</v>
      </c>
      <c r="L389">
        <f>Procurement_kpi_Analysis[[#This Row],[Quantity]]*Procurement_kpi_Analysis[[#This Row],[Negotiated_Price]]</f>
        <v>117374.25</v>
      </c>
      <c r="M389">
        <f>IF(Procurement_kpi_Analysis[[#This Row],[Delivery_Date]]="","",Procurement_kpi_Analysis[[#This Row],[Delivery_Date]]-Procurement_kpi_Analysis[[#This Row],[Order_Date]])</f>
        <v>4</v>
      </c>
      <c r="N389" s="2">
        <f>Procurement_kpi_Analysis[[#This Row],[Defective_Units]]/Procurement_kpi_Analysis[[#This Row],[Quantity]]</f>
        <v>0</v>
      </c>
      <c r="O389" s="2">
        <f>(Procurement_kpi_Analysis[[#This Row],[Unit_Price]]-Procurement_kpi_Analysis[[#This Row],[Negotiated_Price]])*Procurement_kpi_Analysis[[#This Row],[Quantity]]</f>
        <v>5012.5500000000047</v>
      </c>
      <c r="P389" s="2">
        <f>Procurement_kpi_Analysis[[#This Row],[Total Savings]]/Procurement_kpi_Analysis[[#This Row],[Total Spend]]</f>
        <v>4.270570418980317E-2</v>
      </c>
      <c r="Q389" s="2" t="str">
        <f>IF(Procurement_kpi_Analysis[[#This Row],[Lead Time]]&lt;=14,"On Time","Late")</f>
        <v>On Time</v>
      </c>
      <c r="R389" s="2">
        <f>Procurement_kpi_Analysis[[#This Row],[Unit_Price]]*Procurement_kpi_Analysis[[#This Row],[Quantity]]</f>
        <v>122386.8</v>
      </c>
      <c r="S389" s="2">
        <f>IF(Procurement_kpi_Analysis[[#This Row],[Compliance]]="Yes",1,0)</f>
        <v>1</v>
      </c>
      <c r="T389" s="2">
        <f>IF(Procurement_kpi_Analysis[[#This Row],[Compliance]]="No",1,0)</f>
        <v>0</v>
      </c>
    </row>
    <row r="390" spans="1:20" x14ac:dyDescent="0.3">
      <c r="A390" t="s">
        <v>415</v>
      </c>
      <c r="B390" t="s">
        <v>29</v>
      </c>
      <c r="C390" s="1">
        <v>45231</v>
      </c>
      <c r="D390" s="1">
        <v>45250</v>
      </c>
      <c r="E390" t="s">
        <v>26</v>
      </c>
      <c r="F390" t="s">
        <v>18</v>
      </c>
      <c r="G390">
        <v>559</v>
      </c>
      <c r="H390">
        <v>67.56</v>
      </c>
      <c r="I390">
        <v>57.98</v>
      </c>
      <c r="J390">
        <v>15</v>
      </c>
      <c r="K390" t="s">
        <v>15</v>
      </c>
      <c r="L390">
        <f>Procurement_kpi_Analysis[[#This Row],[Quantity]]*Procurement_kpi_Analysis[[#This Row],[Negotiated_Price]]</f>
        <v>32410.82</v>
      </c>
      <c r="M390">
        <f>IF(Procurement_kpi_Analysis[[#This Row],[Delivery_Date]]="","",Procurement_kpi_Analysis[[#This Row],[Delivery_Date]]-Procurement_kpi_Analysis[[#This Row],[Order_Date]])</f>
        <v>19</v>
      </c>
      <c r="N390" s="2">
        <f>Procurement_kpi_Analysis[[#This Row],[Defective_Units]]/Procurement_kpi_Analysis[[#This Row],[Quantity]]</f>
        <v>2.6833631484794274E-2</v>
      </c>
      <c r="O390" s="2">
        <f>(Procurement_kpi_Analysis[[#This Row],[Unit_Price]]-Procurement_kpi_Analysis[[#This Row],[Negotiated_Price]])*Procurement_kpi_Analysis[[#This Row],[Quantity]]</f>
        <v>5355.220000000003</v>
      </c>
      <c r="P390" s="2">
        <f>Procurement_kpi_Analysis[[#This Row],[Total Savings]]/Procurement_kpi_Analysis[[#This Row],[Total Spend]]</f>
        <v>0.16522938944463617</v>
      </c>
      <c r="Q390" s="2" t="str">
        <f>IF(Procurement_kpi_Analysis[[#This Row],[Lead Time]]&lt;=14,"On Time","Late")</f>
        <v>Late</v>
      </c>
      <c r="R390" s="2">
        <f>Procurement_kpi_Analysis[[#This Row],[Unit_Price]]*Procurement_kpi_Analysis[[#This Row],[Quantity]]</f>
        <v>37766.04</v>
      </c>
      <c r="S390" s="2">
        <f>IF(Procurement_kpi_Analysis[[#This Row],[Compliance]]="Yes",1,0)</f>
        <v>1</v>
      </c>
      <c r="T390" s="2">
        <f>IF(Procurement_kpi_Analysis[[#This Row],[Compliance]]="No",1,0)</f>
        <v>0</v>
      </c>
    </row>
    <row r="391" spans="1:20" x14ac:dyDescent="0.3">
      <c r="A391" t="s">
        <v>416</v>
      </c>
      <c r="B391" t="s">
        <v>29</v>
      </c>
      <c r="C391" s="1">
        <v>45103</v>
      </c>
      <c r="D391" s="1">
        <v>45106</v>
      </c>
      <c r="E391" t="s">
        <v>39</v>
      </c>
      <c r="F391" t="s">
        <v>35</v>
      </c>
      <c r="G391">
        <v>1546</v>
      </c>
      <c r="H391">
        <v>78.88</v>
      </c>
      <c r="I391">
        <v>78</v>
      </c>
      <c r="J391">
        <v>38</v>
      </c>
      <c r="K391" t="s">
        <v>15</v>
      </c>
      <c r="L391">
        <f>Procurement_kpi_Analysis[[#This Row],[Quantity]]*Procurement_kpi_Analysis[[#This Row],[Negotiated_Price]]</f>
        <v>120588</v>
      </c>
      <c r="M391">
        <f>IF(Procurement_kpi_Analysis[[#This Row],[Delivery_Date]]="","",Procurement_kpi_Analysis[[#This Row],[Delivery_Date]]-Procurement_kpi_Analysis[[#This Row],[Order_Date]])</f>
        <v>3</v>
      </c>
      <c r="N391" s="2">
        <f>Procurement_kpi_Analysis[[#This Row],[Defective_Units]]/Procurement_kpi_Analysis[[#This Row],[Quantity]]</f>
        <v>2.4579560155239329E-2</v>
      </c>
      <c r="O391" s="2">
        <f>(Procurement_kpi_Analysis[[#This Row],[Unit_Price]]-Procurement_kpi_Analysis[[#This Row],[Negotiated_Price]])*Procurement_kpi_Analysis[[#This Row],[Quantity]]</f>
        <v>1360.479999999993</v>
      </c>
      <c r="P391" s="2">
        <f>Procurement_kpi_Analysis[[#This Row],[Total Savings]]/Procurement_kpi_Analysis[[#This Row],[Total Spend]]</f>
        <v>1.1282051282051224E-2</v>
      </c>
      <c r="Q391" s="2" t="str">
        <f>IF(Procurement_kpi_Analysis[[#This Row],[Lead Time]]&lt;=14,"On Time","Late")</f>
        <v>On Time</v>
      </c>
      <c r="R391" s="2">
        <f>Procurement_kpi_Analysis[[#This Row],[Unit_Price]]*Procurement_kpi_Analysis[[#This Row],[Quantity]]</f>
        <v>121948.48</v>
      </c>
      <c r="S391" s="2">
        <f>IF(Procurement_kpi_Analysis[[#This Row],[Compliance]]="Yes",1,0)</f>
        <v>1</v>
      </c>
      <c r="T391" s="2">
        <f>IF(Procurement_kpi_Analysis[[#This Row],[Compliance]]="No",1,0)</f>
        <v>0</v>
      </c>
    </row>
    <row r="392" spans="1:20" x14ac:dyDescent="0.3">
      <c r="A392" t="s">
        <v>417</v>
      </c>
      <c r="B392" t="s">
        <v>29</v>
      </c>
      <c r="C392" s="1">
        <v>44570</v>
      </c>
      <c r="D392" s="1">
        <v>44580</v>
      </c>
      <c r="E392" t="s">
        <v>24</v>
      </c>
      <c r="F392" t="s">
        <v>18</v>
      </c>
      <c r="G392">
        <v>148</v>
      </c>
      <c r="H392">
        <v>93.02</v>
      </c>
      <c r="I392">
        <v>85.96</v>
      </c>
      <c r="J392">
        <v>4</v>
      </c>
      <c r="K392" t="s">
        <v>15</v>
      </c>
      <c r="L392">
        <f>Procurement_kpi_Analysis[[#This Row],[Quantity]]*Procurement_kpi_Analysis[[#This Row],[Negotiated_Price]]</f>
        <v>12722.08</v>
      </c>
      <c r="M392">
        <f>IF(Procurement_kpi_Analysis[[#This Row],[Delivery_Date]]="","",Procurement_kpi_Analysis[[#This Row],[Delivery_Date]]-Procurement_kpi_Analysis[[#This Row],[Order_Date]])</f>
        <v>10</v>
      </c>
      <c r="N392" s="2">
        <f>Procurement_kpi_Analysis[[#This Row],[Defective_Units]]/Procurement_kpi_Analysis[[#This Row],[Quantity]]</f>
        <v>2.7027027027027029E-2</v>
      </c>
      <c r="O392" s="2">
        <f>(Procurement_kpi_Analysis[[#This Row],[Unit_Price]]-Procurement_kpi_Analysis[[#This Row],[Negotiated_Price]])*Procurement_kpi_Analysis[[#This Row],[Quantity]]</f>
        <v>1044.8800000000003</v>
      </c>
      <c r="P392" s="2">
        <f>Procurement_kpi_Analysis[[#This Row],[Total Savings]]/Procurement_kpi_Analysis[[#This Row],[Total Spend]]</f>
        <v>8.2131223825034932E-2</v>
      </c>
      <c r="Q392" s="2" t="str">
        <f>IF(Procurement_kpi_Analysis[[#This Row],[Lead Time]]&lt;=14,"On Time","Late")</f>
        <v>On Time</v>
      </c>
      <c r="R392" s="2">
        <f>Procurement_kpi_Analysis[[#This Row],[Unit_Price]]*Procurement_kpi_Analysis[[#This Row],[Quantity]]</f>
        <v>13766.96</v>
      </c>
      <c r="S392" s="2">
        <f>IF(Procurement_kpi_Analysis[[#This Row],[Compliance]]="Yes",1,0)</f>
        <v>1</v>
      </c>
      <c r="T392" s="2">
        <f>IF(Procurement_kpi_Analysis[[#This Row],[Compliance]]="No",1,0)</f>
        <v>0</v>
      </c>
    </row>
    <row r="393" spans="1:20" x14ac:dyDescent="0.3">
      <c r="A393" t="s">
        <v>418</v>
      </c>
      <c r="B393" t="s">
        <v>17</v>
      </c>
      <c r="C393" s="1">
        <v>45245</v>
      </c>
      <c r="D393" s="1">
        <v>45253</v>
      </c>
      <c r="E393" t="s">
        <v>13</v>
      </c>
      <c r="F393" t="s">
        <v>18</v>
      </c>
      <c r="G393">
        <v>202</v>
      </c>
      <c r="H393">
        <v>81.75</v>
      </c>
      <c r="I393">
        <v>78.260000000000005</v>
      </c>
      <c r="J393">
        <v>37</v>
      </c>
      <c r="K393" t="s">
        <v>27</v>
      </c>
      <c r="L393">
        <f>Procurement_kpi_Analysis[[#This Row],[Quantity]]*Procurement_kpi_Analysis[[#This Row],[Negotiated_Price]]</f>
        <v>15808.52</v>
      </c>
      <c r="M393">
        <f>IF(Procurement_kpi_Analysis[[#This Row],[Delivery_Date]]="","",Procurement_kpi_Analysis[[#This Row],[Delivery_Date]]-Procurement_kpi_Analysis[[#This Row],[Order_Date]])</f>
        <v>8</v>
      </c>
      <c r="N393" s="2">
        <f>Procurement_kpi_Analysis[[#This Row],[Defective_Units]]/Procurement_kpi_Analysis[[#This Row],[Quantity]]</f>
        <v>0.18316831683168316</v>
      </c>
      <c r="O393" s="2">
        <f>(Procurement_kpi_Analysis[[#This Row],[Unit_Price]]-Procurement_kpi_Analysis[[#This Row],[Negotiated_Price]])*Procurement_kpi_Analysis[[#This Row],[Quantity]]</f>
        <v>704.979999999999</v>
      </c>
      <c r="P393" s="2">
        <f>Procurement_kpi_Analysis[[#This Row],[Total Savings]]/Procurement_kpi_Analysis[[#This Row],[Total Spend]]</f>
        <v>4.4594939943777091E-2</v>
      </c>
      <c r="Q393" s="2" t="str">
        <f>IF(Procurement_kpi_Analysis[[#This Row],[Lead Time]]&lt;=14,"On Time","Late")</f>
        <v>On Time</v>
      </c>
      <c r="R393" s="2">
        <f>Procurement_kpi_Analysis[[#This Row],[Unit_Price]]*Procurement_kpi_Analysis[[#This Row],[Quantity]]</f>
        <v>16513.5</v>
      </c>
      <c r="S393" s="2">
        <f>IF(Procurement_kpi_Analysis[[#This Row],[Compliance]]="Yes",1,0)</f>
        <v>0</v>
      </c>
      <c r="T393" s="2">
        <f>IF(Procurement_kpi_Analysis[[#This Row],[Compliance]]="No",1,0)</f>
        <v>1</v>
      </c>
    </row>
    <row r="394" spans="1:20" x14ac:dyDescent="0.3">
      <c r="A394" t="s">
        <v>419</v>
      </c>
      <c r="B394" t="s">
        <v>20</v>
      </c>
      <c r="C394" s="1">
        <v>45129</v>
      </c>
      <c r="D394" s="1">
        <v>45135</v>
      </c>
      <c r="E394" t="s">
        <v>24</v>
      </c>
      <c r="F394" t="s">
        <v>18</v>
      </c>
      <c r="G394">
        <v>1934</v>
      </c>
      <c r="H394">
        <v>25.86</v>
      </c>
      <c r="I394">
        <v>25.6</v>
      </c>
      <c r="J394">
        <v>78</v>
      </c>
      <c r="K394" t="s">
        <v>15</v>
      </c>
      <c r="L394">
        <f>Procurement_kpi_Analysis[[#This Row],[Quantity]]*Procurement_kpi_Analysis[[#This Row],[Negotiated_Price]]</f>
        <v>49510.400000000001</v>
      </c>
      <c r="M394">
        <f>IF(Procurement_kpi_Analysis[[#This Row],[Delivery_Date]]="","",Procurement_kpi_Analysis[[#This Row],[Delivery_Date]]-Procurement_kpi_Analysis[[#This Row],[Order_Date]])</f>
        <v>6</v>
      </c>
      <c r="N394" s="2">
        <f>Procurement_kpi_Analysis[[#This Row],[Defective_Units]]/Procurement_kpi_Analysis[[#This Row],[Quantity]]</f>
        <v>4.0330920372285417E-2</v>
      </c>
      <c r="O394" s="2">
        <f>(Procurement_kpi_Analysis[[#This Row],[Unit_Price]]-Procurement_kpi_Analysis[[#This Row],[Negotiated_Price]])*Procurement_kpi_Analysis[[#This Row],[Quantity]]</f>
        <v>502.83999999999617</v>
      </c>
      <c r="P394" s="2">
        <f>Procurement_kpi_Analysis[[#This Row],[Total Savings]]/Procurement_kpi_Analysis[[#This Row],[Total Spend]]</f>
        <v>1.0156249999999922E-2</v>
      </c>
      <c r="Q394" s="2" t="str">
        <f>IF(Procurement_kpi_Analysis[[#This Row],[Lead Time]]&lt;=14,"On Time","Late")</f>
        <v>On Time</v>
      </c>
      <c r="R394" s="2">
        <f>Procurement_kpi_Analysis[[#This Row],[Unit_Price]]*Procurement_kpi_Analysis[[#This Row],[Quantity]]</f>
        <v>50013.24</v>
      </c>
      <c r="S394" s="2">
        <f>IF(Procurement_kpi_Analysis[[#This Row],[Compliance]]="Yes",1,0)</f>
        <v>1</v>
      </c>
      <c r="T394" s="2">
        <f>IF(Procurement_kpi_Analysis[[#This Row],[Compliance]]="No",1,0)</f>
        <v>0</v>
      </c>
    </row>
    <row r="395" spans="1:20" x14ac:dyDescent="0.3">
      <c r="A395" t="s">
        <v>420</v>
      </c>
      <c r="B395" t="s">
        <v>12</v>
      </c>
      <c r="C395" s="1">
        <v>44868</v>
      </c>
      <c r="D395" s="1">
        <v>44872</v>
      </c>
      <c r="E395" t="s">
        <v>13</v>
      </c>
      <c r="F395" t="s">
        <v>18</v>
      </c>
      <c r="G395">
        <v>963</v>
      </c>
      <c r="H395">
        <v>64.959999999999994</v>
      </c>
      <c r="I395">
        <v>64.069999999999993</v>
      </c>
      <c r="J395">
        <v>20</v>
      </c>
      <c r="K395" t="s">
        <v>15</v>
      </c>
      <c r="L395">
        <f>Procurement_kpi_Analysis[[#This Row],[Quantity]]*Procurement_kpi_Analysis[[#This Row],[Negotiated_Price]]</f>
        <v>61699.409999999996</v>
      </c>
      <c r="M395">
        <f>IF(Procurement_kpi_Analysis[[#This Row],[Delivery_Date]]="","",Procurement_kpi_Analysis[[#This Row],[Delivery_Date]]-Procurement_kpi_Analysis[[#This Row],[Order_Date]])</f>
        <v>4</v>
      </c>
      <c r="N395" s="2">
        <f>Procurement_kpi_Analysis[[#This Row],[Defective_Units]]/Procurement_kpi_Analysis[[#This Row],[Quantity]]</f>
        <v>2.0768431983385256E-2</v>
      </c>
      <c r="O395" s="2">
        <f>(Procurement_kpi_Analysis[[#This Row],[Unit_Price]]-Procurement_kpi_Analysis[[#This Row],[Negotiated_Price]])*Procurement_kpi_Analysis[[#This Row],[Quantity]]</f>
        <v>857.0700000000005</v>
      </c>
      <c r="P395" s="2">
        <f>Procurement_kpi_Analysis[[#This Row],[Total Savings]]/Procurement_kpi_Analysis[[#This Row],[Total Spend]]</f>
        <v>1.3891056656781654E-2</v>
      </c>
      <c r="Q395" s="2" t="str">
        <f>IF(Procurement_kpi_Analysis[[#This Row],[Lead Time]]&lt;=14,"On Time","Late")</f>
        <v>On Time</v>
      </c>
      <c r="R395" s="2">
        <f>Procurement_kpi_Analysis[[#This Row],[Unit_Price]]*Procurement_kpi_Analysis[[#This Row],[Quantity]]</f>
        <v>62556.479999999996</v>
      </c>
      <c r="S395" s="2">
        <f>IF(Procurement_kpi_Analysis[[#This Row],[Compliance]]="Yes",1,0)</f>
        <v>1</v>
      </c>
      <c r="T395" s="2">
        <f>IF(Procurement_kpi_Analysis[[#This Row],[Compliance]]="No",1,0)</f>
        <v>0</v>
      </c>
    </row>
    <row r="396" spans="1:20" x14ac:dyDescent="0.3">
      <c r="A396" t="s">
        <v>421</v>
      </c>
      <c r="B396" t="s">
        <v>20</v>
      </c>
      <c r="C396" s="1">
        <v>45241</v>
      </c>
      <c r="D396" s="1">
        <v>45248</v>
      </c>
      <c r="E396" t="s">
        <v>21</v>
      </c>
      <c r="F396" t="s">
        <v>18</v>
      </c>
      <c r="G396">
        <v>1969</v>
      </c>
      <c r="H396">
        <v>71.709999999999994</v>
      </c>
      <c r="I396">
        <v>61.96</v>
      </c>
      <c r="J396">
        <v>0</v>
      </c>
      <c r="K396" t="s">
        <v>15</v>
      </c>
      <c r="L396">
        <f>Procurement_kpi_Analysis[[#This Row],[Quantity]]*Procurement_kpi_Analysis[[#This Row],[Negotiated_Price]]</f>
        <v>121999.24</v>
      </c>
      <c r="M396">
        <f>IF(Procurement_kpi_Analysis[[#This Row],[Delivery_Date]]="","",Procurement_kpi_Analysis[[#This Row],[Delivery_Date]]-Procurement_kpi_Analysis[[#This Row],[Order_Date]])</f>
        <v>7</v>
      </c>
      <c r="N396" s="2">
        <f>Procurement_kpi_Analysis[[#This Row],[Defective_Units]]/Procurement_kpi_Analysis[[#This Row],[Quantity]]</f>
        <v>0</v>
      </c>
      <c r="O396" s="2">
        <f>(Procurement_kpi_Analysis[[#This Row],[Unit_Price]]-Procurement_kpi_Analysis[[#This Row],[Negotiated_Price]])*Procurement_kpi_Analysis[[#This Row],[Quantity]]</f>
        <v>19197.749999999985</v>
      </c>
      <c r="P396" s="2">
        <f>Procurement_kpi_Analysis[[#This Row],[Total Savings]]/Procurement_kpi_Analysis[[#This Row],[Total Spend]]</f>
        <v>0.15735958683021292</v>
      </c>
      <c r="Q396" s="2" t="str">
        <f>IF(Procurement_kpi_Analysis[[#This Row],[Lead Time]]&lt;=14,"On Time","Late")</f>
        <v>On Time</v>
      </c>
      <c r="R396" s="2">
        <f>Procurement_kpi_Analysis[[#This Row],[Unit_Price]]*Procurement_kpi_Analysis[[#This Row],[Quantity]]</f>
        <v>141196.99</v>
      </c>
      <c r="S396" s="2">
        <f>IF(Procurement_kpi_Analysis[[#This Row],[Compliance]]="Yes",1,0)</f>
        <v>1</v>
      </c>
      <c r="T396" s="2">
        <f>IF(Procurement_kpi_Analysis[[#This Row],[Compliance]]="No",1,0)</f>
        <v>0</v>
      </c>
    </row>
    <row r="397" spans="1:20" x14ac:dyDescent="0.3">
      <c r="A397" t="s">
        <v>422</v>
      </c>
      <c r="B397" t="s">
        <v>17</v>
      </c>
      <c r="C397" s="1">
        <v>44668</v>
      </c>
      <c r="D397" s="1"/>
      <c r="E397" t="s">
        <v>39</v>
      </c>
      <c r="F397" t="s">
        <v>18</v>
      </c>
      <c r="G397">
        <v>927</v>
      </c>
      <c r="H397">
        <v>48.89</v>
      </c>
      <c r="I397">
        <v>46.05</v>
      </c>
      <c r="J397">
        <v>138</v>
      </c>
      <c r="K397" t="s">
        <v>15</v>
      </c>
      <c r="L397">
        <f>Procurement_kpi_Analysis[[#This Row],[Quantity]]*Procurement_kpi_Analysis[[#This Row],[Negotiated_Price]]</f>
        <v>42688.35</v>
      </c>
      <c r="M397" t="str">
        <f>IF(Procurement_kpi_Analysis[[#This Row],[Delivery_Date]]="","",Procurement_kpi_Analysis[[#This Row],[Delivery_Date]]-Procurement_kpi_Analysis[[#This Row],[Order_Date]])</f>
        <v/>
      </c>
      <c r="N397" s="2">
        <f>Procurement_kpi_Analysis[[#This Row],[Defective_Units]]/Procurement_kpi_Analysis[[#This Row],[Quantity]]</f>
        <v>0.14886731391585761</v>
      </c>
      <c r="O397" s="2">
        <f>(Procurement_kpi_Analysis[[#This Row],[Unit_Price]]-Procurement_kpi_Analysis[[#This Row],[Negotiated_Price]])*Procurement_kpi_Analysis[[#This Row],[Quantity]]</f>
        <v>2632.680000000003</v>
      </c>
      <c r="P397" s="2">
        <f>Procurement_kpi_Analysis[[#This Row],[Total Savings]]/Procurement_kpi_Analysis[[#This Row],[Total Spend]]</f>
        <v>6.1672095548317117E-2</v>
      </c>
      <c r="Q397" s="2" t="str">
        <f>IF(Procurement_kpi_Analysis[[#This Row],[Lead Time]]&lt;=14,"On Time","Late")</f>
        <v>Late</v>
      </c>
      <c r="R397" s="2">
        <f>Procurement_kpi_Analysis[[#This Row],[Unit_Price]]*Procurement_kpi_Analysis[[#This Row],[Quantity]]</f>
        <v>45321.03</v>
      </c>
      <c r="S397" s="2">
        <f>IF(Procurement_kpi_Analysis[[#This Row],[Compliance]]="Yes",1,0)</f>
        <v>1</v>
      </c>
      <c r="T397" s="2">
        <f>IF(Procurement_kpi_Analysis[[#This Row],[Compliance]]="No",1,0)</f>
        <v>0</v>
      </c>
    </row>
    <row r="398" spans="1:20" x14ac:dyDescent="0.3">
      <c r="A398" t="s">
        <v>423</v>
      </c>
      <c r="B398" t="s">
        <v>17</v>
      </c>
      <c r="C398" s="1">
        <v>44699</v>
      </c>
      <c r="D398" s="1">
        <v>44704</v>
      </c>
      <c r="E398" t="s">
        <v>26</v>
      </c>
      <c r="F398" t="s">
        <v>14</v>
      </c>
      <c r="G398">
        <v>387</v>
      </c>
      <c r="H398">
        <v>77.81</v>
      </c>
      <c r="I398">
        <v>69.040000000000006</v>
      </c>
      <c r="J398">
        <v>67</v>
      </c>
      <c r="K398" t="s">
        <v>15</v>
      </c>
      <c r="L398">
        <f>Procurement_kpi_Analysis[[#This Row],[Quantity]]*Procurement_kpi_Analysis[[#This Row],[Negotiated_Price]]</f>
        <v>26718.480000000003</v>
      </c>
      <c r="M398">
        <f>IF(Procurement_kpi_Analysis[[#This Row],[Delivery_Date]]="","",Procurement_kpi_Analysis[[#This Row],[Delivery_Date]]-Procurement_kpi_Analysis[[#This Row],[Order_Date]])</f>
        <v>5</v>
      </c>
      <c r="N398" s="2">
        <f>Procurement_kpi_Analysis[[#This Row],[Defective_Units]]/Procurement_kpi_Analysis[[#This Row],[Quantity]]</f>
        <v>0.1731266149870801</v>
      </c>
      <c r="O398" s="2">
        <f>(Procurement_kpi_Analysis[[#This Row],[Unit_Price]]-Procurement_kpi_Analysis[[#This Row],[Negotiated_Price]])*Procurement_kpi_Analysis[[#This Row],[Quantity]]</f>
        <v>3393.9899999999984</v>
      </c>
      <c r="P398" s="2">
        <f>Procurement_kpi_Analysis[[#This Row],[Total Savings]]/Procurement_kpi_Analysis[[#This Row],[Total Spend]]</f>
        <v>0.12702780996523746</v>
      </c>
      <c r="Q398" s="2" t="str">
        <f>IF(Procurement_kpi_Analysis[[#This Row],[Lead Time]]&lt;=14,"On Time","Late")</f>
        <v>On Time</v>
      </c>
      <c r="R398" s="2">
        <f>Procurement_kpi_Analysis[[#This Row],[Unit_Price]]*Procurement_kpi_Analysis[[#This Row],[Quantity]]</f>
        <v>30112.47</v>
      </c>
      <c r="S398" s="2">
        <f>IF(Procurement_kpi_Analysis[[#This Row],[Compliance]]="Yes",1,0)</f>
        <v>1</v>
      </c>
      <c r="T398" s="2">
        <f>IF(Procurement_kpi_Analysis[[#This Row],[Compliance]]="No",1,0)</f>
        <v>0</v>
      </c>
    </row>
    <row r="399" spans="1:20" x14ac:dyDescent="0.3">
      <c r="A399" t="s">
        <v>424</v>
      </c>
      <c r="B399" t="s">
        <v>23</v>
      </c>
      <c r="C399" s="1">
        <v>44832</v>
      </c>
      <c r="D399" s="1">
        <v>44837</v>
      </c>
      <c r="E399" t="s">
        <v>39</v>
      </c>
      <c r="F399" t="s">
        <v>18</v>
      </c>
      <c r="G399">
        <v>1779</v>
      </c>
      <c r="H399">
        <v>97.86</v>
      </c>
      <c r="I399">
        <v>94.36</v>
      </c>
      <c r="J399">
        <v>176</v>
      </c>
      <c r="K399" t="s">
        <v>15</v>
      </c>
      <c r="L399">
        <f>Procurement_kpi_Analysis[[#This Row],[Quantity]]*Procurement_kpi_Analysis[[#This Row],[Negotiated_Price]]</f>
        <v>167866.44</v>
      </c>
      <c r="M399">
        <f>IF(Procurement_kpi_Analysis[[#This Row],[Delivery_Date]]="","",Procurement_kpi_Analysis[[#This Row],[Delivery_Date]]-Procurement_kpi_Analysis[[#This Row],[Order_Date]])</f>
        <v>5</v>
      </c>
      <c r="N399" s="2">
        <f>Procurement_kpi_Analysis[[#This Row],[Defective_Units]]/Procurement_kpi_Analysis[[#This Row],[Quantity]]</f>
        <v>9.8931984260820685E-2</v>
      </c>
      <c r="O399" s="2">
        <f>(Procurement_kpi_Analysis[[#This Row],[Unit_Price]]-Procurement_kpi_Analysis[[#This Row],[Negotiated_Price]])*Procurement_kpi_Analysis[[#This Row],[Quantity]]</f>
        <v>6226.5</v>
      </c>
      <c r="P399" s="2">
        <f>Procurement_kpi_Analysis[[#This Row],[Total Savings]]/Procurement_kpi_Analysis[[#This Row],[Total Spend]]</f>
        <v>3.7091988130563795E-2</v>
      </c>
      <c r="Q399" s="2" t="str">
        <f>IF(Procurement_kpi_Analysis[[#This Row],[Lead Time]]&lt;=14,"On Time","Late")</f>
        <v>On Time</v>
      </c>
      <c r="R399" s="2">
        <f>Procurement_kpi_Analysis[[#This Row],[Unit_Price]]*Procurement_kpi_Analysis[[#This Row],[Quantity]]</f>
        <v>174092.94</v>
      </c>
      <c r="S399" s="2">
        <f>IF(Procurement_kpi_Analysis[[#This Row],[Compliance]]="Yes",1,0)</f>
        <v>1</v>
      </c>
      <c r="T399" s="2">
        <f>IF(Procurement_kpi_Analysis[[#This Row],[Compliance]]="No",1,0)</f>
        <v>0</v>
      </c>
    </row>
    <row r="400" spans="1:20" x14ac:dyDescent="0.3">
      <c r="A400" t="s">
        <v>425</v>
      </c>
      <c r="B400" t="s">
        <v>20</v>
      </c>
      <c r="C400" s="1">
        <v>44680</v>
      </c>
      <c r="D400" s="1">
        <v>44686</v>
      </c>
      <c r="E400" t="s">
        <v>21</v>
      </c>
      <c r="F400" t="s">
        <v>35</v>
      </c>
      <c r="G400">
        <v>871</v>
      </c>
      <c r="H400">
        <v>94.7</v>
      </c>
      <c r="I400">
        <v>92.66</v>
      </c>
      <c r="J400">
        <v>46</v>
      </c>
      <c r="K400" t="s">
        <v>15</v>
      </c>
      <c r="L400">
        <f>Procurement_kpi_Analysis[[#This Row],[Quantity]]*Procurement_kpi_Analysis[[#This Row],[Negotiated_Price]]</f>
        <v>80706.86</v>
      </c>
      <c r="M400">
        <f>IF(Procurement_kpi_Analysis[[#This Row],[Delivery_Date]]="","",Procurement_kpi_Analysis[[#This Row],[Delivery_Date]]-Procurement_kpi_Analysis[[#This Row],[Order_Date]])</f>
        <v>6</v>
      </c>
      <c r="N400" s="2">
        <f>Procurement_kpi_Analysis[[#This Row],[Defective_Units]]/Procurement_kpi_Analysis[[#This Row],[Quantity]]</f>
        <v>5.2812858783008038E-2</v>
      </c>
      <c r="O400" s="2">
        <f>(Procurement_kpi_Analysis[[#This Row],[Unit_Price]]-Procurement_kpi_Analysis[[#This Row],[Negotiated_Price]])*Procurement_kpi_Analysis[[#This Row],[Quantity]]</f>
        <v>1776.8400000000054</v>
      </c>
      <c r="P400" s="2">
        <f>Procurement_kpi_Analysis[[#This Row],[Total Savings]]/Procurement_kpi_Analysis[[#This Row],[Total Spend]]</f>
        <v>2.2015972372113168E-2</v>
      </c>
      <c r="Q400" s="2" t="str">
        <f>IF(Procurement_kpi_Analysis[[#This Row],[Lead Time]]&lt;=14,"On Time","Late")</f>
        <v>On Time</v>
      </c>
      <c r="R400" s="2">
        <f>Procurement_kpi_Analysis[[#This Row],[Unit_Price]]*Procurement_kpi_Analysis[[#This Row],[Quantity]]</f>
        <v>82483.7</v>
      </c>
      <c r="S400" s="2">
        <f>IF(Procurement_kpi_Analysis[[#This Row],[Compliance]]="Yes",1,0)</f>
        <v>1</v>
      </c>
      <c r="T400" s="2">
        <f>IF(Procurement_kpi_Analysis[[#This Row],[Compliance]]="No",1,0)</f>
        <v>0</v>
      </c>
    </row>
    <row r="401" spans="1:20" x14ac:dyDescent="0.3">
      <c r="A401" t="s">
        <v>426</v>
      </c>
      <c r="B401" t="s">
        <v>29</v>
      </c>
      <c r="C401" s="1">
        <v>44671</v>
      </c>
      <c r="D401" s="1">
        <v>44674</v>
      </c>
      <c r="E401" t="s">
        <v>39</v>
      </c>
      <c r="F401" t="s">
        <v>18</v>
      </c>
      <c r="G401">
        <v>1236</v>
      </c>
      <c r="H401">
        <v>51.33</v>
      </c>
      <c r="I401">
        <v>44.03</v>
      </c>
      <c r="J401">
        <v>25</v>
      </c>
      <c r="K401" t="s">
        <v>15</v>
      </c>
      <c r="L401">
        <f>Procurement_kpi_Analysis[[#This Row],[Quantity]]*Procurement_kpi_Analysis[[#This Row],[Negotiated_Price]]</f>
        <v>54421.08</v>
      </c>
      <c r="M401">
        <f>IF(Procurement_kpi_Analysis[[#This Row],[Delivery_Date]]="","",Procurement_kpi_Analysis[[#This Row],[Delivery_Date]]-Procurement_kpi_Analysis[[#This Row],[Order_Date]])</f>
        <v>3</v>
      </c>
      <c r="N401" s="2">
        <f>Procurement_kpi_Analysis[[#This Row],[Defective_Units]]/Procurement_kpi_Analysis[[#This Row],[Quantity]]</f>
        <v>2.0226537216828478E-2</v>
      </c>
      <c r="O401" s="2">
        <f>(Procurement_kpi_Analysis[[#This Row],[Unit_Price]]-Procurement_kpi_Analysis[[#This Row],[Negotiated_Price]])*Procurement_kpi_Analysis[[#This Row],[Quantity]]</f>
        <v>9022.7999999999956</v>
      </c>
      <c r="P401" s="2">
        <f>Procurement_kpi_Analysis[[#This Row],[Total Savings]]/Procurement_kpi_Analysis[[#This Row],[Total Spend]]</f>
        <v>0.16579604814898924</v>
      </c>
      <c r="Q401" s="2" t="str">
        <f>IF(Procurement_kpi_Analysis[[#This Row],[Lead Time]]&lt;=14,"On Time","Late")</f>
        <v>On Time</v>
      </c>
      <c r="R401" s="2">
        <f>Procurement_kpi_Analysis[[#This Row],[Unit_Price]]*Procurement_kpi_Analysis[[#This Row],[Quantity]]</f>
        <v>63443.88</v>
      </c>
      <c r="S401" s="2">
        <f>IF(Procurement_kpi_Analysis[[#This Row],[Compliance]]="Yes",1,0)</f>
        <v>1</v>
      </c>
      <c r="T401" s="2">
        <f>IF(Procurement_kpi_Analysis[[#This Row],[Compliance]]="No",1,0)</f>
        <v>0</v>
      </c>
    </row>
    <row r="402" spans="1:20" x14ac:dyDescent="0.3">
      <c r="A402" t="s">
        <v>427</v>
      </c>
      <c r="B402" t="s">
        <v>17</v>
      </c>
      <c r="C402" s="1">
        <v>45128</v>
      </c>
      <c r="D402" s="1">
        <v>45144</v>
      </c>
      <c r="E402" t="s">
        <v>39</v>
      </c>
      <c r="F402" t="s">
        <v>18</v>
      </c>
      <c r="G402">
        <v>1793</v>
      </c>
      <c r="H402">
        <v>22.01</v>
      </c>
      <c r="I402">
        <v>21.78</v>
      </c>
      <c r="J402">
        <v>285</v>
      </c>
      <c r="K402" t="s">
        <v>15</v>
      </c>
      <c r="L402">
        <f>Procurement_kpi_Analysis[[#This Row],[Quantity]]*Procurement_kpi_Analysis[[#This Row],[Negotiated_Price]]</f>
        <v>39051.54</v>
      </c>
      <c r="M402">
        <f>IF(Procurement_kpi_Analysis[[#This Row],[Delivery_Date]]="","",Procurement_kpi_Analysis[[#This Row],[Delivery_Date]]-Procurement_kpi_Analysis[[#This Row],[Order_Date]])</f>
        <v>16</v>
      </c>
      <c r="N402" s="2">
        <f>Procurement_kpi_Analysis[[#This Row],[Defective_Units]]/Procurement_kpi_Analysis[[#This Row],[Quantity]]</f>
        <v>0.15895147796988288</v>
      </c>
      <c r="O402" s="2">
        <f>(Procurement_kpi_Analysis[[#This Row],[Unit_Price]]-Procurement_kpi_Analysis[[#This Row],[Negotiated_Price]])*Procurement_kpi_Analysis[[#This Row],[Quantity]]</f>
        <v>412.39000000000078</v>
      </c>
      <c r="P402" s="2">
        <f>Procurement_kpi_Analysis[[#This Row],[Total Savings]]/Procurement_kpi_Analysis[[#This Row],[Total Spend]]</f>
        <v>1.0560146923783308E-2</v>
      </c>
      <c r="Q402" s="2" t="str">
        <f>IF(Procurement_kpi_Analysis[[#This Row],[Lead Time]]&lt;=14,"On Time","Late")</f>
        <v>Late</v>
      </c>
      <c r="R402" s="2">
        <f>Procurement_kpi_Analysis[[#This Row],[Unit_Price]]*Procurement_kpi_Analysis[[#This Row],[Quantity]]</f>
        <v>39463.93</v>
      </c>
      <c r="S402" s="2">
        <f>IF(Procurement_kpi_Analysis[[#This Row],[Compliance]]="Yes",1,0)</f>
        <v>1</v>
      </c>
      <c r="T402" s="2">
        <f>IF(Procurement_kpi_Analysis[[#This Row],[Compliance]]="No",1,0)</f>
        <v>0</v>
      </c>
    </row>
    <row r="403" spans="1:20" x14ac:dyDescent="0.3">
      <c r="A403" t="s">
        <v>428</v>
      </c>
      <c r="B403" t="s">
        <v>17</v>
      </c>
      <c r="C403" s="1">
        <v>44721</v>
      </c>
      <c r="D403" s="1">
        <v>44740</v>
      </c>
      <c r="E403" t="s">
        <v>21</v>
      </c>
      <c r="F403" t="s">
        <v>18</v>
      </c>
      <c r="G403">
        <v>1006</v>
      </c>
      <c r="H403">
        <v>101.1</v>
      </c>
      <c r="I403">
        <v>89.04</v>
      </c>
      <c r="J403">
        <v>139</v>
      </c>
      <c r="K403" t="s">
        <v>15</v>
      </c>
      <c r="L403">
        <f>Procurement_kpi_Analysis[[#This Row],[Quantity]]*Procurement_kpi_Analysis[[#This Row],[Negotiated_Price]]</f>
        <v>89574.24</v>
      </c>
      <c r="M403">
        <f>IF(Procurement_kpi_Analysis[[#This Row],[Delivery_Date]]="","",Procurement_kpi_Analysis[[#This Row],[Delivery_Date]]-Procurement_kpi_Analysis[[#This Row],[Order_Date]])</f>
        <v>19</v>
      </c>
      <c r="N403" s="2">
        <f>Procurement_kpi_Analysis[[#This Row],[Defective_Units]]/Procurement_kpi_Analysis[[#This Row],[Quantity]]</f>
        <v>0.13817097415506957</v>
      </c>
      <c r="O403" s="2">
        <f>(Procurement_kpi_Analysis[[#This Row],[Unit_Price]]-Procurement_kpi_Analysis[[#This Row],[Negotiated_Price]])*Procurement_kpi_Analysis[[#This Row],[Quantity]]</f>
        <v>12132.359999999988</v>
      </c>
      <c r="P403" s="2">
        <f>Procurement_kpi_Analysis[[#This Row],[Total Savings]]/Procurement_kpi_Analysis[[#This Row],[Total Spend]]</f>
        <v>0.13544474393530984</v>
      </c>
      <c r="Q403" s="2" t="str">
        <f>IF(Procurement_kpi_Analysis[[#This Row],[Lead Time]]&lt;=14,"On Time","Late")</f>
        <v>Late</v>
      </c>
      <c r="R403" s="2">
        <f>Procurement_kpi_Analysis[[#This Row],[Unit_Price]]*Procurement_kpi_Analysis[[#This Row],[Quantity]]</f>
        <v>101706.59999999999</v>
      </c>
      <c r="S403" s="2">
        <f>IF(Procurement_kpi_Analysis[[#This Row],[Compliance]]="Yes",1,0)</f>
        <v>1</v>
      </c>
      <c r="T403" s="2">
        <f>IF(Procurement_kpi_Analysis[[#This Row],[Compliance]]="No",1,0)</f>
        <v>0</v>
      </c>
    </row>
    <row r="404" spans="1:20" x14ac:dyDescent="0.3">
      <c r="A404" t="s">
        <v>429</v>
      </c>
      <c r="B404" t="s">
        <v>23</v>
      </c>
      <c r="C404" s="1">
        <v>44840</v>
      </c>
      <c r="D404" s="1">
        <v>44855</v>
      </c>
      <c r="E404" t="s">
        <v>39</v>
      </c>
      <c r="F404" t="s">
        <v>14</v>
      </c>
      <c r="G404">
        <v>1754</v>
      </c>
      <c r="H404">
        <v>89.35</v>
      </c>
      <c r="I404">
        <v>86.54</v>
      </c>
      <c r="J404">
        <v>161</v>
      </c>
      <c r="K404" t="s">
        <v>27</v>
      </c>
      <c r="L404">
        <f>Procurement_kpi_Analysis[[#This Row],[Quantity]]*Procurement_kpi_Analysis[[#This Row],[Negotiated_Price]]</f>
        <v>151791.16</v>
      </c>
      <c r="M404">
        <f>IF(Procurement_kpi_Analysis[[#This Row],[Delivery_Date]]="","",Procurement_kpi_Analysis[[#This Row],[Delivery_Date]]-Procurement_kpi_Analysis[[#This Row],[Order_Date]])</f>
        <v>15</v>
      </c>
      <c r="N404" s="2">
        <f>Procurement_kpi_Analysis[[#This Row],[Defective_Units]]/Procurement_kpi_Analysis[[#This Row],[Quantity]]</f>
        <v>9.1790193842645376E-2</v>
      </c>
      <c r="O404" s="2">
        <f>(Procurement_kpi_Analysis[[#This Row],[Unit_Price]]-Procurement_kpi_Analysis[[#This Row],[Negotiated_Price]])*Procurement_kpi_Analysis[[#This Row],[Quantity]]</f>
        <v>4928.7399999999789</v>
      </c>
      <c r="P404" s="2">
        <f>Procurement_kpi_Analysis[[#This Row],[Total Savings]]/Procurement_kpi_Analysis[[#This Row],[Total Spend]]</f>
        <v>3.2470533857175729E-2</v>
      </c>
      <c r="Q404" s="2" t="str">
        <f>IF(Procurement_kpi_Analysis[[#This Row],[Lead Time]]&lt;=14,"On Time","Late")</f>
        <v>Late</v>
      </c>
      <c r="R404" s="2">
        <f>Procurement_kpi_Analysis[[#This Row],[Unit_Price]]*Procurement_kpi_Analysis[[#This Row],[Quantity]]</f>
        <v>156719.9</v>
      </c>
      <c r="S404" s="2">
        <f>IF(Procurement_kpi_Analysis[[#This Row],[Compliance]]="Yes",1,0)</f>
        <v>0</v>
      </c>
      <c r="T404" s="2">
        <f>IF(Procurement_kpi_Analysis[[#This Row],[Compliance]]="No",1,0)</f>
        <v>1</v>
      </c>
    </row>
    <row r="405" spans="1:20" x14ac:dyDescent="0.3">
      <c r="A405" t="s">
        <v>430</v>
      </c>
      <c r="B405" t="s">
        <v>29</v>
      </c>
      <c r="C405" s="1">
        <v>44850</v>
      </c>
      <c r="D405" s="1">
        <v>44869</v>
      </c>
      <c r="E405" t="s">
        <v>39</v>
      </c>
      <c r="F405" t="s">
        <v>18</v>
      </c>
      <c r="G405">
        <v>210</v>
      </c>
      <c r="H405">
        <v>22.17</v>
      </c>
      <c r="I405">
        <v>21.32</v>
      </c>
      <c r="J405">
        <v>10</v>
      </c>
      <c r="K405" t="s">
        <v>15</v>
      </c>
      <c r="L405">
        <f>Procurement_kpi_Analysis[[#This Row],[Quantity]]*Procurement_kpi_Analysis[[#This Row],[Negotiated_Price]]</f>
        <v>4477.2</v>
      </c>
      <c r="M405">
        <f>IF(Procurement_kpi_Analysis[[#This Row],[Delivery_Date]]="","",Procurement_kpi_Analysis[[#This Row],[Delivery_Date]]-Procurement_kpi_Analysis[[#This Row],[Order_Date]])</f>
        <v>19</v>
      </c>
      <c r="N405" s="2">
        <f>Procurement_kpi_Analysis[[#This Row],[Defective_Units]]/Procurement_kpi_Analysis[[#This Row],[Quantity]]</f>
        <v>4.7619047619047616E-2</v>
      </c>
      <c r="O405" s="2">
        <f>(Procurement_kpi_Analysis[[#This Row],[Unit_Price]]-Procurement_kpi_Analysis[[#This Row],[Negotiated_Price]])*Procurement_kpi_Analysis[[#This Row],[Quantity]]</f>
        <v>178.50000000000028</v>
      </c>
      <c r="P405" s="2">
        <f>Procurement_kpi_Analysis[[#This Row],[Total Savings]]/Procurement_kpi_Analysis[[#This Row],[Total Spend]]</f>
        <v>3.9868667917448468E-2</v>
      </c>
      <c r="Q405" s="2" t="str">
        <f>IF(Procurement_kpi_Analysis[[#This Row],[Lead Time]]&lt;=14,"On Time","Late")</f>
        <v>Late</v>
      </c>
      <c r="R405" s="2">
        <f>Procurement_kpi_Analysis[[#This Row],[Unit_Price]]*Procurement_kpi_Analysis[[#This Row],[Quantity]]</f>
        <v>4655.7000000000007</v>
      </c>
      <c r="S405" s="2">
        <f>IF(Procurement_kpi_Analysis[[#This Row],[Compliance]]="Yes",1,0)</f>
        <v>1</v>
      </c>
      <c r="T405" s="2">
        <f>IF(Procurement_kpi_Analysis[[#This Row],[Compliance]]="No",1,0)</f>
        <v>0</v>
      </c>
    </row>
    <row r="406" spans="1:20" x14ac:dyDescent="0.3">
      <c r="A406" t="s">
        <v>431</v>
      </c>
      <c r="B406" t="s">
        <v>17</v>
      </c>
      <c r="C406" s="1">
        <v>45181</v>
      </c>
      <c r="D406" s="1">
        <v>45201</v>
      </c>
      <c r="E406" t="s">
        <v>21</v>
      </c>
      <c r="F406" t="s">
        <v>18</v>
      </c>
      <c r="G406">
        <v>1653</v>
      </c>
      <c r="H406">
        <v>102.16</v>
      </c>
      <c r="I406">
        <v>91.91</v>
      </c>
      <c r="J406">
        <v>217</v>
      </c>
      <c r="K406" t="s">
        <v>15</v>
      </c>
      <c r="L406">
        <f>Procurement_kpi_Analysis[[#This Row],[Quantity]]*Procurement_kpi_Analysis[[#This Row],[Negotiated_Price]]</f>
        <v>151927.22999999998</v>
      </c>
      <c r="M406">
        <f>IF(Procurement_kpi_Analysis[[#This Row],[Delivery_Date]]="","",Procurement_kpi_Analysis[[#This Row],[Delivery_Date]]-Procurement_kpi_Analysis[[#This Row],[Order_Date]])</f>
        <v>20</v>
      </c>
      <c r="N406" s="2">
        <f>Procurement_kpi_Analysis[[#This Row],[Defective_Units]]/Procurement_kpi_Analysis[[#This Row],[Quantity]]</f>
        <v>0.13127646702964307</v>
      </c>
      <c r="O406" s="2">
        <f>(Procurement_kpi_Analysis[[#This Row],[Unit_Price]]-Procurement_kpi_Analysis[[#This Row],[Negotiated_Price]])*Procurement_kpi_Analysis[[#This Row],[Quantity]]</f>
        <v>16943.25</v>
      </c>
      <c r="P406" s="2">
        <f>Procurement_kpi_Analysis[[#This Row],[Total Savings]]/Procurement_kpi_Analysis[[#This Row],[Total Spend]]</f>
        <v>0.11152214122511153</v>
      </c>
      <c r="Q406" s="2" t="str">
        <f>IF(Procurement_kpi_Analysis[[#This Row],[Lead Time]]&lt;=14,"On Time","Late")</f>
        <v>Late</v>
      </c>
      <c r="R406" s="2">
        <f>Procurement_kpi_Analysis[[#This Row],[Unit_Price]]*Procurement_kpi_Analysis[[#This Row],[Quantity]]</f>
        <v>168870.47999999998</v>
      </c>
      <c r="S406" s="2">
        <f>IF(Procurement_kpi_Analysis[[#This Row],[Compliance]]="Yes",1,0)</f>
        <v>1</v>
      </c>
      <c r="T406" s="2">
        <f>IF(Procurement_kpi_Analysis[[#This Row],[Compliance]]="No",1,0)</f>
        <v>0</v>
      </c>
    </row>
    <row r="407" spans="1:20" x14ac:dyDescent="0.3">
      <c r="A407" t="s">
        <v>432</v>
      </c>
      <c r="B407" t="s">
        <v>12</v>
      </c>
      <c r="C407" s="1">
        <v>44777</v>
      </c>
      <c r="D407" s="1">
        <v>44788</v>
      </c>
      <c r="E407" t="s">
        <v>21</v>
      </c>
      <c r="F407" t="s">
        <v>33</v>
      </c>
      <c r="G407">
        <v>850</v>
      </c>
      <c r="H407">
        <v>91.38</v>
      </c>
      <c r="I407">
        <v>88.41</v>
      </c>
      <c r="J407">
        <v>24</v>
      </c>
      <c r="K407" t="s">
        <v>15</v>
      </c>
      <c r="L407">
        <f>Procurement_kpi_Analysis[[#This Row],[Quantity]]*Procurement_kpi_Analysis[[#This Row],[Negotiated_Price]]</f>
        <v>75148.5</v>
      </c>
      <c r="M407">
        <f>IF(Procurement_kpi_Analysis[[#This Row],[Delivery_Date]]="","",Procurement_kpi_Analysis[[#This Row],[Delivery_Date]]-Procurement_kpi_Analysis[[#This Row],[Order_Date]])</f>
        <v>11</v>
      </c>
      <c r="N407" s="2">
        <f>Procurement_kpi_Analysis[[#This Row],[Defective_Units]]/Procurement_kpi_Analysis[[#This Row],[Quantity]]</f>
        <v>2.823529411764706E-2</v>
      </c>
      <c r="O407" s="2">
        <f>(Procurement_kpi_Analysis[[#This Row],[Unit_Price]]-Procurement_kpi_Analysis[[#This Row],[Negotiated_Price]])*Procurement_kpi_Analysis[[#This Row],[Quantity]]</f>
        <v>2524.4999999999991</v>
      </c>
      <c r="P407" s="2">
        <f>Procurement_kpi_Analysis[[#This Row],[Total Savings]]/Procurement_kpi_Analysis[[#This Row],[Total Spend]]</f>
        <v>3.3593484899898191E-2</v>
      </c>
      <c r="Q407" s="2" t="str">
        <f>IF(Procurement_kpi_Analysis[[#This Row],[Lead Time]]&lt;=14,"On Time","Late")</f>
        <v>On Time</v>
      </c>
      <c r="R407" s="2">
        <f>Procurement_kpi_Analysis[[#This Row],[Unit_Price]]*Procurement_kpi_Analysis[[#This Row],[Quantity]]</f>
        <v>77673</v>
      </c>
      <c r="S407" s="2">
        <f>IF(Procurement_kpi_Analysis[[#This Row],[Compliance]]="Yes",1,0)</f>
        <v>1</v>
      </c>
      <c r="T407" s="2">
        <f>IF(Procurement_kpi_Analysis[[#This Row],[Compliance]]="No",1,0)</f>
        <v>0</v>
      </c>
    </row>
    <row r="408" spans="1:20" x14ac:dyDescent="0.3">
      <c r="A408" t="s">
        <v>433</v>
      </c>
      <c r="B408" t="s">
        <v>29</v>
      </c>
      <c r="C408" s="1">
        <v>44913</v>
      </c>
      <c r="D408" s="1">
        <v>44916</v>
      </c>
      <c r="E408" t="s">
        <v>26</v>
      </c>
      <c r="F408" t="s">
        <v>18</v>
      </c>
      <c r="G408">
        <v>447</v>
      </c>
      <c r="H408">
        <v>59.81</v>
      </c>
      <c r="I408">
        <v>57.92</v>
      </c>
      <c r="J408">
        <v>13</v>
      </c>
      <c r="K408" t="s">
        <v>15</v>
      </c>
      <c r="L408">
        <f>Procurement_kpi_Analysis[[#This Row],[Quantity]]*Procurement_kpi_Analysis[[#This Row],[Negotiated_Price]]</f>
        <v>25890.240000000002</v>
      </c>
      <c r="M408">
        <f>IF(Procurement_kpi_Analysis[[#This Row],[Delivery_Date]]="","",Procurement_kpi_Analysis[[#This Row],[Delivery_Date]]-Procurement_kpi_Analysis[[#This Row],[Order_Date]])</f>
        <v>3</v>
      </c>
      <c r="N408" s="2">
        <f>Procurement_kpi_Analysis[[#This Row],[Defective_Units]]/Procurement_kpi_Analysis[[#This Row],[Quantity]]</f>
        <v>2.9082774049217001E-2</v>
      </c>
      <c r="O408" s="2">
        <f>(Procurement_kpi_Analysis[[#This Row],[Unit_Price]]-Procurement_kpi_Analysis[[#This Row],[Negotiated_Price]])*Procurement_kpi_Analysis[[#This Row],[Quantity]]</f>
        <v>844.83000000000027</v>
      </c>
      <c r="P408" s="2">
        <f>Procurement_kpi_Analysis[[#This Row],[Total Savings]]/Procurement_kpi_Analysis[[#This Row],[Total Spend]]</f>
        <v>3.263121546961327E-2</v>
      </c>
      <c r="Q408" s="2" t="str">
        <f>IF(Procurement_kpi_Analysis[[#This Row],[Lead Time]]&lt;=14,"On Time","Late")</f>
        <v>On Time</v>
      </c>
      <c r="R408" s="2">
        <f>Procurement_kpi_Analysis[[#This Row],[Unit_Price]]*Procurement_kpi_Analysis[[#This Row],[Quantity]]</f>
        <v>26735.07</v>
      </c>
      <c r="S408" s="2">
        <f>IF(Procurement_kpi_Analysis[[#This Row],[Compliance]]="Yes",1,0)</f>
        <v>1</v>
      </c>
      <c r="T408" s="2">
        <f>IF(Procurement_kpi_Analysis[[#This Row],[Compliance]]="No",1,0)</f>
        <v>0</v>
      </c>
    </row>
    <row r="409" spans="1:20" x14ac:dyDescent="0.3">
      <c r="A409" t="s">
        <v>434</v>
      </c>
      <c r="B409" t="s">
        <v>20</v>
      </c>
      <c r="C409" s="1">
        <v>44770</v>
      </c>
      <c r="D409" s="1">
        <v>44780</v>
      </c>
      <c r="E409" t="s">
        <v>13</v>
      </c>
      <c r="F409" t="s">
        <v>18</v>
      </c>
      <c r="G409">
        <v>1350</v>
      </c>
      <c r="H409">
        <v>65.11</v>
      </c>
      <c r="I409">
        <v>56.95</v>
      </c>
      <c r="J409">
        <v>71</v>
      </c>
      <c r="K409" t="s">
        <v>15</v>
      </c>
      <c r="L409">
        <f>Procurement_kpi_Analysis[[#This Row],[Quantity]]*Procurement_kpi_Analysis[[#This Row],[Negotiated_Price]]</f>
        <v>76882.5</v>
      </c>
      <c r="M409">
        <f>IF(Procurement_kpi_Analysis[[#This Row],[Delivery_Date]]="","",Procurement_kpi_Analysis[[#This Row],[Delivery_Date]]-Procurement_kpi_Analysis[[#This Row],[Order_Date]])</f>
        <v>10</v>
      </c>
      <c r="N409" s="2">
        <f>Procurement_kpi_Analysis[[#This Row],[Defective_Units]]/Procurement_kpi_Analysis[[#This Row],[Quantity]]</f>
        <v>5.2592592592592594E-2</v>
      </c>
      <c r="O409" s="2">
        <f>(Procurement_kpi_Analysis[[#This Row],[Unit_Price]]-Procurement_kpi_Analysis[[#This Row],[Negotiated_Price]])*Procurement_kpi_Analysis[[#This Row],[Quantity]]</f>
        <v>11015.999999999995</v>
      </c>
      <c r="P409" s="2">
        <f>Procurement_kpi_Analysis[[#This Row],[Total Savings]]/Procurement_kpi_Analysis[[#This Row],[Total Spend]]</f>
        <v>0.14328358208955216</v>
      </c>
      <c r="Q409" s="2" t="str">
        <f>IF(Procurement_kpi_Analysis[[#This Row],[Lead Time]]&lt;=14,"On Time","Late")</f>
        <v>On Time</v>
      </c>
      <c r="R409" s="2">
        <f>Procurement_kpi_Analysis[[#This Row],[Unit_Price]]*Procurement_kpi_Analysis[[#This Row],[Quantity]]</f>
        <v>87898.5</v>
      </c>
      <c r="S409" s="2">
        <f>IF(Procurement_kpi_Analysis[[#This Row],[Compliance]]="Yes",1,0)</f>
        <v>1</v>
      </c>
      <c r="T409" s="2">
        <f>IF(Procurement_kpi_Analysis[[#This Row],[Compliance]]="No",1,0)</f>
        <v>0</v>
      </c>
    </row>
    <row r="410" spans="1:20" x14ac:dyDescent="0.3">
      <c r="A410" t="s">
        <v>435</v>
      </c>
      <c r="B410" t="s">
        <v>23</v>
      </c>
      <c r="C410" s="1">
        <v>45265</v>
      </c>
      <c r="D410" s="1">
        <v>45284</v>
      </c>
      <c r="E410" t="s">
        <v>13</v>
      </c>
      <c r="F410" t="s">
        <v>18</v>
      </c>
      <c r="G410">
        <v>865</v>
      </c>
      <c r="H410">
        <v>51.19</v>
      </c>
      <c r="I410">
        <v>47.76</v>
      </c>
      <c r="J410">
        <v>83</v>
      </c>
      <c r="K410" t="s">
        <v>15</v>
      </c>
      <c r="L410">
        <f>Procurement_kpi_Analysis[[#This Row],[Quantity]]*Procurement_kpi_Analysis[[#This Row],[Negotiated_Price]]</f>
        <v>41312.400000000001</v>
      </c>
      <c r="M410">
        <f>IF(Procurement_kpi_Analysis[[#This Row],[Delivery_Date]]="","",Procurement_kpi_Analysis[[#This Row],[Delivery_Date]]-Procurement_kpi_Analysis[[#This Row],[Order_Date]])</f>
        <v>19</v>
      </c>
      <c r="N410" s="2">
        <f>Procurement_kpi_Analysis[[#This Row],[Defective_Units]]/Procurement_kpi_Analysis[[#This Row],[Quantity]]</f>
        <v>9.595375722543352E-2</v>
      </c>
      <c r="O410" s="2">
        <f>(Procurement_kpi_Analysis[[#This Row],[Unit_Price]]-Procurement_kpi_Analysis[[#This Row],[Negotiated_Price]])*Procurement_kpi_Analysis[[#This Row],[Quantity]]</f>
        <v>2966.95</v>
      </c>
      <c r="P410" s="2">
        <f>Procurement_kpi_Analysis[[#This Row],[Total Savings]]/Procurement_kpi_Analysis[[#This Row],[Total Spend]]</f>
        <v>7.1817420435510884E-2</v>
      </c>
      <c r="Q410" s="2" t="str">
        <f>IF(Procurement_kpi_Analysis[[#This Row],[Lead Time]]&lt;=14,"On Time","Late")</f>
        <v>Late</v>
      </c>
      <c r="R410" s="2">
        <f>Procurement_kpi_Analysis[[#This Row],[Unit_Price]]*Procurement_kpi_Analysis[[#This Row],[Quantity]]</f>
        <v>44279.35</v>
      </c>
      <c r="S410" s="2">
        <f>IF(Procurement_kpi_Analysis[[#This Row],[Compliance]]="Yes",1,0)</f>
        <v>1</v>
      </c>
      <c r="T410" s="2">
        <f>IF(Procurement_kpi_Analysis[[#This Row],[Compliance]]="No",1,0)</f>
        <v>0</v>
      </c>
    </row>
    <row r="411" spans="1:20" x14ac:dyDescent="0.3">
      <c r="A411" t="s">
        <v>436</v>
      </c>
      <c r="B411" t="s">
        <v>12</v>
      </c>
      <c r="C411" s="1">
        <v>45211</v>
      </c>
      <c r="D411" s="1">
        <v>45228</v>
      </c>
      <c r="E411" t="s">
        <v>21</v>
      </c>
      <c r="F411" t="s">
        <v>18</v>
      </c>
      <c r="G411">
        <v>1989</v>
      </c>
      <c r="H411">
        <v>16.5</v>
      </c>
      <c r="I411">
        <v>15.89</v>
      </c>
      <c r="J411">
        <v>57</v>
      </c>
      <c r="K411" t="s">
        <v>15</v>
      </c>
      <c r="L411">
        <f>Procurement_kpi_Analysis[[#This Row],[Quantity]]*Procurement_kpi_Analysis[[#This Row],[Negotiated_Price]]</f>
        <v>31605.210000000003</v>
      </c>
      <c r="M411">
        <f>IF(Procurement_kpi_Analysis[[#This Row],[Delivery_Date]]="","",Procurement_kpi_Analysis[[#This Row],[Delivery_Date]]-Procurement_kpi_Analysis[[#This Row],[Order_Date]])</f>
        <v>17</v>
      </c>
      <c r="N411" s="2">
        <f>Procurement_kpi_Analysis[[#This Row],[Defective_Units]]/Procurement_kpi_Analysis[[#This Row],[Quantity]]</f>
        <v>2.8657616892911009E-2</v>
      </c>
      <c r="O411" s="2">
        <f>(Procurement_kpi_Analysis[[#This Row],[Unit_Price]]-Procurement_kpi_Analysis[[#This Row],[Negotiated_Price]])*Procurement_kpi_Analysis[[#This Row],[Quantity]]</f>
        <v>1213.2899999999988</v>
      </c>
      <c r="P411" s="2">
        <f>Procurement_kpi_Analysis[[#This Row],[Total Savings]]/Procurement_kpi_Analysis[[#This Row],[Total Spend]]</f>
        <v>3.8388923851478879E-2</v>
      </c>
      <c r="Q411" s="2" t="str">
        <f>IF(Procurement_kpi_Analysis[[#This Row],[Lead Time]]&lt;=14,"On Time","Late")</f>
        <v>Late</v>
      </c>
      <c r="R411" s="2">
        <f>Procurement_kpi_Analysis[[#This Row],[Unit_Price]]*Procurement_kpi_Analysis[[#This Row],[Quantity]]</f>
        <v>32818.5</v>
      </c>
      <c r="S411" s="2">
        <f>IF(Procurement_kpi_Analysis[[#This Row],[Compliance]]="Yes",1,0)</f>
        <v>1</v>
      </c>
      <c r="T411" s="2">
        <f>IF(Procurement_kpi_Analysis[[#This Row],[Compliance]]="No",1,0)</f>
        <v>0</v>
      </c>
    </row>
    <row r="412" spans="1:20" x14ac:dyDescent="0.3">
      <c r="A412" t="s">
        <v>437</v>
      </c>
      <c r="B412" t="s">
        <v>12</v>
      </c>
      <c r="C412" s="1">
        <v>44832</v>
      </c>
      <c r="D412" s="1">
        <v>44847</v>
      </c>
      <c r="E412" t="s">
        <v>13</v>
      </c>
      <c r="F412" t="s">
        <v>18</v>
      </c>
      <c r="G412">
        <v>1577</v>
      </c>
      <c r="H412">
        <v>41.77</v>
      </c>
      <c r="I412">
        <v>39.58</v>
      </c>
      <c r="J412">
        <v>32</v>
      </c>
      <c r="K412" t="s">
        <v>15</v>
      </c>
      <c r="L412">
        <f>Procurement_kpi_Analysis[[#This Row],[Quantity]]*Procurement_kpi_Analysis[[#This Row],[Negotiated_Price]]</f>
        <v>62417.659999999996</v>
      </c>
      <c r="M412">
        <f>IF(Procurement_kpi_Analysis[[#This Row],[Delivery_Date]]="","",Procurement_kpi_Analysis[[#This Row],[Delivery_Date]]-Procurement_kpi_Analysis[[#This Row],[Order_Date]])</f>
        <v>15</v>
      </c>
      <c r="N412" s="2">
        <f>Procurement_kpi_Analysis[[#This Row],[Defective_Units]]/Procurement_kpi_Analysis[[#This Row],[Quantity]]</f>
        <v>2.0291693088142042E-2</v>
      </c>
      <c r="O412" s="2">
        <f>(Procurement_kpi_Analysis[[#This Row],[Unit_Price]]-Procurement_kpi_Analysis[[#This Row],[Negotiated_Price]])*Procurement_kpi_Analysis[[#This Row],[Quantity]]</f>
        <v>3453.6300000000078</v>
      </c>
      <c r="P412" s="2">
        <f>Procurement_kpi_Analysis[[#This Row],[Total Savings]]/Procurement_kpi_Analysis[[#This Row],[Total Spend]]</f>
        <v>5.5330975240020341E-2</v>
      </c>
      <c r="Q412" s="2" t="str">
        <f>IF(Procurement_kpi_Analysis[[#This Row],[Lead Time]]&lt;=14,"On Time","Late")</f>
        <v>Late</v>
      </c>
      <c r="R412" s="2">
        <f>Procurement_kpi_Analysis[[#This Row],[Unit_Price]]*Procurement_kpi_Analysis[[#This Row],[Quantity]]</f>
        <v>65871.290000000008</v>
      </c>
      <c r="S412" s="2">
        <f>IF(Procurement_kpi_Analysis[[#This Row],[Compliance]]="Yes",1,0)</f>
        <v>1</v>
      </c>
      <c r="T412" s="2">
        <f>IF(Procurement_kpi_Analysis[[#This Row],[Compliance]]="No",1,0)</f>
        <v>0</v>
      </c>
    </row>
    <row r="413" spans="1:20" x14ac:dyDescent="0.3">
      <c r="A413" t="s">
        <v>438</v>
      </c>
      <c r="B413" t="s">
        <v>20</v>
      </c>
      <c r="C413" s="1">
        <v>45079</v>
      </c>
      <c r="D413" s="1">
        <v>45081</v>
      </c>
      <c r="E413" t="s">
        <v>24</v>
      </c>
      <c r="F413" t="s">
        <v>35</v>
      </c>
      <c r="G413">
        <v>1969</v>
      </c>
      <c r="H413">
        <v>89.25</v>
      </c>
      <c r="I413">
        <v>87.28</v>
      </c>
      <c r="J413">
        <v>108</v>
      </c>
      <c r="K413" t="s">
        <v>27</v>
      </c>
      <c r="L413">
        <f>Procurement_kpi_Analysis[[#This Row],[Quantity]]*Procurement_kpi_Analysis[[#This Row],[Negotiated_Price]]</f>
        <v>171854.32</v>
      </c>
      <c r="M413">
        <f>IF(Procurement_kpi_Analysis[[#This Row],[Delivery_Date]]="","",Procurement_kpi_Analysis[[#This Row],[Delivery_Date]]-Procurement_kpi_Analysis[[#This Row],[Order_Date]])</f>
        <v>2</v>
      </c>
      <c r="N413" s="2">
        <f>Procurement_kpi_Analysis[[#This Row],[Defective_Units]]/Procurement_kpi_Analysis[[#This Row],[Quantity]]</f>
        <v>5.485017775520569E-2</v>
      </c>
      <c r="O413" s="2">
        <f>(Procurement_kpi_Analysis[[#This Row],[Unit_Price]]-Procurement_kpi_Analysis[[#This Row],[Negotiated_Price]])*Procurement_kpi_Analysis[[#This Row],[Quantity]]</f>
        <v>3878.9299999999976</v>
      </c>
      <c r="P413" s="2">
        <f>Procurement_kpi_Analysis[[#This Row],[Total Savings]]/Procurement_kpi_Analysis[[#This Row],[Total Spend]]</f>
        <v>2.2571035747021066E-2</v>
      </c>
      <c r="Q413" s="2" t="str">
        <f>IF(Procurement_kpi_Analysis[[#This Row],[Lead Time]]&lt;=14,"On Time","Late")</f>
        <v>On Time</v>
      </c>
      <c r="R413" s="2">
        <f>Procurement_kpi_Analysis[[#This Row],[Unit_Price]]*Procurement_kpi_Analysis[[#This Row],[Quantity]]</f>
        <v>175733.25</v>
      </c>
      <c r="S413" s="2">
        <f>IF(Procurement_kpi_Analysis[[#This Row],[Compliance]]="Yes",1,0)</f>
        <v>0</v>
      </c>
      <c r="T413" s="2">
        <f>IF(Procurement_kpi_Analysis[[#This Row],[Compliance]]="No",1,0)</f>
        <v>1</v>
      </c>
    </row>
    <row r="414" spans="1:20" x14ac:dyDescent="0.3">
      <c r="A414" t="s">
        <v>439</v>
      </c>
      <c r="B414" t="s">
        <v>23</v>
      </c>
      <c r="C414" s="1">
        <v>45062</v>
      </c>
      <c r="D414" s="1">
        <v>45072</v>
      </c>
      <c r="E414" t="s">
        <v>24</v>
      </c>
      <c r="F414" t="s">
        <v>33</v>
      </c>
      <c r="G414">
        <v>1465</v>
      </c>
      <c r="H414">
        <v>11.25</v>
      </c>
      <c r="I414">
        <v>9.61</v>
      </c>
      <c r="J414">
        <v>151</v>
      </c>
      <c r="K414" t="s">
        <v>15</v>
      </c>
      <c r="L414">
        <f>Procurement_kpi_Analysis[[#This Row],[Quantity]]*Procurement_kpi_Analysis[[#This Row],[Negotiated_Price]]</f>
        <v>14078.65</v>
      </c>
      <c r="M414">
        <f>IF(Procurement_kpi_Analysis[[#This Row],[Delivery_Date]]="","",Procurement_kpi_Analysis[[#This Row],[Delivery_Date]]-Procurement_kpi_Analysis[[#This Row],[Order_Date]])</f>
        <v>10</v>
      </c>
      <c r="N414" s="2">
        <f>Procurement_kpi_Analysis[[#This Row],[Defective_Units]]/Procurement_kpi_Analysis[[#This Row],[Quantity]]</f>
        <v>0.10307167235494881</v>
      </c>
      <c r="O414" s="2">
        <f>(Procurement_kpi_Analysis[[#This Row],[Unit_Price]]-Procurement_kpi_Analysis[[#This Row],[Negotiated_Price]])*Procurement_kpi_Analysis[[#This Row],[Quantity]]</f>
        <v>2402.6000000000008</v>
      </c>
      <c r="P414" s="2">
        <f>Procurement_kpi_Analysis[[#This Row],[Total Savings]]/Procurement_kpi_Analysis[[#This Row],[Total Spend]]</f>
        <v>0.17065556711758592</v>
      </c>
      <c r="Q414" s="2" t="str">
        <f>IF(Procurement_kpi_Analysis[[#This Row],[Lead Time]]&lt;=14,"On Time","Late")</f>
        <v>On Time</v>
      </c>
      <c r="R414" s="2">
        <f>Procurement_kpi_Analysis[[#This Row],[Unit_Price]]*Procurement_kpi_Analysis[[#This Row],[Quantity]]</f>
        <v>16481.25</v>
      </c>
      <c r="S414" s="2">
        <f>IF(Procurement_kpi_Analysis[[#This Row],[Compliance]]="Yes",1,0)</f>
        <v>1</v>
      </c>
      <c r="T414" s="2">
        <f>IF(Procurement_kpi_Analysis[[#This Row],[Compliance]]="No",1,0)</f>
        <v>0</v>
      </c>
    </row>
    <row r="415" spans="1:20" x14ac:dyDescent="0.3">
      <c r="A415" t="s">
        <v>440</v>
      </c>
      <c r="B415" t="s">
        <v>17</v>
      </c>
      <c r="C415" s="1">
        <v>44819</v>
      </c>
      <c r="D415" s="1">
        <v>44822</v>
      </c>
      <c r="E415" t="s">
        <v>24</v>
      </c>
      <c r="F415" t="s">
        <v>35</v>
      </c>
      <c r="G415">
        <v>1208</v>
      </c>
      <c r="H415">
        <v>41.62</v>
      </c>
      <c r="I415">
        <v>39.46</v>
      </c>
      <c r="J415">
        <v>0</v>
      </c>
      <c r="K415" t="s">
        <v>15</v>
      </c>
      <c r="L415">
        <f>Procurement_kpi_Analysis[[#This Row],[Quantity]]*Procurement_kpi_Analysis[[#This Row],[Negotiated_Price]]</f>
        <v>47667.68</v>
      </c>
      <c r="M415">
        <f>IF(Procurement_kpi_Analysis[[#This Row],[Delivery_Date]]="","",Procurement_kpi_Analysis[[#This Row],[Delivery_Date]]-Procurement_kpi_Analysis[[#This Row],[Order_Date]])</f>
        <v>3</v>
      </c>
      <c r="N415" s="2">
        <f>Procurement_kpi_Analysis[[#This Row],[Defective_Units]]/Procurement_kpi_Analysis[[#This Row],[Quantity]]</f>
        <v>0</v>
      </c>
      <c r="O415" s="2">
        <f>(Procurement_kpi_Analysis[[#This Row],[Unit_Price]]-Procurement_kpi_Analysis[[#This Row],[Negotiated_Price]])*Procurement_kpi_Analysis[[#This Row],[Quantity]]</f>
        <v>2609.2799999999961</v>
      </c>
      <c r="P415" s="2">
        <f>Procurement_kpi_Analysis[[#This Row],[Total Savings]]/Procurement_kpi_Analysis[[#This Row],[Total Spend]]</f>
        <v>5.4738976178408436E-2</v>
      </c>
      <c r="Q415" s="2" t="str">
        <f>IF(Procurement_kpi_Analysis[[#This Row],[Lead Time]]&lt;=14,"On Time","Late")</f>
        <v>On Time</v>
      </c>
      <c r="R415" s="2">
        <f>Procurement_kpi_Analysis[[#This Row],[Unit_Price]]*Procurement_kpi_Analysis[[#This Row],[Quantity]]</f>
        <v>50276.959999999999</v>
      </c>
      <c r="S415" s="2">
        <f>IF(Procurement_kpi_Analysis[[#This Row],[Compliance]]="Yes",1,0)</f>
        <v>1</v>
      </c>
      <c r="T415" s="2">
        <f>IF(Procurement_kpi_Analysis[[#This Row],[Compliance]]="No",1,0)</f>
        <v>0</v>
      </c>
    </row>
    <row r="416" spans="1:20" x14ac:dyDescent="0.3">
      <c r="A416" t="s">
        <v>441</v>
      </c>
      <c r="B416" t="s">
        <v>23</v>
      </c>
      <c r="C416" s="1">
        <v>44614</v>
      </c>
      <c r="D416" s="1">
        <v>44631</v>
      </c>
      <c r="E416" t="s">
        <v>26</v>
      </c>
      <c r="F416" t="s">
        <v>18</v>
      </c>
      <c r="G416">
        <v>1268</v>
      </c>
      <c r="H416">
        <v>46.06</v>
      </c>
      <c r="I416">
        <v>45.26</v>
      </c>
      <c r="J416">
        <v>123</v>
      </c>
      <c r="K416" t="s">
        <v>15</v>
      </c>
      <c r="L416">
        <f>Procurement_kpi_Analysis[[#This Row],[Quantity]]*Procurement_kpi_Analysis[[#This Row],[Negotiated_Price]]</f>
        <v>57389.68</v>
      </c>
      <c r="M416">
        <f>IF(Procurement_kpi_Analysis[[#This Row],[Delivery_Date]]="","",Procurement_kpi_Analysis[[#This Row],[Delivery_Date]]-Procurement_kpi_Analysis[[#This Row],[Order_Date]])</f>
        <v>17</v>
      </c>
      <c r="N416" s="2">
        <f>Procurement_kpi_Analysis[[#This Row],[Defective_Units]]/Procurement_kpi_Analysis[[#This Row],[Quantity]]</f>
        <v>9.7003154574132486E-2</v>
      </c>
      <c r="O416" s="2">
        <f>(Procurement_kpi_Analysis[[#This Row],[Unit_Price]]-Procurement_kpi_Analysis[[#This Row],[Negotiated_Price]])*Procurement_kpi_Analysis[[#This Row],[Quantity]]</f>
        <v>1014.4000000000054</v>
      </c>
      <c r="P416" s="2">
        <f>Procurement_kpi_Analysis[[#This Row],[Total Savings]]/Procurement_kpi_Analysis[[#This Row],[Total Spend]]</f>
        <v>1.7675651789659838E-2</v>
      </c>
      <c r="Q416" s="2" t="str">
        <f>IF(Procurement_kpi_Analysis[[#This Row],[Lead Time]]&lt;=14,"On Time","Late")</f>
        <v>Late</v>
      </c>
      <c r="R416" s="2">
        <f>Procurement_kpi_Analysis[[#This Row],[Unit_Price]]*Procurement_kpi_Analysis[[#This Row],[Quantity]]</f>
        <v>58404.08</v>
      </c>
      <c r="S416" s="2">
        <f>IF(Procurement_kpi_Analysis[[#This Row],[Compliance]]="Yes",1,0)</f>
        <v>1</v>
      </c>
      <c r="T416" s="2">
        <f>IF(Procurement_kpi_Analysis[[#This Row],[Compliance]]="No",1,0)</f>
        <v>0</v>
      </c>
    </row>
    <row r="417" spans="1:20" x14ac:dyDescent="0.3">
      <c r="A417" t="s">
        <v>442</v>
      </c>
      <c r="B417" t="s">
        <v>17</v>
      </c>
      <c r="C417" s="1">
        <v>44656</v>
      </c>
      <c r="D417" s="1">
        <v>44675</v>
      </c>
      <c r="E417" t="s">
        <v>13</v>
      </c>
      <c r="F417" t="s">
        <v>18</v>
      </c>
      <c r="G417">
        <v>450</v>
      </c>
      <c r="H417">
        <v>59.24</v>
      </c>
      <c r="I417">
        <v>55.03</v>
      </c>
      <c r="J417">
        <v>68</v>
      </c>
      <c r="K417" t="s">
        <v>27</v>
      </c>
      <c r="L417">
        <f>Procurement_kpi_Analysis[[#This Row],[Quantity]]*Procurement_kpi_Analysis[[#This Row],[Negotiated_Price]]</f>
        <v>24763.5</v>
      </c>
      <c r="M417">
        <f>IF(Procurement_kpi_Analysis[[#This Row],[Delivery_Date]]="","",Procurement_kpi_Analysis[[#This Row],[Delivery_Date]]-Procurement_kpi_Analysis[[#This Row],[Order_Date]])</f>
        <v>19</v>
      </c>
      <c r="N417" s="2">
        <f>Procurement_kpi_Analysis[[#This Row],[Defective_Units]]/Procurement_kpi_Analysis[[#This Row],[Quantity]]</f>
        <v>0.15111111111111111</v>
      </c>
      <c r="O417" s="2">
        <f>(Procurement_kpi_Analysis[[#This Row],[Unit_Price]]-Procurement_kpi_Analysis[[#This Row],[Negotiated_Price]])*Procurement_kpi_Analysis[[#This Row],[Quantity]]</f>
        <v>1894.5000000000005</v>
      </c>
      <c r="P417" s="2">
        <f>Procurement_kpi_Analysis[[#This Row],[Total Savings]]/Procurement_kpi_Analysis[[#This Row],[Total Spend]]</f>
        <v>7.6503725240777781E-2</v>
      </c>
      <c r="Q417" s="2" t="str">
        <f>IF(Procurement_kpi_Analysis[[#This Row],[Lead Time]]&lt;=14,"On Time","Late")</f>
        <v>Late</v>
      </c>
      <c r="R417" s="2">
        <f>Procurement_kpi_Analysis[[#This Row],[Unit_Price]]*Procurement_kpi_Analysis[[#This Row],[Quantity]]</f>
        <v>26658</v>
      </c>
      <c r="S417" s="2">
        <f>IF(Procurement_kpi_Analysis[[#This Row],[Compliance]]="Yes",1,0)</f>
        <v>0</v>
      </c>
      <c r="T417" s="2">
        <f>IF(Procurement_kpi_Analysis[[#This Row],[Compliance]]="No",1,0)</f>
        <v>1</v>
      </c>
    </row>
    <row r="418" spans="1:20" x14ac:dyDescent="0.3">
      <c r="A418" t="s">
        <v>443</v>
      </c>
      <c r="B418" t="s">
        <v>20</v>
      </c>
      <c r="C418" s="1">
        <v>45211</v>
      </c>
      <c r="D418" s="1">
        <v>45213</v>
      </c>
      <c r="E418" t="s">
        <v>39</v>
      </c>
      <c r="F418" t="s">
        <v>33</v>
      </c>
      <c r="G418">
        <v>689</v>
      </c>
      <c r="H418">
        <v>102.53</v>
      </c>
      <c r="I418">
        <v>95.23</v>
      </c>
      <c r="J418">
        <v>38</v>
      </c>
      <c r="K418" t="s">
        <v>15</v>
      </c>
      <c r="L418">
        <f>Procurement_kpi_Analysis[[#This Row],[Quantity]]*Procurement_kpi_Analysis[[#This Row],[Negotiated_Price]]</f>
        <v>65613.47</v>
      </c>
      <c r="M418">
        <f>IF(Procurement_kpi_Analysis[[#This Row],[Delivery_Date]]="","",Procurement_kpi_Analysis[[#This Row],[Delivery_Date]]-Procurement_kpi_Analysis[[#This Row],[Order_Date]])</f>
        <v>2</v>
      </c>
      <c r="N418" s="2">
        <f>Procurement_kpi_Analysis[[#This Row],[Defective_Units]]/Procurement_kpi_Analysis[[#This Row],[Quantity]]</f>
        <v>5.5152394775036286E-2</v>
      </c>
      <c r="O418" s="2">
        <f>(Procurement_kpi_Analysis[[#This Row],[Unit_Price]]-Procurement_kpi_Analysis[[#This Row],[Negotiated_Price]])*Procurement_kpi_Analysis[[#This Row],[Quantity]]</f>
        <v>5029.699999999998</v>
      </c>
      <c r="P418" s="2">
        <f>Procurement_kpi_Analysis[[#This Row],[Total Savings]]/Procurement_kpi_Analysis[[#This Row],[Total Spend]]</f>
        <v>7.6656515803843292E-2</v>
      </c>
      <c r="Q418" s="2" t="str">
        <f>IF(Procurement_kpi_Analysis[[#This Row],[Lead Time]]&lt;=14,"On Time","Late")</f>
        <v>On Time</v>
      </c>
      <c r="R418" s="2">
        <f>Procurement_kpi_Analysis[[#This Row],[Unit_Price]]*Procurement_kpi_Analysis[[#This Row],[Quantity]]</f>
        <v>70643.17</v>
      </c>
      <c r="S418" s="2">
        <f>IF(Procurement_kpi_Analysis[[#This Row],[Compliance]]="Yes",1,0)</f>
        <v>1</v>
      </c>
      <c r="T418" s="2">
        <f>IF(Procurement_kpi_Analysis[[#This Row],[Compliance]]="No",1,0)</f>
        <v>0</v>
      </c>
    </row>
    <row r="419" spans="1:20" x14ac:dyDescent="0.3">
      <c r="A419" t="s">
        <v>444</v>
      </c>
      <c r="B419" t="s">
        <v>20</v>
      </c>
      <c r="C419" s="1">
        <v>44995</v>
      </c>
      <c r="D419" s="1">
        <v>45014</v>
      </c>
      <c r="E419" t="s">
        <v>21</v>
      </c>
      <c r="F419" t="s">
        <v>18</v>
      </c>
      <c r="G419">
        <v>1106</v>
      </c>
      <c r="H419">
        <v>44.05</v>
      </c>
      <c r="I419">
        <v>38.6</v>
      </c>
      <c r="J419">
        <v>51</v>
      </c>
      <c r="K419" t="s">
        <v>15</v>
      </c>
      <c r="L419">
        <f>Procurement_kpi_Analysis[[#This Row],[Quantity]]*Procurement_kpi_Analysis[[#This Row],[Negotiated_Price]]</f>
        <v>42691.6</v>
      </c>
      <c r="M419">
        <f>IF(Procurement_kpi_Analysis[[#This Row],[Delivery_Date]]="","",Procurement_kpi_Analysis[[#This Row],[Delivery_Date]]-Procurement_kpi_Analysis[[#This Row],[Order_Date]])</f>
        <v>19</v>
      </c>
      <c r="N419" s="2">
        <f>Procurement_kpi_Analysis[[#This Row],[Defective_Units]]/Procurement_kpi_Analysis[[#This Row],[Quantity]]</f>
        <v>4.6112115732368897E-2</v>
      </c>
      <c r="O419" s="2">
        <f>(Procurement_kpi_Analysis[[#This Row],[Unit_Price]]-Procurement_kpi_Analysis[[#This Row],[Negotiated_Price]])*Procurement_kpi_Analysis[[#This Row],[Quantity]]</f>
        <v>6027.6999999999953</v>
      </c>
      <c r="P419" s="2">
        <f>Procurement_kpi_Analysis[[#This Row],[Total Savings]]/Procurement_kpi_Analysis[[#This Row],[Total Spend]]</f>
        <v>0.14119170984455948</v>
      </c>
      <c r="Q419" s="2" t="str">
        <f>IF(Procurement_kpi_Analysis[[#This Row],[Lead Time]]&lt;=14,"On Time","Late")</f>
        <v>Late</v>
      </c>
      <c r="R419" s="2">
        <f>Procurement_kpi_Analysis[[#This Row],[Unit_Price]]*Procurement_kpi_Analysis[[#This Row],[Quantity]]</f>
        <v>48719.299999999996</v>
      </c>
      <c r="S419" s="2">
        <f>IF(Procurement_kpi_Analysis[[#This Row],[Compliance]]="Yes",1,0)</f>
        <v>1</v>
      </c>
      <c r="T419" s="2">
        <f>IF(Procurement_kpi_Analysis[[#This Row],[Compliance]]="No",1,0)</f>
        <v>0</v>
      </c>
    </row>
    <row r="420" spans="1:20" x14ac:dyDescent="0.3">
      <c r="A420" t="s">
        <v>445</v>
      </c>
      <c r="B420" t="s">
        <v>12</v>
      </c>
      <c r="C420" s="1">
        <v>44845</v>
      </c>
      <c r="D420" s="1">
        <v>44856</v>
      </c>
      <c r="E420" t="s">
        <v>13</v>
      </c>
      <c r="F420" t="s">
        <v>18</v>
      </c>
      <c r="G420">
        <v>737</v>
      </c>
      <c r="H420">
        <v>43.08</v>
      </c>
      <c r="I420">
        <v>42.58</v>
      </c>
      <c r="J420">
        <v>21</v>
      </c>
      <c r="K420" t="s">
        <v>15</v>
      </c>
      <c r="L420">
        <f>Procurement_kpi_Analysis[[#This Row],[Quantity]]*Procurement_kpi_Analysis[[#This Row],[Negotiated_Price]]</f>
        <v>31381.46</v>
      </c>
      <c r="M420">
        <f>IF(Procurement_kpi_Analysis[[#This Row],[Delivery_Date]]="","",Procurement_kpi_Analysis[[#This Row],[Delivery_Date]]-Procurement_kpi_Analysis[[#This Row],[Order_Date]])</f>
        <v>11</v>
      </c>
      <c r="N420" s="2">
        <f>Procurement_kpi_Analysis[[#This Row],[Defective_Units]]/Procurement_kpi_Analysis[[#This Row],[Quantity]]</f>
        <v>2.8493894165535955E-2</v>
      </c>
      <c r="O420" s="2">
        <f>(Procurement_kpi_Analysis[[#This Row],[Unit_Price]]-Procurement_kpi_Analysis[[#This Row],[Negotiated_Price]])*Procurement_kpi_Analysis[[#This Row],[Quantity]]</f>
        <v>368.5</v>
      </c>
      <c r="P420" s="2">
        <f>Procurement_kpi_Analysis[[#This Row],[Total Savings]]/Procurement_kpi_Analysis[[#This Row],[Total Spend]]</f>
        <v>1.1742602160638799E-2</v>
      </c>
      <c r="Q420" s="2" t="str">
        <f>IF(Procurement_kpi_Analysis[[#This Row],[Lead Time]]&lt;=14,"On Time","Late")</f>
        <v>On Time</v>
      </c>
      <c r="R420" s="2">
        <f>Procurement_kpi_Analysis[[#This Row],[Unit_Price]]*Procurement_kpi_Analysis[[#This Row],[Quantity]]</f>
        <v>31749.96</v>
      </c>
      <c r="S420" s="2">
        <f>IF(Procurement_kpi_Analysis[[#This Row],[Compliance]]="Yes",1,0)</f>
        <v>1</v>
      </c>
      <c r="T420" s="2">
        <f>IF(Procurement_kpi_Analysis[[#This Row],[Compliance]]="No",1,0)</f>
        <v>0</v>
      </c>
    </row>
    <row r="421" spans="1:20" x14ac:dyDescent="0.3">
      <c r="A421" t="s">
        <v>446</v>
      </c>
      <c r="B421" t="s">
        <v>12</v>
      </c>
      <c r="C421" s="1">
        <v>44607</v>
      </c>
      <c r="D421" s="1">
        <v>44624</v>
      </c>
      <c r="E421" t="s">
        <v>26</v>
      </c>
      <c r="F421" t="s">
        <v>18</v>
      </c>
      <c r="G421">
        <v>509</v>
      </c>
      <c r="H421">
        <v>76.760000000000005</v>
      </c>
      <c r="I421">
        <v>74.72</v>
      </c>
      <c r="J421">
        <v>7</v>
      </c>
      <c r="K421" t="s">
        <v>27</v>
      </c>
      <c r="L421">
        <f>Procurement_kpi_Analysis[[#This Row],[Quantity]]*Procurement_kpi_Analysis[[#This Row],[Negotiated_Price]]</f>
        <v>38032.479999999996</v>
      </c>
      <c r="M421">
        <f>IF(Procurement_kpi_Analysis[[#This Row],[Delivery_Date]]="","",Procurement_kpi_Analysis[[#This Row],[Delivery_Date]]-Procurement_kpi_Analysis[[#This Row],[Order_Date]])</f>
        <v>17</v>
      </c>
      <c r="N421" s="2">
        <f>Procurement_kpi_Analysis[[#This Row],[Defective_Units]]/Procurement_kpi_Analysis[[#This Row],[Quantity]]</f>
        <v>1.37524557956778E-2</v>
      </c>
      <c r="O421" s="2">
        <f>(Procurement_kpi_Analysis[[#This Row],[Unit_Price]]-Procurement_kpi_Analysis[[#This Row],[Negotiated_Price]])*Procurement_kpi_Analysis[[#This Row],[Quantity]]</f>
        <v>1038.3600000000031</v>
      </c>
      <c r="P421" s="2">
        <f>Procurement_kpi_Analysis[[#This Row],[Total Savings]]/Procurement_kpi_Analysis[[#This Row],[Total Spend]]</f>
        <v>2.7301927194860898E-2</v>
      </c>
      <c r="Q421" s="2" t="str">
        <f>IF(Procurement_kpi_Analysis[[#This Row],[Lead Time]]&lt;=14,"On Time","Late")</f>
        <v>Late</v>
      </c>
      <c r="R421" s="2">
        <f>Procurement_kpi_Analysis[[#This Row],[Unit_Price]]*Procurement_kpi_Analysis[[#This Row],[Quantity]]</f>
        <v>39070.840000000004</v>
      </c>
      <c r="S421" s="2">
        <f>IF(Procurement_kpi_Analysis[[#This Row],[Compliance]]="Yes",1,0)</f>
        <v>0</v>
      </c>
      <c r="T421" s="2">
        <f>IF(Procurement_kpi_Analysis[[#This Row],[Compliance]]="No",1,0)</f>
        <v>1</v>
      </c>
    </row>
    <row r="422" spans="1:20" x14ac:dyDescent="0.3">
      <c r="A422" t="s">
        <v>447</v>
      </c>
      <c r="B422" t="s">
        <v>12</v>
      </c>
      <c r="C422" s="1">
        <v>44565</v>
      </c>
      <c r="D422" s="1">
        <v>44567</v>
      </c>
      <c r="E422" t="s">
        <v>39</v>
      </c>
      <c r="F422" t="s">
        <v>18</v>
      </c>
      <c r="G422">
        <v>1004</v>
      </c>
      <c r="H422">
        <v>50.7</v>
      </c>
      <c r="I422">
        <v>46.59</v>
      </c>
      <c r="J422">
        <v>27</v>
      </c>
      <c r="K422" t="s">
        <v>15</v>
      </c>
      <c r="L422">
        <f>Procurement_kpi_Analysis[[#This Row],[Quantity]]*Procurement_kpi_Analysis[[#This Row],[Negotiated_Price]]</f>
        <v>46776.36</v>
      </c>
      <c r="M422">
        <f>IF(Procurement_kpi_Analysis[[#This Row],[Delivery_Date]]="","",Procurement_kpi_Analysis[[#This Row],[Delivery_Date]]-Procurement_kpi_Analysis[[#This Row],[Order_Date]])</f>
        <v>2</v>
      </c>
      <c r="N422" s="2">
        <f>Procurement_kpi_Analysis[[#This Row],[Defective_Units]]/Procurement_kpi_Analysis[[#This Row],[Quantity]]</f>
        <v>2.6892430278884463E-2</v>
      </c>
      <c r="O422" s="2">
        <f>(Procurement_kpi_Analysis[[#This Row],[Unit_Price]]-Procurement_kpi_Analysis[[#This Row],[Negotiated_Price]])*Procurement_kpi_Analysis[[#This Row],[Quantity]]</f>
        <v>4126.4399999999996</v>
      </c>
      <c r="P422" s="2">
        <f>Procurement_kpi_Analysis[[#This Row],[Total Savings]]/Procurement_kpi_Analysis[[#This Row],[Total Spend]]</f>
        <v>8.8216355441081765E-2</v>
      </c>
      <c r="Q422" s="2" t="str">
        <f>IF(Procurement_kpi_Analysis[[#This Row],[Lead Time]]&lt;=14,"On Time","Late")</f>
        <v>On Time</v>
      </c>
      <c r="R422" s="2">
        <f>Procurement_kpi_Analysis[[#This Row],[Unit_Price]]*Procurement_kpi_Analysis[[#This Row],[Quantity]]</f>
        <v>50902.8</v>
      </c>
      <c r="S422" s="2">
        <f>IF(Procurement_kpi_Analysis[[#This Row],[Compliance]]="Yes",1,0)</f>
        <v>1</v>
      </c>
      <c r="T422" s="2">
        <f>IF(Procurement_kpi_Analysis[[#This Row],[Compliance]]="No",1,0)</f>
        <v>0</v>
      </c>
    </row>
    <row r="423" spans="1:20" x14ac:dyDescent="0.3">
      <c r="A423" t="s">
        <v>448</v>
      </c>
      <c r="B423" t="s">
        <v>20</v>
      </c>
      <c r="C423" s="1">
        <v>44903</v>
      </c>
      <c r="D423" s="1">
        <v>44914</v>
      </c>
      <c r="E423" t="s">
        <v>21</v>
      </c>
      <c r="F423" t="s">
        <v>35</v>
      </c>
      <c r="G423">
        <v>1956</v>
      </c>
      <c r="H423">
        <v>31.88</v>
      </c>
      <c r="I423">
        <v>28.48</v>
      </c>
      <c r="J423">
        <v>86</v>
      </c>
      <c r="K423" t="s">
        <v>15</v>
      </c>
      <c r="L423">
        <f>Procurement_kpi_Analysis[[#This Row],[Quantity]]*Procurement_kpi_Analysis[[#This Row],[Negotiated_Price]]</f>
        <v>55706.879999999997</v>
      </c>
      <c r="M423">
        <f>IF(Procurement_kpi_Analysis[[#This Row],[Delivery_Date]]="","",Procurement_kpi_Analysis[[#This Row],[Delivery_Date]]-Procurement_kpi_Analysis[[#This Row],[Order_Date]])</f>
        <v>11</v>
      </c>
      <c r="N423" s="2">
        <f>Procurement_kpi_Analysis[[#This Row],[Defective_Units]]/Procurement_kpi_Analysis[[#This Row],[Quantity]]</f>
        <v>4.396728016359918E-2</v>
      </c>
      <c r="O423" s="2">
        <f>(Procurement_kpi_Analysis[[#This Row],[Unit_Price]]-Procurement_kpi_Analysis[[#This Row],[Negotiated_Price]])*Procurement_kpi_Analysis[[#This Row],[Quantity]]</f>
        <v>6650.3999999999969</v>
      </c>
      <c r="P423" s="2">
        <f>Procurement_kpi_Analysis[[#This Row],[Total Savings]]/Procurement_kpi_Analysis[[#This Row],[Total Spend]]</f>
        <v>0.11938202247191006</v>
      </c>
      <c r="Q423" s="2" t="str">
        <f>IF(Procurement_kpi_Analysis[[#This Row],[Lead Time]]&lt;=14,"On Time","Late")</f>
        <v>On Time</v>
      </c>
      <c r="R423" s="2">
        <f>Procurement_kpi_Analysis[[#This Row],[Unit_Price]]*Procurement_kpi_Analysis[[#This Row],[Quantity]]</f>
        <v>62357.279999999999</v>
      </c>
      <c r="S423" s="2">
        <f>IF(Procurement_kpi_Analysis[[#This Row],[Compliance]]="Yes",1,0)</f>
        <v>1</v>
      </c>
      <c r="T423" s="2">
        <f>IF(Procurement_kpi_Analysis[[#This Row],[Compliance]]="No",1,0)</f>
        <v>0</v>
      </c>
    </row>
    <row r="424" spans="1:20" x14ac:dyDescent="0.3">
      <c r="A424" t="s">
        <v>449</v>
      </c>
      <c r="B424" t="s">
        <v>17</v>
      </c>
      <c r="C424" s="1">
        <v>44695</v>
      </c>
      <c r="D424" s="1"/>
      <c r="E424" t="s">
        <v>39</v>
      </c>
      <c r="F424" t="s">
        <v>18</v>
      </c>
      <c r="G424">
        <v>519</v>
      </c>
      <c r="H424">
        <v>51.73</v>
      </c>
      <c r="I424">
        <v>47.52</v>
      </c>
      <c r="J424">
        <v>81</v>
      </c>
      <c r="K424" t="s">
        <v>27</v>
      </c>
      <c r="L424">
        <f>Procurement_kpi_Analysis[[#This Row],[Quantity]]*Procurement_kpi_Analysis[[#This Row],[Negotiated_Price]]</f>
        <v>24662.880000000001</v>
      </c>
      <c r="M424" t="str">
        <f>IF(Procurement_kpi_Analysis[[#This Row],[Delivery_Date]]="","",Procurement_kpi_Analysis[[#This Row],[Delivery_Date]]-Procurement_kpi_Analysis[[#This Row],[Order_Date]])</f>
        <v/>
      </c>
      <c r="N424" s="2">
        <f>Procurement_kpi_Analysis[[#This Row],[Defective_Units]]/Procurement_kpi_Analysis[[#This Row],[Quantity]]</f>
        <v>0.15606936416184972</v>
      </c>
      <c r="O424" s="2">
        <f>(Procurement_kpi_Analysis[[#This Row],[Unit_Price]]-Procurement_kpi_Analysis[[#This Row],[Negotiated_Price]])*Procurement_kpi_Analysis[[#This Row],[Quantity]]</f>
        <v>2184.9899999999966</v>
      </c>
      <c r="P424" s="2">
        <f>Procurement_kpi_Analysis[[#This Row],[Total Savings]]/Procurement_kpi_Analysis[[#This Row],[Total Spend]]</f>
        <v>8.8594276094275948E-2</v>
      </c>
      <c r="Q424" s="2" t="str">
        <f>IF(Procurement_kpi_Analysis[[#This Row],[Lead Time]]&lt;=14,"On Time","Late")</f>
        <v>Late</v>
      </c>
      <c r="R424" s="2">
        <f>Procurement_kpi_Analysis[[#This Row],[Unit_Price]]*Procurement_kpi_Analysis[[#This Row],[Quantity]]</f>
        <v>26847.87</v>
      </c>
      <c r="S424" s="2">
        <f>IF(Procurement_kpi_Analysis[[#This Row],[Compliance]]="Yes",1,0)</f>
        <v>0</v>
      </c>
      <c r="T424" s="2">
        <f>IF(Procurement_kpi_Analysis[[#This Row],[Compliance]]="No",1,0)</f>
        <v>1</v>
      </c>
    </row>
    <row r="425" spans="1:20" x14ac:dyDescent="0.3">
      <c r="A425" t="s">
        <v>450</v>
      </c>
      <c r="B425" t="s">
        <v>20</v>
      </c>
      <c r="C425" s="1">
        <v>45214</v>
      </c>
      <c r="D425" s="1">
        <v>45220</v>
      </c>
      <c r="E425" t="s">
        <v>21</v>
      </c>
      <c r="F425" t="s">
        <v>33</v>
      </c>
      <c r="G425">
        <v>1448</v>
      </c>
      <c r="H425">
        <v>25.06</v>
      </c>
      <c r="I425">
        <v>21.62</v>
      </c>
      <c r="J425">
        <v>84</v>
      </c>
      <c r="K425" t="s">
        <v>15</v>
      </c>
      <c r="L425">
        <f>Procurement_kpi_Analysis[[#This Row],[Quantity]]*Procurement_kpi_Analysis[[#This Row],[Negotiated_Price]]</f>
        <v>31305.760000000002</v>
      </c>
      <c r="M425">
        <f>IF(Procurement_kpi_Analysis[[#This Row],[Delivery_Date]]="","",Procurement_kpi_Analysis[[#This Row],[Delivery_Date]]-Procurement_kpi_Analysis[[#This Row],[Order_Date]])</f>
        <v>6</v>
      </c>
      <c r="N425" s="2">
        <f>Procurement_kpi_Analysis[[#This Row],[Defective_Units]]/Procurement_kpi_Analysis[[#This Row],[Quantity]]</f>
        <v>5.8011049723756904E-2</v>
      </c>
      <c r="O425" s="2">
        <f>(Procurement_kpi_Analysis[[#This Row],[Unit_Price]]-Procurement_kpi_Analysis[[#This Row],[Negotiated_Price]])*Procurement_kpi_Analysis[[#This Row],[Quantity]]</f>
        <v>4981.1199999999972</v>
      </c>
      <c r="P425" s="2">
        <f>Procurement_kpi_Analysis[[#This Row],[Total Savings]]/Procurement_kpi_Analysis[[#This Row],[Total Spend]]</f>
        <v>0.15911193339500451</v>
      </c>
      <c r="Q425" s="2" t="str">
        <f>IF(Procurement_kpi_Analysis[[#This Row],[Lead Time]]&lt;=14,"On Time","Late")</f>
        <v>On Time</v>
      </c>
      <c r="R425" s="2">
        <f>Procurement_kpi_Analysis[[#This Row],[Unit_Price]]*Procurement_kpi_Analysis[[#This Row],[Quantity]]</f>
        <v>36286.879999999997</v>
      </c>
      <c r="S425" s="2">
        <f>IF(Procurement_kpi_Analysis[[#This Row],[Compliance]]="Yes",1,0)</f>
        <v>1</v>
      </c>
      <c r="T425" s="2">
        <f>IF(Procurement_kpi_Analysis[[#This Row],[Compliance]]="No",1,0)</f>
        <v>0</v>
      </c>
    </row>
    <row r="426" spans="1:20" x14ac:dyDescent="0.3">
      <c r="A426" t="s">
        <v>451</v>
      </c>
      <c r="B426" t="s">
        <v>20</v>
      </c>
      <c r="C426" s="1">
        <v>44830</v>
      </c>
      <c r="D426" s="1">
        <v>44845</v>
      </c>
      <c r="E426" t="s">
        <v>24</v>
      </c>
      <c r="F426" t="s">
        <v>18</v>
      </c>
      <c r="G426">
        <v>1095</v>
      </c>
      <c r="H426">
        <v>26.91</v>
      </c>
      <c r="I426">
        <v>23.75</v>
      </c>
      <c r="J426">
        <v>53</v>
      </c>
      <c r="K426" t="s">
        <v>15</v>
      </c>
      <c r="L426">
        <f>Procurement_kpi_Analysis[[#This Row],[Quantity]]*Procurement_kpi_Analysis[[#This Row],[Negotiated_Price]]</f>
        <v>26006.25</v>
      </c>
      <c r="M426">
        <f>IF(Procurement_kpi_Analysis[[#This Row],[Delivery_Date]]="","",Procurement_kpi_Analysis[[#This Row],[Delivery_Date]]-Procurement_kpi_Analysis[[#This Row],[Order_Date]])</f>
        <v>15</v>
      </c>
      <c r="N426" s="2">
        <f>Procurement_kpi_Analysis[[#This Row],[Defective_Units]]/Procurement_kpi_Analysis[[#This Row],[Quantity]]</f>
        <v>4.8401826484018265E-2</v>
      </c>
      <c r="O426" s="2">
        <f>(Procurement_kpi_Analysis[[#This Row],[Unit_Price]]-Procurement_kpi_Analysis[[#This Row],[Negotiated_Price]])*Procurement_kpi_Analysis[[#This Row],[Quantity]]</f>
        <v>3460.2000000000003</v>
      </c>
      <c r="P426" s="2">
        <f>Procurement_kpi_Analysis[[#This Row],[Total Savings]]/Procurement_kpi_Analysis[[#This Row],[Total Spend]]</f>
        <v>0.13305263157894737</v>
      </c>
      <c r="Q426" s="2" t="str">
        <f>IF(Procurement_kpi_Analysis[[#This Row],[Lead Time]]&lt;=14,"On Time","Late")</f>
        <v>Late</v>
      </c>
      <c r="R426" s="2">
        <f>Procurement_kpi_Analysis[[#This Row],[Unit_Price]]*Procurement_kpi_Analysis[[#This Row],[Quantity]]</f>
        <v>29466.45</v>
      </c>
      <c r="S426" s="2">
        <f>IF(Procurement_kpi_Analysis[[#This Row],[Compliance]]="Yes",1,0)</f>
        <v>1</v>
      </c>
      <c r="T426" s="2">
        <f>IF(Procurement_kpi_Analysis[[#This Row],[Compliance]]="No",1,0)</f>
        <v>0</v>
      </c>
    </row>
    <row r="427" spans="1:20" x14ac:dyDescent="0.3">
      <c r="A427" t="s">
        <v>452</v>
      </c>
      <c r="B427" t="s">
        <v>12</v>
      </c>
      <c r="C427" s="1">
        <v>44727</v>
      </c>
      <c r="D427" s="1"/>
      <c r="E427" t="s">
        <v>21</v>
      </c>
      <c r="F427" t="s">
        <v>18</v>
      </c>
      <c r="G427">
        <v>799</v>
      </c>
      <c r="H427">
        <v>56.22</v>
      </c>
      <c r="I427">
        <v>49.51</v>
      </c>
      <c r="J427">
        <v>18</v>
      </c>
      <c r="K427" t="s">
        <v>15</v>
      </c>
      <c r="L427">
        <f>Procurement_kpi_Analysis[[#This Row],[Quantity]]*Procurement_kpi_Analysis[[#This Row],[Negotiated_Price]]</f>
        <v>39558.49</v>
      </c>
      <c r="M427" t="str">
        <f>IF(Procurement_kpi_Analysis[[#This Row],[Delivery_Date]]="","",Procurement_kpi_Analysis[[#This Row],[Delivery_Date]]-Procurement_kpi_Analysis[[#This Row],[Order_Date]])</f>
        <v/>
      </c>
      <c r="N427" s="2">
        <f>Procurement_kpi_Analysis[[#This Row],[Defective_Units]]/Procurement_kpi_Analysis[[#This Row],[Quantity]]</f>
        <v>2.2528160200250311E-2</v>
      </c>
      <c r="O427" s="2">
        <f>(Procurement_kpi_Analysis[[#This Row],[Unit_Price]]-Procurement_kpi_Analysis[[#This Row],[Negotiated_Price]])*Procurement_kpi_Analysis[[#This Row],[Quantity]]</f>
        <v>5361.2900000000009</v>
      </c>
      <c r="P427" s="2">
        <f>Procurement_kpi_Analysis[[#This Row],[Total Savings]]/Procurement_kpi_Analysis[[#This Row],[Total Spend]]</f>
        <v>0.13552817612603518</v>
      </c>
      <c r="Q427" s="2" t="str">
        <f>IF(Procurement_kpi_Analysis[[#This Row],[Lead Time]]&lt;=14,"On Time","Late")</f>
        <v>Late</v>
      </c>
      <c r="R427" s="2">
        <f>Procurement_kpi_Analysis[[#This Row],[Unit_Price]]*Procurement_kpi_Analysis[[#This Row],[Quantity]]</f>
        <v>44919.78</v>
      </c>
      <c r="S427" s="2">
        <f>IF(Procurement_kpi_Analysis[[#This Row],[Compliance]]="Yes",1,0)</f>
        <v>1</v>
      </c>
      <c r="T427" s="2">
        <f>IF(Procurement_kpi_Analysis[[#This Row],[Compliance]]="No",1,0)</f>
        <v>0</v>
      </c>
    </row>
    <row r="428" spans="1:20" x14ac:dyDescent="0.3">
      <c r="A428" t="s">
        <v>453</v>
      </c>
      <c r="B428" t="s">
        <v>23</v>
      </c>
      <c r="C428" s="1">
        <v>45014</v>
      </c>
      <c r="D428" s="1">
        <v>45034</v>
      </c>
      <c r="E428" t="s">
        <v>21</v>
      </c>
      <c r="F428" t="s">
        <v>33</v>
      </c>
      <c r="G428">
        <v>1743</v>
      </c>
      <c r="H428">
        <v>51.04</v>
      </c>
      <c r="I428">
        <v>47.15</v>
      </c>
      <c r="J428">
        <v>160</v>
      </c>
      <c r="K428" t="s">
        <v>15</v>
      </c>
      <c r="L428">
        <f>Procurement_kpi_Analysis[[#This Row],[Quantity]]*Procurement_kpi_Analysis[[#This Row],[Negotiated_Price]]</f>
        <v>82182.45</v>
      </c>
      <c r="M428">
        <f>IF(Procurement_kpi_Analysis[[#This Row],[Delivery_Date]]="","",Procurement_kpi_Analysis[[#This Row],[Delivery_Date]]-Procurement_kpi_Analysis[[#This Row],[Order_Date]])</f>
        <v>20</v>
      </c>
      <c r="N428" s="2">
        <f>Procurement_kpi_Analysis[[#This Row],[Defective_Units]]/Procurement_kpi_Analysis[[#This Row],[Quantity]]</f>
        <v>9.1795754446356861E-2</v>
      </c>
      <c r="O428" s="2">
        <f>(Procurement_kpi_Analysis[[#This Row],[Unit_Price]]-Procurement_kpi_Analysis[[#This Row],[Negotiated_Price]])*Procurement_kpi_Analysis[[#This Row],[Quantity]]</f>
        <v>6780.2700000000013</v>
      </c>
      <c r="P428" s="2">
        <f>Procurement_kpi_Analysis[[#This Row],[Total Savings]]/Procurement_kpi_Analysis[[#This Row],[Total Spend]]</f>
        <v>8.2502651113467676E-2</v>
      </c>
      <c r="Q428" s="2" t="str">
        <f>IF(Procurement_kpi_Analysis[[#This Row],[Lead Time]]&lt;=14,"On Time","Late")</f>
        <v>Late</v>
      </c>
      <c r="R428" s="2">
        <f>Procurement_kpi_Analysis[[#This Row],[Unit_Price]]*Procurement_kpi_Analysis[[#This Row],[Quantity]]</f>
        <v>88962.72</v>
      </c>
      <c r="S428" s="2">
        <f>IF(Procurement_kpi_Analysis[[#This Row],[Compliance]]="Yes",1,0)</f>
        <v>1</v>
      </c>
      <c r="T428" s="2">
        <f>IF(Procurement_kpi_Analysis[[#This Row],[Compliance]]="No",1,0)</f>
        <v>0</v>
      </c>
    </row>
    <row r="429" spans="1:20" x14ac:dyDescent="0.3">
      <c r="A429" t="s">
        <v>454</v>
      </c>
      <c r="B429" t="s">
        <v>12</v>
      </c>
      <c r="C429" s="1">
        <v>45126</v>
      </c>
      <c r="D429" s="1">
        <v>45138</v>
      </c>
      <c r="E429" t="s">
        <v>26</v>
      </c>
      <c r="F429" t="s">
        <v>18</v>
      </c>
      <c r="G429">
        <v>87</v>
      </c>
      <c r="H429">
        <v>100.65</v>
      </c>
      <c r="I429">
        <v>85.56</v>
      </c>
      <c r="J429">
        <v>1</v>
      </c>
      <c r="K429" t="s">
        <v>15</v>
      </c>
      <c r="L429">
        <f>Procurement_kpi_Analysis[[#This Row],[Quantity]]*Procurement_kpi_Analysis[[#This Row],[Negotiated_Price]]</f>
        <v>7443.72</v>
      </c>
      <c r="M429">
        <f>IF(Procurement_kpi_Analysis[[#This Row],[Delivery_Date]]="","",Procurement_kpi_Analysis[[#This Row],[Delivery_Date]]-Procurement_kpi_Analysis[[#This Row],[Order_Date]])</f>
        <v>12</v>
      </c>
      <c r="N429" s="2">
        <f>Procurement_kpi_Analysis[[#This Row],[Defective_Units]]/Procurement_kpi_Analysis[[#This Row],[Quantity]]</f>
        <v>1.1494252873563218E-2</v>
      </c>
      <c r="O429" s="2">
        <f>(Procurement_kpi_Analysis[[#This Row],[Unit_Price]]-Procurement_kpi_Analysis[[#This Row],[Negotiated_Price]])*Procurement_kpi_Analysis[[#This Row],[Quantity]]</f>
        <v>1312.8300000000004</v>
      </c>
      <c r="P429" s="2">
        <f>Procurement_kpi_Analysis[[#This Row],[Total Savings]]/Procurement_kpi_Analysis[[#This Row],[Total Spend]]</f>
        <v>0.17636746143057508</v>
      </c>
      <c r="Q429" s="2" t="str">
        <f>IF(Procurement_kpi_Analysis[[#This Row],[Lead Time]]&lt;=14,"On Time","Late")</f>
        <v>On Time</v>
      </c>
      <c r="R429" s="2">
        <f>Procurement_kpi_Analysis[[#This Row],[Unit_Price]]*Procurement_kpi_Analysis[[#This Row],[Quantity]]</f>
        <v>8756.5500000000011</v>
      </c>
      <c r="S429" s="2">
        <f>IF(Procurement_kpi_Analysis[[#This Row],[Compliance]]="Yes",1,0)</f>
        <v>1</v>
      </c>
      <c r="T429" s="2">
        <f>IF(Procurement_kpi_Analysis[[#This Row],[Compliance]]="No",1,0)</f>
        <v>0</v>
      </c>
    </row>
    <row r="430" spans="1:20" x14ac:dyDescent="0.3">
      <c r="A430" t="s">
        <v>455</v>
      </c>
      <c r="B430" t="s">
        <v>23</v>
      </c>
      <c r="C430" s="1">
        <v>45284</v>
      </c>
      <c r="D430" s="1"/>
      <c r="E430" t="s">
        <v>26</v>
      </c>
      <c r="F430" t="s">
        <v>18</v>
      </c>
      <c r="G430">
        <v>279</v>
      </c>
      <c r="H430">
        <v>47.52</v>
      </c>
      <c r="I430">
        <v>46.5</v>
      </c>
      <c r="J430">
        <v>28</v>
      </c>
      <c r="K430" t="s">
        <v>27</v>
      </c>
      <c r="L430">
        <f>Procurement_kpi_Analysis[[#This Row],[Quantity]]*Procurement_kpi_Analysis[[#This Row],[Negotiated_Price]]</f>
        <v>12973.5</v>
      </c>
      <c r="M430" t="str">
        <f>IF(Procurement_kpi_Analysis[[#This Row],[Delivery_Date]]="","",Procurement_kpi_Analysis[[#This Row],[Delivery_Date]]-Procurement_kpi_Analysis[[#This Row],[Order_Date]])</f>
        <v/>
      </c>
      <c r="N430" s="2">
        <f>Procurement_kpi_Analysis[[#This Row],[Defective_Units]]/Procurement_kpi_Analysis[[#This Row],[Quantity]]</f>
        <v>0.1003584229390681</v>
      </c>
      <c r="O430" s="2">
        <f>(Procurement_kpi_Analysis[[#This Row],[Unit_Price]]-Procurement_kpi_Analysis[[#This Row],[Negotiated_Price]])*Procurement_kpi_Analysis[[#This Row],[Quantity]]</f>
        <v>284.58000000000089</v>
      </c>
      <c r="P430" s="2">
        <f>Procurement_kpi_Analysis[[#This Row],[Total Savings]]/Procurement_kpi_Analysis[[#This Row],[Total Spend]]</f>
        <v>2.193548387096781E-2</v>
      </c>
      <c r="Q430" s="2" t="str">
        <f>IF(Procurement_kpi_Analysis[[#This Row],[Lead Time]]&lt;=14,"On Time","Late")</f>
        <v>Late</v>
      </c>
      <c r="R430" s="2">
        <f>Procurement_kpi_Analysis[[#This Row],[Unit_Price]]*Procurement_kpi_Analysis[[#This Row],[Quantity]]</f>
        <v>13258.080000000002</v>
      </c>
      <c r="S430" s="2">
        <f>IF(Procurement_kpi_Analysis[[#This Row],[Compliance]]="Yes",1,0)</f>
        <v>0</v>
      </c>
      <c r="T430" s="2">
        <f>IF(Procurement_kpi_Analysis[[#This Row],[Compliance]]="No",1,0)</f>
        <v>1</v>
      </c>
    </row>
    <row r="431" spans="1:20" x14ac:dyDescent="0.3">
      <c r="A431" t="s">
        <v>456</v>
      </c>
      <c r="B431" t="s">
        <v>17</v>
      </c>
      <c r="C431" s="1">
        <v>44999</v>
      </c>
      <c r="D431" s="1">
        <v>45010</v>
      </c>
      <c r="E431" t="s">
        <v>26</v>
      </c>
      <c r="F431" t="s">
        <v>18</v>
      </c>
      <c r="G431">
        <v>1438</v>
      </c>
      <c r="H431">
        <v>66.61</v>
      </c>
      <c r="I431">
        <v>58.5</v>
      </c>
      <c r="J431">
        <v>237</v>
      </c>
      <c r="K431" t="s">
        <v>15</v>
      </c>
      <c r="L431">
        <f>Procurement_kpi_Analysis[[#This Row],[Quantity]]*Procurement_kpi_Analysis[[#This Row],[Negotiated_Price]]</f>
        <v>84123</v>
      </c>
      <c r="M431">
        <f>IF(Procurement_kpi_Analysis[[#This Row],[Delivery_Date]]="","",Procurement_kpi_Analysis[[#This Row],[Delivery_Date]]-Procurement_kpi_Analysis[[#This Row],[Order_Date]])</f>
        <v>11</v>
      </c>
      <c r="N431" s="2">
        <f>Procurement_kpi_Analysis[[#This Row],[Defective_Units]]/Procurement_kpi_Analysis[[#This Row],[Quantity]]</f>
        <v>0.16481223922114047</v>
      </c>
      <c r="O431" s="2">
        <f>(Procurement_kpi_Analysis[[#This Row],[Unit_Price]]-Procurement_kpi_Analysis[[#This Row],[Negotiated_Price]])*Procurement_kpi_Analysis[[#This Row],[Quantity]]</f>
        <v>11662.179999999998</v>
      </c>
      <c r="P431" s="2">
        <f>Procurement_kpi_Analysis[[#This Row],[Total Savings]]/Procurement_kpi_Analysis[[#This Row],[Total Spend]]</f>
        <v>0.1386324786324786</v>
      </c>
      <c r="Q431" s="2" t="str">
        <f>IF(Procurement_kpi_Analysis[[#This Row],[Lead Time]]&lt;=14,"On Time","Late")</f>
        <v>On Time</v>
      </c>
      <c r="R431" s="2">
        <f>Procurement_kpi_Analysis[[#This Row],[Unit_Price]]*Procurement_kpi_Analysis[[#This Row],[Quantity]]</f>
        <v>95785.18</v>
      </c>
      <c r="S431" s="2">
        <f>IF(Procurement_kpi_Analysis[[#This Row],[Compliance]]="Yes",1,0)</f>
        <v>1</v>
      </c>
      <c r="T431" s="2">
        <f>IF(Procurement_kpi_Analysis[[#This Row],[Compliance]]="No",1,0)</f>
        <v>0</v>
      </c>
    </row>
    <row r="432" spans="1:20" x14ac:dyDescent="0.3">
      <c r="A432" t="s">
        <v>457</v>
      </c>
      <c r="B432" t="s">
        <v>17</v>
      </c>
      <c r="C432" s="1">
        <v>45136</v>
      </c>
      <c r="D432" s="1">
        <v>45138</v>
      </c>
      <c r="E432" t="s">
        <v>13</v>
      </c>
      <c r="F432" t="s">
        <v>33</v>
      </c>
      <c r="G432">
        <v>612</v>
      </c>
      <c r="H432">
        <v>72.930000000000007</v>
      </c>
      <c r="I432">
        <v>63.32</v>
      </c>
      <c r="J432">
        <v>99</v>
      </c>
      <c r="K432" t="s">
        <v>15</v>
      </c>
      <c r="L432">
        <f>Procurement_kpi_Analysis[[#This Row],[Quantity]]*Procurement_kpi_Analysis[[#This Row],[Negotiated_Price]]</f>
        <v>38751.840000000004</v>
      </c>
      <c r="M432">
        <f>IF(Procurement_kpi_Analysis[[#This Row],[Delivery_Date]]="","",Procurement_kpi_Analysis[[#This Row],[Delivery_Date]]-Procurement_kpi_Analysis[[#This Row],[Order_Date]])</f>
        <v>2</v>
      </c>
      <c r="N432" s="2">
        <f>Procurement_kpi_Analysis[[#This Row],[Defective_Units]]/Procurement_kpi_Analysis[[#This Row],[Quantity]]</f>
        <v>0.16176470588235295</v>
      </c>
      <c r="O432" s="2">
        <f>(Procurement_kpi_Analysis[[#This Row],[Unit_Price]]-Procurement_kpi_Analysis[[#This Row],[Negotiated_Price]])*Procurement_kpi_Analysis[[#This Row],[Quantity]]</f>
        <v>5881.3200000000043</v>
      </c>
      <c r="P432" s="2">
        <f>Procurement_kpi_Analysis[[#This Row],[Total Savings]]/Procurement_kpi_Analysis[[#This Row],[Total Spend]]</f>
        <v>0.15176879343019592</v>
      </c>
      <c r="Q432" s="2" t="str">
        <f>IF(Procurement_kpi_Analysis[[#This Row],[Lead Time]]&lt;=14,"On Time","Late")</f>
        <v>On Time</v>
      </c>
      <c r="R432" s="2">
        <f>Procurement_kpi_Analysis[[#This Row],[Unit_Price]]*Procurement_kpi_Analysis[[#This Row],[Quantity]]</f>
        <v>44633.16</v>
      </c>
      <c r="S432" s="2">
        <f>IF(Procurement_kpi_Analysis[[#This Row],[Compliance]]="Yes",1,0)</f>
        <v>1</v>
      </c>
      <c r="T432" s="2">
        <f>IF(Procurement_kpi_Analysis[[#This Row],[Compliance]]="No",1,0)</f>
        <v>0</v>
      </c>
    </row>
    <row r="433" spans="1:20" x14ac:dyDescent="0.3">
      <c r="A433" t="s">
        <v>458</v>
      </c>
      <c r="B433" t="s">
        <v>29</v>
      </c>
      <c r="C433" s="1">
        <v>44571</v>
      </c>
      <c r="D433" s="1">
        <v>44582</v>
      </c>
      <c r="E433" t="s">
        <v>24</v>
      </c>
      <c r="F433" t="s">
        <v>35</v>
      </c>
      <c r="G433">
        <v>487</v>
      </c>
      <c r="H433">
        <v>11.18</v>
      </c>
      <c r="I433">
        <v>10.63</v>
      </c>
      <c r="J433">
        <v>15</v>
      </c>
      <c r="K433" t="s">
        <v>15</v>
      </c>
      <c r="L433">
        <f>Procurement_kpi_Analysis[[#This Row],[Quantity]]*Procurement_kpi_Analysis[[#This Row],[Negotiated_Price]]</f>
        <v>5176.8100000000004</v>
      </c>
      <c r="M433">
        <f>IF(Procurement_kpi_Analysis[[#This Row],[Delivery_Date]]="","",Procurement_kpi_Analysis[[#This Row],[Delivery_Date]]-Procurement_kpi_Analysis[[#This Row],[Order_Date]])</f>
        <v>11</v>
      </c>
      <c r="N433" s="2">
        <f>Procurement_kpi_Analysis[[#This Row],[Defective_Units]]/Procurement_kpi_Analysis[[#This Row],[Quantity]]</f>
        <v>3.0800821355236138E-2</v>
      </c>
      <c r="O433" s="2">
        <f>(Procurement_kpi_Analysis[[#This Row],[Unit_Price]]-Procurement_kpi_Analysis[[#This Row],[Negotiated_Price]])*Procurement_kpi_Analysis[[#This Row],[Quantity]]</f>
        <v>267.84999999999945</v>
      </c>
      <c r="P433" s="2">
        <f>Procurement_kpi_Analysis[[#This Row],[Total Savings]]/Procurement_kpi_Analysis[[#This Row],[Total Spend]]</f>
        <v>5.1740357478833383E-2</v>
      </c>
      <c r="Q433" s="2" t="str">
        <f>IF(Procurement_kpi_Analysis[[#This Row],[Lead Time]]&lt;=14,"On Time","Late")</f>
        <v>On Time</v>
      </c>
      <c r="R433" s="2">
        <f>Procurement_kpi_Analysis[[#This Row],[Unit_Price]]*Procurement_kpi_Analysis[[#This Row],[Quantity]]</f>
        <v>5444.66</v>
      </c>
      <c r="S433" s="2">
        <f>IF(Procurement_kpi_Analysis[[#This Row],[Compliance]]="Yes",1,0)</f>
        <v>1</v>
      </c>
      <c r="T433" s="2">
        <f>IF(Procurement_kpi_Analysis[[#This Row],[Compliance]]="No",1,0)</f>
        <v>0</v>
      </c>
    </row>
    <row r="434" spans="1:20" x14ac:dyDescent="0.3">
      <c r="A434" t="s">
        <v>459</v>
      </c>
      <c r="B434" t="s">
        <v>29</v>
      </c>
      <c r="C434" s="1">
        <v>44676</v>
      </c>
      <c r="D434" s="1">
        <v>44680</v>
      </c>
      <c r="E434" t="s">
        <v>24</v>
      </c>
      <c r="F434" t="s">
        <v>33</v>
      </c>
      <c r="G434">
        <v>1849</v>
      </c>
      <c r="H434">
        <v>70.760000000000005</v>
      </c>
      <c r="I434">
        <v>69.25</v>
      </c>
      <c r="J434">
        <v>51</v>
      </c>
      <c r="K434" t="s">
        <v>15</v>
      </c>
      <c r="L434">
        <f>Procurement_kpi_Analysis[[#This Row],[Quantity]]*Procurement_kpi_Analysis[[#This Row],[Negotiated_Price]]</f>
        <v>128043.25</v>
      </c>
      <c r="M434">
        <f>IF(Procurement_kpi_Analysis[[#This Row],[Delivery_Date]]="","",Procurement_kpi_Analysis[[#This Row],[Delivery_Date]]-Procurement_kpi_Analysis[[#This Row],[Order_Date]])</f>
        <v>4</v>
      </c>
      <c r="N434" s="2">
        <f>Procurement_kpi_Analysis[[#This Row],[Defective_Units]]/Procurement_kpi_Analysis[[#This Row],[Quantity]]</f>
        <v>2.7582477014602487E-2</v>
      </c>
      <c r="O434" s="2">
        <f>(Procurement_kpi_Analysis[[#This Row],[Unit_Price]]-Procurement_kpi_Analysis[[#This Row],[Negotiated_Price]])*Procurement_kpi_Analysis[[#This Row],[Quantity]]</f>
        <v>2791.9900000000093</v>
      </c>
      <c r="P434" s="2">
        <f>Procurement_kpi_Analysis[[#This Row],[Total Savings]]/Procurement_kpi_Analysis[[#This Row],[Total Spend]]</f>
        <v>2.180505415162462E-2</v>
      </c>
      <c r="Q434" s="2" t="str">
        <f>IF(Procurement_kpi_Analysis[[#This Row],[Lead Time]]&lt;=14,"On Time","Late")</f>
        <v>On Time</v>
      </c>
      <c r="R434" s="2">
        <f>Procurement_kpi_Analysis[[#This Row],[Unit_Price]]*Procurement_kpi_Analysis[[#This Row],[Quantity]]</f>
        <v>130835.24</v>
      </c>
      <c r="S434" s="2">
        <f>IF(Procurement_kpi_Analysis[[#This Row],[Compliance]]="Yes",1,0)</f>
        <v>1</v>
      </c>
      <c r="T434" s="2">
        <f>IF(Procurement_kpi_Analysis[[#This Row],[Compliance]]="No",1,0)</f>
        <v>0</v>
      </c>
    </row>
    <row r="435" spans="1:20" x14ac:dyDescent="0.3">
      <c r="A435" t="s">
        <v>460</v>
      </c>
      <c r="B435" t="s">
        <v>29</v>
      </c>
      <c r="C435" s="1">
        <v>44639</v>
      </c>
      <c r="D435" s="1">
        <v>44652</v>
      </c>
      <c r="E435" t="s">
        <v>21</v>
      </c>
      <c r="F435" t="s">
        <v>33</v>
      </c>
      <c r="G435">
        <v>1356</v>
      </c>
      <c r="H435">
        <v>26.28</v>
      </c>
      <c r="I435">
        <v>25.44</v>
      </c>
      <c r="J435">
        <v>47</v>
      </c>
      <c r="K435" t="s">
        <v>15</v>
      </c>
      <c r="L435">
        <f>Procurement_kpi_Analysis[[#This Row],[Quantity]]*Procurement_kpi_Analysis[[#This Row],[Negotiated_Price]]</f>
        <v>34496.639999999999</v>
      </c>
      <c r="M435">
        <f>IF(Procurement_kpi_Analysis[[#This Row],[Delivery_Date]]="","",Procurement_kpi_Analysis[[#This Row],[Delivery_Date]]-Procurement_kpi_Analysis[[#This Row],[Order_Date]])</f>
        <v>13</v>
      </c>
      <c r="N435" s="2">
        <f>Procurement_kpi_Analysis[[#This Row],[Defective_Units]]/Procurement_kpi_Analysis[[#This Row],[Quantity]]</f>
        <v>3.466076696165192E-2</v>
      </c>
      <c r="O435" s="2">
        <f>(Procurement_kpi_Analysis[[#This Row],[Unit_Price]]-Procurement_kpi_Analysis[[#This Row],[Negotiated_Price]])*Procurement_kpi_Analysis[[#This Row],[Quantity]]</f>
        <v>1139.0399999999997</v>
      </c>
      <c r="P435" s="2">
        <f>Procurement_kpi_Analysis[[#This Row],[Total Savings]]/Procurement_kpi_Analysis[[#This Row],[Total Spend]]</f>
        <v>3.3018867924528295E-2</v>
      </c>
      <c r="Q435" s="2" t="str">
        <f>IF(Procurement_kpi_Analysis[[#This Row],[Lead Time]]&lt;=14,"On Time","Late")</f>
        <v>On Time</v>
      </c>
      <c r="R435" s="2">
        <f>Procurement_kpi_Analysis[[#This Row],[Unit_Price]]*Procurement_kpi_Analysis[[#This Row],[Quantity]]</f>
        <v>35635.68</v>
      </c>
      <c r="S435" s="2">
        <f>IF(Procurement_kpi_Analysis[[#This Row],[Compliance]]="Yes",1,0)</f>
        <v>1</v>
      </c>
      <c r="T435" s="2">
        <f>IF(Procurement_kpi_Analysis[[#This Row],[Compliance]]="No",1,0)</f>
        <v>0</v>
      </c>
    </row>
    <row r="436" spans="1:20" x14ac:dyDescent="0.3">
      <c r="A436" t="s">
        <v>461</v>
      </c>
      <c r="B436" t="s">
        <v>17</v>
      </c>
      <c r="C436" s="1">
        <v>45269</v>
      </c>
      <c r="D436" s="1">
        <v>45289</v>
      </c>
      <c r="E436" t="s">
        <v>26</v>
      </c>
      <c r="F436" t="s">
        <v>18</v>
      </c>
      <c r="G436">
        <v>76</v>
      </c>
      <c r="H436">
        <v>107.59</v>
      </c>
      <c r="I436">
        <v>96.33</v>
      </c>
      <c r="J436">
        <v>10</v>
      </c>
      <c r="K436" t="s">
        <v>15</v>
      </c>
      <c r="L436">
        <f>Procurement_kpi_Analysis[[#This Row],[Quantity]]*Procurement_kpi_Analysis[[#This Row],[Negotiated_Price]]</f>
        <v>7321.08</v>
      </c>
      <c r="M436">
        <f>IF(Procurement_kpi_Analysis[[#This Row],[Delivery_Date]]="","",Procurement_kpi_Analysis[[#This Row],[Delivery_Date]]-Procurement_kpi_Analysis[[#This Row],[Order_Date]])</f>
        <v>20</v>
      </c>
      <c r="N436" s="2">
        <f>Procurement_kpi_Analysis[[#This Row],[Defective_Units]]/Procurement_kpi_Analysis[[#This Row],[Quantity]]</f>
        <v>0.13157894736842105</v>
      </c>
      <c r="O436" s="2">
        <f>(Procurement_kpi_Analysis[[#This Row],[Unit_Price]]-Procurement_kpi_Analysis[[#This Row],[Negotiated_Price]])*Procurement_kpi_Analysis[[#This Row],[Quantity]]</f>
        <v>855.76000000000045</v>
      </c>
      <c r="P436" s="2">
        <f>Procurement_kpi_Analysis[[#This Row],[Total Savings]]/Procurement_kpi_Analysis[[#This Row],[Total Spend]]</f>
        <v>0.1168898577805461</v>
      </c>
      <c r="Q436" s="2" t="str">
        <f>IF(Procurement_kpi_Analysis[[#This Row],[Lead Time]]&lt;=14,"On Time","Late")</f>
        <v>Late</v>
      </c>
      <c r="R436" s="2">
        <f>Procurement_kpi_Analysis[[#This Row],[Unit_Price]]*Procurement_kpi_Analysis[[#This Row],[Quantity]]</f>
        <v>8176.84</v>
      </c>
      <c r="S436" s="2">
        <f>IF(Procurement_kpi_Analysis[[#This Row],[Compliance]]="Yes",1,0)</f>
        <v>1</v>
      </c>
      <c r="T436" s="2">
        <f>IF(Procurement_kpi_Analysis[[#This Row],[Compliance]]="No",1,0)</f>
        <v>0</v>
      </c>
    </row>
    <row r="437" spans="1:20" x14ac:dyDescent="0.3">
      <c r="A437" t="s">
        <v>462</v>
      </c>
      <c r="B437" t="s">
        <v>12</v>
      </c>
      <c r="C437" s="1">
        <v>44714</v>
      </c>
      <c r="D437" s="1">
        <v>44725</v>
      </c>
      <c r="E437" t="s">
        <v>24</v>
      </c>
      <c r="F437" t="s">
        <v>33</v>
      </c>
      <c r="G437">
        <v>275</v>
      </c>
      <c r="H437">
        <v>23.96</v>
      </c>
      <c r="I437">
        <v>20.440000000000001</v>
      </c>
      <c r="J437">
        <v>0</v>
      </c>
      <c r="K437" t="s">
        <v>15</v>
      </c>
      <c r="L437">
        <f>Procurement_kpi_Analysis[[#This Row],[Quantity]]*Procurement_kpi_Analysis[[#This Row],[Negotiated_Price]]</f>
        <v>5621</v>
      </c>
      <c r="M437">
        <f>IF(Procurement_kpi_Analysis[[#This Row],[Delivery_Date]]="","",Procurement_kpi_Analysis[[#This Row],[Delivery_Date]]-Procurement_kpi_Analysis[[#This Row],[Order_Date]])</f>
        <v>11</v>
      </c>
      <c r="N437" s="2">
        <f>Procurement_kpi_Analysis[[#This Row],[Defective_Units]]/Procurement_kpi_Analysis[[#This Row],[Quantity]]</f>
        <v>0</v>
      </c>
      <c r="O437" s="2">
        <f>(Procurement_kpi_Analysis[[#This Row],[Unit_Price]]-Procurement_kpi_Analysis[[#This Row],[Negotiated_Price]])*Procurement_kpi_Analysis[[#This Row],[Quantity]]</f>
        <v>967.99999999999989</v>
      </c>
      <c r="P437" s="2">
        <f>Procurement_kpi_Analysis[[#This Row],[Total Savings]]/Procurement_kpi_Analysis[[#This Row],[Total Spend]]</f>
        <v>0.17221135029354206</v>
      </c>
      <c r="Q437" s="2" t="str">
        <f>IF(Procurement_kpi_Analysis[[#This Row],[Lead Time]]&lt;=14,"On Time","Late")</f>
        <v>On Time</v>
      </c>
      <c r="R437" s="2">
        <f>Procurement_kpi_Analysis[[#This Row],[Unit_Price]]*Procurement_kpi_Analysis[[#This Row],[Quantity]]</f>
        <v>6589</v>
      </c>
      <c r="S437" s="2">
        <f>IF(Procurement_kpi_Analysis[[#This Row],[Compliance]]="Yes",1,0)</f>
        <v>1</v>
      </c>
      <c r="T437" s="2">
        <f>IF(Procurement_kpi_Analysis[[#This Row],[Compliance]]="No",1,0)</f>
        <v>0</v>
      </c>
    </row>
    <row r="438" spans="1:20" x14ac:dyDescent="0.3">
      <c r="A438" t="s">
        <v>463</v>
      </c>
      <c r="B438" t="s">
        <v>12</v>
      </c>
      <c r="C438" s="1">
        <v>45120</v>
      </c>
      <c r="D438" s="1">
        <v>45125</v>
      </c>
      <c r="E438" t="s">
        <v>24</v>
      </c>
      <c r="F438" t="s">
        <v>18</v>
      </c>
      <c r="G438">
        <v>1350</v>
      </c>
      <c r="H438">
        <v>51.57</v>
      </c>
      <c r="I438">
        <v>48.07</v>
      </c>
      <c r="J438">
        <v>0</v>
      </c>
      <c r="K438" t="s">
        <v>15</v>
      </c>
      <c r="L438">
        <f>Procurement_kpi_Analysis[[#This Row],[Quantity]]*Procurement_kpi_Analysis[[#This Row],[Negotiated_Price]]</f>
        <v>64894.5</v>
      </c>
      <c r="M438">
        <f>IF(Procurement_kpi_Analysis[[#This Row],[Delivery_Date]]="","",Procurement_kpi_Analysis[[#This Row],[Delivery_Date]]-Procurement_kpi_Analysis[[#This Row],[Order_Date]])</f>
        <v>5</v>
      </c>
      <c r="N438" s="2">
        <f>Procurement_kpi_Analysis[[#This Row],[Defective_Units]]/Procurement_kpi_Analysis[[#This Row],[Quantity]]</f>
        <v>0</v>
      </c>
      <c r="O438" s="2">
        <f>(Procurement_kpi_Analysis[[#This Row],[Unit_Price]]-Procurement_kpi_Analysis[[#This Row],[Negotiated_Price]])*Procurement_kpi_Analysis[[#This Row],[Quantity]]</f>
        <v>4725</v>
      </c>
      <c r="P438" s="2">
        <f>Procurement_kpi_Analysis[[#This Row],[Total Savings]]/Procurement_kpi_Analysis[[#This Row],[Total Spend]]</f>
        <v>7.2810484709798215E-2</v>
      </c>
      <c r="Q438" s="2" t="str">
        <f>IF(Procurement_kpi_Analysis[[#This Row],[Lead Time]]&lt;=14,"On Time","Late")</f>
        <v>On Time</v>
      </c>
      <c r="R438" s="2">
        <f>Procurement_kpi_Analysis[[#This Row],[Unit_Price]]*Procurement_kpi_Analysis[[#This Row],[Quantity]]</f>
        <v>69619.5</v>
      </c>
      <c r="S438" s="2">
        <f>IF(Procurement_kpi_Analysis[[#This Row],[Compliance]]="Yes",1,0)</f>
        <v>1</v>
      </c>
      <c r="T438" s="2">
        <f>IF(Procurement_kpi_Analysis[[#This Row],[Compliance]]="No",1,0)</f>
        <v>0</v>
      </c>
    </row>
    <row r="439" spans="1:20" x14ac:dyDescent="0.3">
      <c r="A439" t="s">
        <v>464</v>
      </c>
      <c r="B439" t="s">
        <v>12</v>
      </c>
      <c r="C439" s="1">
        <v>44598</v>
      </c>
      <c r="D439" s="1"/>
      <c r="E439" t="s">
        <v>21</v>
      </c>
      <c r="F439" t="s">
        <v>18</v>
      </c>
      <c r="G439">
        <v>847</v>
      </c>
      <c r="H439">
        <v>17.77</v>
      </c>
      <c r="I439">
        <v>17.39</v>
      </c>
      <c r="J439">
        <v>0</v>
      </c>
      <c r="K439" t="s">
        <v>15</v>
      </c>
      <c r="L439">
        <f>Procurement_kpi_Analysis[[#This Row],[Quantity]]*Procurement_kpi_Analysis[[#This Row],[Negotiated_Price]]</f>
        <v>14729.33</v>
      </c>
      <c r="M439" t="str">
        <f>IF(Procurement_kpi_Analysis[[#This Row],[Delivery_Date]]="","",Procurement_kpi_Analysis[[#This Row],[Delivery_Date]]-Procurement_kpi_Analysis[[#This Row],[Order_Date]])</f>
        <v/>
      </c>
      <c r="N439" s="2">
        <f>Procurement_kpi_Analysis[[#This Row],[Defective_Units]]/Procurement_kpi_Analysis[[#This Row],[Quantity]]</f>
        <v>0</v>
      </c>
      <c r="O439" s="2">
        <f>(Procurement_kpi_Analysis[[#This Row],[Unit_Price]]-Procurement_kpi_Analysis[[#This Row],[Negotiated_Price]])*Procurement_kpi_Analysis[[#This Row],[Quantity]]</f>
        <v>321.85999999999916</v>
      </c>
      <c r="P439" s="2">
        <f>Procurement_kpi_Analysis[[#This Row],[Total Savings]]/Procurement_kpi_Analysis[[#This Row],[Total Spend]]</f>
        <v>2.1851638872915413E-2</v>
      </c>
      <c r="Q439" s="2" t="str">
        <f>IF(Procurement_kpi_Analysis[[#This Row],[Lead Time]]&lt;=14,"On Time","Late")</f>
        <v>Late</v>
      </c>
      <c r="R439" s="2">
        <f>Procurement_kpi_Analysis[[#This Row],[Unit_Price]]*Procurement_kpi_Analysis[[#This Row],[Quantity]]</f>
        <v>15051.19</v>
      </c>
      <c r="S439" s="2">
        <f>IF(Procurement_kpi_Analysis[[#This Row],[Compliance]]="Yes",1,0)</f>
        <v>1</v>
      </c>
      <c r="T439" s="2">
        <f>IF(Procurement_kpi_Analysis[[#This Row],[Compliance]]="No",1,0)</f>
        <v>0</v>
      </c>
    </row>
    <row r="440" spans="1:20" x14ac:dyDescent="0.3">
      <c r="A440" t="s">
        <v>465</v>
      </c>
      <c r="B440" t="s">
        <v>20</v>
      </c>
      <c r="C440" s="1">
        <v>44940</v>
      </c>
      <c r="D440" s="1">
        <v>44953</v>
      </c>
      <c r="E440" t="s">
        <v>21</v>
      </c>
      <c r="F440" t="s">
        <v>18</v>
      </c>
      <c r="G440">
        <v>1682</v>
      </c>
      <c r="H440">
        <v>105.7</v>
      </c>
      <c r="I440">
        <v>101.3</v>
      </c>
      <c r="J440">
        <v>94</v>
      </c>
      <c r="K440" t="s">
        <v>15</v>
      </c>
      <c r="L440">
        <f>Procurement_kpi_Analysis[[#This Row],[Quantity]]*Procurement_kpi_Analysis[[#This Row],[Negotiated_Price]]</f>
        <v>170386.6</v>
      </c>
      <c r="M440">
        <f>IF(Procurement_kpi_Analysis[[#This Row],[Delivery_Date]]="","",Procurement_kpi_Analysis[[#This Row],[Delivery_Date]]-Procurement_kpi_Analysis[[#This Row],[Order_Date]])</f>
        <v>13</v>
      </c>
      <c r="N440" s="2">
        <f>Procurement_kpi_Analysis[[#This Row],[Defective_Units]]/Procurement_kpi_Analysis[[#This Row],[Quantity]]</f>
        <v>5.5885850178359099E-2</v>
      </c>
      <c r="O440" s="2">
        <f>(Procurement_kpi_Analysis[[#This Row],[Unit_Price]]-Procurement_kpi_Analysis[[#This Row],[Negotiated_Price]])*Procurement_kpi_Analysis[[#This Row],[Quantity]]</f>
        <v>7400.8000000000093</v>
      </c>
      <c r="P440" s="2">
        <f>Procurement_kpi_Analysis[[#This Row],[Total Savings]]/Procurement_kpi_Analysis[[#This Row],[Total Spend]]</f>
        <v>4.3435340572556817E-2</v>
      </c>
      <c r="Q440" s="2" t="str">
        <f>IF(Procurement_kpi_Analysis[[#This Row],[Lead Time]]&lt;=14,"On Time","Late")</f>
        <v>On Time</v>
      </c>
      <c r="R440" s="2">
        <f>Procurement_kpi_Analysis[[#This Row],[Unit_Price]]*Procurement_kpi_Analysis[[#This Row],[Quantity]]</f>
        <v>177787.4</v>
      </c>
      <c r="S440" s="2">
        <f>IF(Procurement_kpi_Analysis[[#This Row],[Compliance]]="Yes",1,0)</f>
        <v>1</v>
      </c>
      <c r="T440" s="2">
        <f>IF(Procurement_kpi_Analysis[[#This Row],[Compliance]]="No",1,0)</f>
        <v>0</v>
      </c>
    </row>
    <row r="441" spans="1:20" x14ac:dyDescent="0.3">
      <c r="A441" t="s">
        <v>466</v>
      </c>
      <c r="B441" t="s">
        <v>29</v>
      </c>
      <c r="C441" s="1">
        <v>45158</v>
      </c>
      <c r="D441" s="1">
        <v>45161</v>
      </c>
      <c r="E441" t="s">
        <v>39</v>
      </c>
      <c r="F441" t="s">
        <v>18</v>
      </c>
      <c r="G441">
        <v>333</v>
      </c>
      <c r="H441">
        <v>60.44</v>
      </c>
      <c r="I441">
        <v>58.54</v>
      </c>
      <c r="J441">
        <v>8</v>
      </c>
      <c r="K441" t="s">
        <v>15</v>
      </c>
      <c r="L441">
        <f>Procurement_kpi_Analysis[[#This Row],[Quantity]]*Procurement_kpi_Analysis[[#This Row],[Negotiated_Price]]</f>
        <v>19493.82</v>
      </c>
      <c r="M441">
        <f>IF(Procurement_kpi_Analysis[[#This Row],[Delivery_Date]]="","",Procurement_kpi_Analysis[[#This Row],[Delivery_Date]]-Procurement_kpi_Analysis[[#This Row],[Order_Date]])</f>
        <v>3</v>
      </c>
      <c r="N441" s="2">
        <f>Procurement_kpi_Analysis[[#This Row],[Defective_Units]]/Procurement_kpi_Analysis[[#This Row],[Quantity]]</f>
        <v>2.4024024024024024E-2</v>
      </c>
      <c r="O441" s="2">
        <f>(Procurement_kpi_Analysis[[#This Row],[Unit_Price]]-Procurement_kpi_Analysis[[#This Row],[Negotiated_Price]])*Procurement_kpi_Analysis[[#This Row],[Quantity]]</f>
        <v>632.69999999999948</v>
      </c>
      <c r="P441" s="2">
        <f>Procurement_kpi_Analysis[[#This Row],[Total Savings]]/Procurement_kpi_Analysis[[#This Row],[Total Spend]]</f>
        <v>3.2456440040997583E-2</v>
      </c>
      <c r="Q441" s="2" t="str">
        <f>IF(Procurement_kpi_Analysis[[#This Row],[Lead Time]]&lt;=14,"On Time","Late")</f>
        <v>On Time</v>
      </c>
      <c r="R441" s="2">
        <f>Procurement_kpi_Analysis[[#This Row],[Unit_Price]]*Procurement_kpi_Analysis[[#This Row],[Quantity]]</f>
        <v>20126.52</v>
      </c>
      <c r="S441" s="2">
        <f>IF(Procurement_kpi_Analysis[[#This Row],[Compliance]]="Yes",1,0)</f>
        <v>1</v>
      </c>
      <c r="T441" s="2">
        <f>IF(Procurement_kpi_Analysis[[#This Row],[Compliance]]="No",1,0)</f>
        <v>0</v>
      </c>
    </row>
    <row r="442" spans="1:20" x14ac:dyDescent="0.3">
      <c r="A442" t="s">
        <v>467</v>
      </c>
      <c r="B442" t="s">
        <v>12</v>
      </c>
      <c r="C442" s="1">
        <v>45127</v>
      </c>
      <c r="D442" s="1">
        <v>45140</v>
      </c>
      <c r="E442" t="s">
        <v>39</v>
      </c>
      <c r="F442" t="s">
        <v>14</v>
      </c>
      <c r="G442">
        <v>928</v>
      </c>
      <c r="H442">
        <v>69.31</v>
      </c>
      <c r="I442">
        <v>67.260000000000005</v>
      </c>
      <c r="J442">
        <v>20</v>
      </c>
      <c r="K442" t="s">
        <v>15</v>
      </c>
      <c r="L442">
        <f>Procurement_kpi_Analysis[[#This Row],[Quantity]]*Procurement_kpi_Analysis[[#This Row],[Negotiated_Price]]</f>
        <v>62417.280000000006</v>
      </c>
      <c r="M442">
        <f>IF(Procurement_kpi_Analysis[[#This Row],[Delivery_Date]]="","",Procurement_kpi_Analysis[[#This Row],[Delivery_Date]]-Procurement_kpi_Analysis[[#This Row],[Order_Date]])</f>
        <v>13</v>
      </c>
      <c r="N442" s="2">
        <f>Procurement_kpi_Analysis[[#This Row],[Defective_Units]]/Procurement_kpi_Analysis[[#This Row],[Quantity]]</f>
        <v>2.1551724137931036E-2</v>
      </c>
      <c r="O442" s="2">
        <f>(Procurement_kpi_Analysis[[#This Row],[Unit_Price]]-Procurement_kpi_Analysis[[#This Row],[Negotiated_Price]])*Procurement_kpi_Analysis[[#This Row],[Quantity]]</f>
        <v>1902.3999999999974</v>
      </c>
      <c r="P442" s="2">
        <f>Procurement_kpi_Analysis[[#This Row],[Total Savings]]/Procurement_kpi_Analysis[[#This Row],[Total Spend]]</f>
        <v>3.0478739220933644E-2</v>
      </c>
      <c r="Q442" s="2" t="str">
        <f>IF(Procurement_kpi_Analysis[[#This Row],[Lead Time]]&lt;=14,"On Time","Late")</f>
        <v>On Time</v>
      </c>
      <c r="R442" s="2">
        <f>Procurement_kpi_Analysis[[#This Row],[Unit_Price]]*Procurement_kpi_Analysis[[#This Row],[Quantity]]</f>
        <v>64319.68</v>
      </c>
      <c r="S442" s="2">
        <f>IF(Procurement_kpi_Analysis[[#This Row],[Compliance]]="Yes",1,0)</f>
        <v>1</v>
      </c>
      <c r="T442" s="2">
        <f>IF(Procurement_kpi_Analysis[[#This Row],[Compliance]]="No",1,0)</f>
        <v>0</v>
      </c>
    </row>
    <row r="443" spans="1:20" x14ac:dyDescent="0.3">
      <c r="A443" t="s">
        <v>468</v>
      </c>
      <c r="B443" t="s">
        <v>29</v>
      </c>
      <c r="C443" s="1">
        <v>44713</v>
      </c>
      <c r="D443" s="1">
        <v>44724</v>
      </c>
      <c r="E443" t="s">
        <v>21</v>
      </c>
      <c r="F443" t="s">
        <v>33</v>
      </c>
      <c r="G443">
        <v>1009</v>
      </c>
      <c r="H443">
        <v>16.440000000000001</v>
      </c>
      <c r="I443">
        <v>16.18</v>
      </c>
      <c r="J443">
        <v>0</v>
      </c>
      <c r="K443" t="s">
        <v>15</v>
      </c>
      <c r="L443">
        <f>Procurement_kpi_Analysis[[#This Row],[Quantity]]*Procurement_kpi_Analysis[[#This Row],[Negotiated_Price]]</f>
        <v>16325.619999999999</v>
      </c>
      <c r="M443">
        <f>IF(Procurement_kpi_Analysis[[#This Row],[Delivery_Date]]="","",Procurement_kpi_Analysis[[#This Row],[Delivery_Date]]-Procurement_kpi_Analysis[[#This Row],[Order_Date]])</f>
        <v>11</v>
      </c>
      <c r="N443" s="2">
        <f>Procurement_kpi_Analysis[[#This Row],[Defective_Units]]/Procurement_kpi_Analysis[[#This Row],[Quantity]]</f>
        <v>0</v>
      </c>
      <c r="O443" s="2">
        <f>(Procurement_kpi_Analysis[[#This Row],[Unit_Price]]-Procurement_kpi_Analysis[[#This Row],[Negotiated_Price]])*Procurement_kpi_Analysis[[#This Row],[Quantity]]</f>
        <v>262.34000000000157</v>
      </c>
      <c r="P443" s="2">
        <f>Procurement_kpi_Analysis[[#This Row],[Total Savings]]/Procurement_kpi_Analysis[[#This Row],[Total Spend]]</f>
        <v>1.6069221260815919E-2</v>
      </c>
      <c r="Q443" s="2" t="str">
        <f>IF(Procurement_kpi_Analysis[[#This Row],[Lead Time]]&lt;=14,"On Time","Late")</f>
        <v>On Time</v>
      </c>
      <c r="R443" s="2">
        <f>Procurement_kpi_Analysis[[#This Row],[Unit_Price]]*Procurement_kpi_Analysis[[#This Row],[Quantity]]</f>
        <v>16587.960000000003</v>
      </c>
      <c r="S443" s="2">
        <f>IF(Procurement_kpi_Analysis[[#This Row],[Compliance]]="Yes",1,0)</f>
        <v>1</v>
      </c>
      <c r="T443" s="2">
        <f>IF(Procurement_kpi_Analysis[[#This Row],[Compliance]]="No",1,0)</f>
        <v>0</v>
      </c>
    </row>
    <row r="444" spans="1:20" x14ac:dyDescent="0.3">
      <c r="A444" t="s">
        <v>469</v>
      </c>
      <c r="B444" t="s">
        <v>29</v>
      </c>
      <c r="C444" s="1">
        <v>45002</v>
      </c>
      <c r="D444" s="1">
        <v>45019</v>
      </c>
      <c r="E444" t="s">
        <v>39</v>
      </c>
      <c r="F444" t="s">
        <v>35</v>
      </c>
      <c r="G444">
        <v>1554</v>
      </c>
      <c r="H444">
        <v>82.92</v>
      </c>
      <c r="I444">
        <v>74.819999999999993</v>
      </c>
      <c r="J444">
        <v>44</v>
      </c>
      <c r="K444" t="s">
        <v>15</v>
      </c>
      <c r="L444">
        <f>Procurement_kpi_Analysis[[#This Row],[Quantity]]*Procurement_kpi_Analysis[[#This Row],[Negotiated_Price]]</f>
        <v>116270.27999999998</v>
      </c>
      <c r="M444">
        <f>IF(Procurement_kpi_Analysis[[#This Row],[Delivery_Date]]="","",Procurement_kpi_Analysis[[#This Row],[Delivery_Date]]-Procurement_kpi_Analysis[[#This Row],[Order_Date]])</f>
        <v>17</v>
      </c>
      <c r="N444" s="2">
        <f>Procurement_kpi_Analysis[[#This Row],[Defective_Units]]/Procurement_kpi_Analysis[[#This Row],[Quantity]]</f>
        <v>2.8314028314028315E-2</v>
      </c>
      <c r="O444" s="2">
        <f>(Procurement_kpi_Analysis[[#This Row],[Unit_Price]]-Procurement_kpi_Analysis[[#This Row],[Negotiated_Price]])*Procurement_kpi_Analysis[[#This Row],[Quantity]]</f>
        <v>12587.400000000012</v>
      </c>
      <c r="P444" s="2">
        <f>Procurement_kpi_Analysis[[#This Row],[Total Savings]]/Procurement_kpi_Analysis[[#This Row],[Total Spend]]</f>
        <v>0.10825982357658392</v>
      </c>
      <c r="Q444" s="2" t="str">
        <f>IF(Procurement_kpi_Analysis[[#This Row],[Lead Time]]&lt;=14,"On Time","Late")</f>
        <v>Late</v>
      </c>
      <c r="R444" s="2">
        <f>Procurement_kpi_Analysis[[#This Row],[Unit_Price]]*Procurement_kpi_Analysis[[#This Row],[Quantity]]</f>
        <v>128857.68000000001</v>
      </c>
      <c r="S444" s="2">
        <f>IF(Procurement_kpi_Analysis[[#This Row],[Compliance]]="Yes",1,0)</f>
        <v>1</v>
      </c>
      <c r="T444" s="2">
        <f>IF(Procurement_kpi_Analysis[[#This Row],[Compliance]]="No",1,0)</f>
        <v>0</v>
      </c>
    </row>
    <row r="445" spans="1:20" x14ac:dyDescent="0.3">
      <c r="A445" t="s">
        <v>470</v>
      </c>
      <c r="B445" t="s">
        <v>20</v>
      </c>
      <c r="C445" s="1">
        <v>44692</v>
      </c>
      <c r="D445" s="1">
        <v>44706</v>
      </c>
      <c r="E445" t="s">
        <v>24</v>
      </c>
      <c r="F445" t="s">
        <v>33</v>
      </c>
      <c r="G445">
        <v>502</v>
      </c>
      <c r="H445">
        <v>29.47</v>
      </c>
      <c r="I445">
        <v>28.94</v>
      </c>
      <c r="J445">
        <v>27</v>
      </c>
      <c r="K445" t="s">
        <v>15</v>
      </c>
      <c r="L445">
        <f>Procurement_kpi_Analysis[[#This Row],[Quantity]]*Procurement_kpi_Analysis[[#This Row],[Negotiated_Price]]</f>
        <v>14527.880000000001</v>
      </c>
      <c r="M445">
        <f>IF(Procurement_kpi_Analysis[[#This Row],[Delivery_Date]]="","",Procurement_kpi_Analysis[[#This Row],[Delivery_Date]]-Procurement_kpi_Analysis[[#This Row],[Order_Date]])</f>
        <v>14</v>
      </c>
      <c r="N445" s="2">
        <f>Procurement_kpi_Analysis[[#This Row],[Defective_Units]]/Procurement_kpi_Analysis[[#This Row],[Quantity]]</f>
        <v>5.3784860557768925E-2</v>
      </c>
      <c r="O445" s="2">
        <f>(Procurement_kpi_Analysis[[#This Row],[Unit_Price]]-Procurement_kpi_Analysis[[#This Row],[Negotiated_Price]])*Procurement_kpi_Analysis[[#This Row],[Quantity]]</f>
        <v>266.05999999999881</v>
      </c>
      <c r="P445" s="2">
        <f>Procurement_kpi_Analysis[[#This Row],[Total Savings]]/Procurement_kpi_Analysis[[#This Row],[Total Spend]]</f>
        <v>1.8313752591568679E-2</v>
      </c>
      <c r="Q445" s="2" t="str">
        <f>IF(Procurement_kpi_Analysis[[#This Row],[Lead Time]]&lt;=14,"On Time","Late")</f>
        <v>On Time</v>
      </c>
      <c r="R445" s="2">
        <f>Procurement_kpi_Analysis[[#This Row],[Unit_Price]]*Procurement_kpi_Analysis[[#This Row],[Quantity]]</f>
        <v>14793.939999999999</v>
      </c>
      <c r="S445" s="2">
        <f>IF(Procurement_kpi_Analysis[[#This Row],[Compliance]]="Yes",1,0)</f>
        <v>1</v>
      </c>
      <c r="T445" s="2">
        <f>IF(Procurement_kpi_Analysis[[#This Row],[Compliance]]="No",1,0)</f>
        <v>0</v>
      </c>
    </row>
    <row r="446" spans="1:20" x14ac:dyDescent="0.3">
      <c r="A446" t="s">
        <v>471</v>
      </c>
      <c r="B446" t="s">
        <v>17</v>
      </c>
      <c r="C446" s="1">
        <v>44604</v>
      </c>
      <c r="D446" s="1">
        <v>44605</v>
      </c>
      <c r="E446" t="s">
        <v>21</v>
      </c>
      <c r="F446" t="s">
        <v>18</v>
      </c>
      <c r="G446">
        <v>1069</v>
      </c>
      <c r="H446">
        <v>91.28</v>
      </c>
      <c r="I446">
        <v>82.64</v>
      </c>
      <c r="J446">
        <v>0</v>
      </c>
      <c r="K446" t="s">
        <v>15</v>
      </c>
      <c r="L446">
        <f>Procurement_kpi_Analysis[[#This Row],[Quantity]]*Procurement_kpi_Analysis[[#This Row],[Negotiated_Price]]</f>
        <v>88342.16</v>
      </c>
      <c r="M446">
        <f>IF(Procurement_kpi_Analysis[[#This Row],[Delivery_Date]]="","",Procurement_kpi_Analysis[[#This Row],[Delivery_Date]]-Procurement_kpi_Analysis[[#This Row],[Order_Date]])</f>
        <v>1</v>
      </c>
      <c r="N446" s="2">
        <f>Procurement_kpi_Analysis[[#This Row],[Defective_Units]]/Procurement_kpi_Analysis[[#This Row],[Quantity]]</f>
        <v>0</v>
      </c>
      <c r="O446" s="2">
        <f>(Procurement_kpi_Analysis[[#This Row],[Unit_Price]]-Procurement_kpi_Analysis[[#This Row],[Negotiated_Price]])*Procurement_kpi_Analysis[[#This Row],[Quantity]]</f>
        <v>9236.16</v>
      </c>
      <c r="P446" s="2">
        <f>Procurement_kpi_Analysis[[#This Row],[Total Savings]]/Procurement_kpi_Analysis[[#This Row],[Total Spend]]</f>
        <v>0.10454985479186833</v>
      </c>
      <c r="Q446" s="2" t="str">
        <f>IF(Procurement_kpi_Analysis[[#This Row],[Lead Time]]&lt;=14,"On Time","Late")</f>
        <v>On Time</v>
      </c>
      <c r="R446" s="2">
        <f>Procurement_kpi_Analysis[[#This Row],[Unit_Price]]*Procurement_kpi_Analysis[[#This Row],[Quantity]]</f>
        <v>97578.32</v>
      </c>
      <c r="S446" s="2">
        <f>IF(Procurement_kpi_Analysis[[#This Row],[Compliance]]="Yes",1,0)</f>
        <v>1</v>
      </c>
      <c r="T446" s="2">
        <f>IF(Procurement_kpi_Analysis[[#This Row],[Compliance]]="No",1,0)</f>
        <v>0</v>
      </c>
    </row>
    <row r="447" spans="1:20" x14ac:dyDescent="0.3">
      <c r="A447" t="s">
        <v>472</v>
      </c>
      <c r="B447" t="s">
        <v>12</v>
      </c>
      <c r="C447" s="1">
        <v>44877</v>
      </c>
      <c r="D447" s="1">
        <v>44883</v>
      </c>
      <c r="E447" t="s">
        <v>21</v>
      </c>
      <c r="F447" t="s">
        <v>35</v>
      </c>
      <c r="G447">
        <v>1902</v>
      </c>
      <c r="H447">
        <v>29.89</v>
      </c>
      <c r="I447">
        <v>25.83</v>
      </c>
      <c r="J447">
        <v>41</v>
      </c>
      <c r="K447" t="s">
        <v>15</v>
      </c>
      <c r="L447">
        <f>Procurement_kpi_Analysis[[#This Row],[Quantity]]*Procurement_kpi_Analysis[[#This Row],[Negotiated_Price]]</f>
        <v>49128.659999999996</v>
      </c>
      <c r="M447">
        <f>IF(Procurement_kpi_Analysis[[#This Row],[Delivery_Date]]="","",Procurement_kpi_Analysis[[#This Row],[Delivery_Date]]-Procurement_kpi_Analysis[[#This Row],[Order_Date]])</f>
        <v>6</v>
      </c>
      <c r="N447" s="2">
        <f>Procurement_kpi_Analysis[[#This Row],[Defective_Units]]/Procurement_kpi_Analysis[[#This Row],[Quantity]]</f>
        <v>2.1556256572029444E-2</v>
      </c>
      <c r="O447" s="2">
        <f>(Procurement_kpi_Analysis[[#This Row],[Unit_Price]]-Procurement_kpi_Analysis[[#This Row],[Negotiated_Price]])*Procurement_kpi_Analysis[[#This Row],[Quantity]]</f>
        <v>7722.1200000000044</v>
      </c>
      <c r="P447" s="2">
        <f>Procurement_kpi_Analysis[[#This Row],[Total Savings]]/Procurement_kpi_Analysis[[#This Row],[Total Spend]]</f>
        <v>0.15718157181571826</v>
      </c>
      <c r="Q447" s="2" t="str">
        <f>IF(Procurement_kpi_Analysis[[#This Row],[Lead Time]]&lt;=14,"On Time","Late")</f>
        <v>On Time</v>
      </c>
      <c r="R447" s="2">
        <f>Procurement_kpi_Analysis[[#This Row],[Unit_Price]]*Procurement_kpi_Analysis[[#This Row],[Quantity]]</f>
        <v>56850.78</v>
      </c>
      <c r="S447" s="2">
        <f>IF(Procurement_kpi_Analysis[[#This Row],[Compliance]]="Yes",1,0)</f>
        <v>1</v>
      </c>
      <c r="T447" s="2">
        <f>IF(Procurement_kpi_Analysis[[#This Row],[Compliance]]="No",1,0)</f>
        <v>0</v>
      </c>
    </row>
    <row r="448" spans="1:20" x14ac:dyDescent="0.3">
      <c r="A448" t="s">
        <v>473</v>
      </c>
      <c r="B448" t="s">
        <v>20</v>
      </c>
      <c r="C448" s="1">
        <v>44935</v>
      </c>
      <c r="D448" s="1"/>
      <c r="E448" t="s">
        <v>26</v>
      </c>
      <c r="F448" t="s">
        <v>35</v>
      </c>
      <c r="G448">
        <v>865</v>
      </c>
      <c r="H448">
        <v>28.79</v>
      </c>
      <c r="I448">
        <v>25.69</v>
      </c>
      <c r="J448">
        <v>47</v>
      </c>
      <c r="K448" t="s">
        <v>15</v>
      </c>
      <c r="L448">
        <f>Procurement_kpi_Analysis[[#This Row],[Quantity]]*Procurement_kpi_Analysis[[#This Row],[Negotiated_Price]]</f>
        <v>22221.850000000002</v>
      </c>
      <c r="M448" t="str">
        <f>IF(Procurement_kpi_Analysis[[#This Row],[Delivery_Date]]="","",Procurement_kpi_Analysis[[#This Row],[Delivery_Date]]-Procurement_kpi_Analysis[[#This Row],[Order_Date]])</f>
        <v/>
      </c>
      <c r="N448" s="2">
        <f>Procurement_kpi_Analysis[[#This Row],[Defective_Units]]/Procurement_kpi_Analysis[[#This Row],[Quantity]]</f>
        <v>5.4335260115606937E-2</v>
      </c>
      <c r="O448" s="2">
        <f>(Procurement_kpi_Analysis[[#This Row],[Unit_Price]]-Procurement_kpi_Analysis[[#This Row],[Negotiated_Price]])*Procurement_kpi_Analysis[[#This Row],[Quantity]]</f>
        <v>2681.4999999999982</v>
      </c>
      <c r="P448" s="2">
        <f>Procurement_kpi_Analysis[[#This Row],[Total Savings]]/Procurement_kpi_Analysis[[#This Row],[Total Spend]]</f>
        <v>0.12066952121448025</v>
      </c>
      <c r="Q448" s="2" t="str">
        <f>IF(Procurement_kpi_Analysis[[#This Row],[Lead Time]]&lt;=14,"On Time","Late")</f>
        <v>Late</v>
      </c>
      <c r="R448" s="2">
        <f>Procurement_kpi_Analysis[[#This Row],[Unit_Price]]*Procurement_kpi_Analysis[[#This Row],[Quantity]]</f>
        <v>24903.35</v>
      </c>
      <c r="S448" s="2">
        <f>IF(Procurement_kpi_Analysis[[#This Row],[Compliance]]="Yes",1,0)</f>
        <v>1</v>
      </c>
      <c r="T448" s="2">
        <f>IF(Procurement_kpi_Analysis[[#This Row],[Compliance]]="No",1,0)</f>
        <v>0</v>
      </c>
    </row>
    <row r="449" spans="1:20" x14ac:dyDescent="0.3">
      <c r="A449" t="s">
        <v>474</v>
      </c>
      <c r="B449" t="s">
        <v>17</v>
      </c>
      <c r="C449" s="1">
        <v>44602</v>
      </c>
      <c r="D449" s="1">
        <v>44618</v>
      </c>
      <c r="E449" t="s">
        <v>24</v>
      </c>
      <c r="F449" t="s">
        <v>33</v>
      </c>
      <c r="G449">
        <v>708</v>
      </c>
      <c r="H449">
        <v>13.36</v>
      </c>
      <c r="I449">
        <v>11.61</v>
      </c>
      <c r="J449">
        <v>0</v>
      </c>
      <c r="K449" t="s">
        <v>27</v>
      </c>
      <c r="L449">
        <f>Procurement_kpi_Analysis[[#This Row],[Quantity]]*Procurement_kpi_Analysis[[#This Row],[Negotiated_Price]]</f>
        <v>8219.8799999999992</v>
      </c>
      <c r="M449">
        <f>IF(Procurement_kpi_Analysis[[#This Row],[Delivery_Date]]="","",Procurement_kpi_Analysis[[#This Row],[Delivery_Date]]-Procurement_kpi_Analysis[[#This Row],[Order_Date]])</f>
        <v>16</v>
      </c>
      <c r="N449" s="2">
        <f>Procurement_kpi_Analysis[[#This Row],[Defective_Units]]/Procurement_kpi_Analysis[[#This Row],[Quantity]]</f>
        <v>0</v>
      </c>
      <c r="O449" s="2">
        <f>(Procurement_kpi_Analysis[[#This Row],[Unit_Price]]-Procurement_kpi_Analysis[[#This Row],[Negotiated_Price]])*Procurement_kpi_Analysis[[#This Row],[Quantity]]</f>
        <v>1239</v>
      </c>
      <c r="P449" s="2">
        <f>Procurement_kpi_Analysis[[#This Row],[Total Savings]]/Procurement_kpi_Analysis[[#This Row],[Total Spend]]</f>
        <v>0.15073212747631354</v>
      </c>
      <c r="Q449" s="2" t="str">
        <f>IF(Procurement_kpi_Analysis[[#This Row],[Lead Time]]&lt;=14,"On Time","Late")</f>
        <v>Late</v>
      </c>
      <c r="R449" s="2">
        <f>Procurement_kpi_Analysis[[#This Row],[Unit_Price]]*Procurement_kpi_Analysis[[#This Row],[Quantity]]</f>
        <v>9458.8799999999992</v>
      </c>
      <c r="S449" s="2">
        <f>IF(Procurement_kpi_Analysis[[#This Row],[Compliance]]="Yes",1,0)</f>
        <v>0</v>
      </c>
      <c r="T449" s="2">
        <f>IF(Procurement_kpi_Analysis[[#This Row],[Compliance]]="No",1,0)</f>
        <v>1</v>
      </c>
    </row>
    <row r="450" spans="1:20" x14ac:dyDescent="0.3">
      <c r="A450" t="s">
        <v>475</v>
      </c>
      <c r="B450" t="s">
        <v>17</v>
      </c>
      <c r="C450" s="1">
        <v>44928</v>
      </c>
      <c r="D450" s="1">
        <v>44933</v>
      </c>
      <c r="E450" t="s">
        <v>24</v>
      </c>
      <c r="F450" t="s">
        <v>18</v>
      </c>
      <c r="G450">
        <v>1589</v>
      </c>
      <c r="H450">
        <v>55.64</v>
      </c>
      <c r="I450">
        <v>48.52</v>
      </c>
      <c r="J450">
        <v>0</v>
      </c>
      <c r="K450" t="s">
        <v>15</v>
      </c>
      <c r="L450">
        <f>Procurement_kpi_Analysis[[#This Row],[Quantity]]*Procurement_kpi_Analysis[[#This Row],[Negotiated_Price]]</f>
        <v>77098.28</v>
      </c>
      <c r="M450">
        <f>IF(Procurement_kpi_Analysis[[#This Row],[Delivery_Date]]="","",Procurement_kpi_Analysis[[#This Row],[Delivery_Date]]-Procurement_kpi_Analysis[[#This Row],[Order_Date]])</f>
        <v>5</v>
      </c>
      <c r="N450" s="2">
        <f>Procurement_kpi_Analysis[[#This Row],[Defective_Units]]/Procurement_kpi_Analysis[[#This Row],[Quantity]]</f>
        <v>0</v>
      </c>
      <c r="O450" s="2">
        <f>(Procurement_kpi_Analysis[[#This Row],[Unit_Price]]-Procurement_kpi_Analysis[[#This Row],[Negotiated_Price]])*Procurement_kpi_Analysis[[#This Row],[Quantity]]</f>
        <v>11313.679999999997</v>
      </c>
      <c r="P450" s="2">
        <f>Procurement_kpi_Analysis[[#This Row],[Total Savings]]/Procurement_kpi_Analysis[[#This Row],[Total Spend]]</f>
        <v>0.14674361088211044</v>
      </c>
      <c r="Q450" s="2" t="str">
        <f>IF(Procurement_kpi_Analysis[[#This Row],[Lead Time]]&lt;=14,"On Time","Late")</f>
        <v>On Time</v>
      </c>
      <c r="R450" s="2">
        <f>Procurement_kpi_Analysis[[#This Row],[Unit_Price]]*Procurement_kpi_Analysis[[#This Row],[Quantity]]</f>
        <v>88411.96</v>
      </c>
      <c r="S450" s="2">
        <f>IF(Procurement_kpi_Analysis[[#This Row],[Compliance]]="Yes",1,0)</f>
        <v>1</v>
      </c>
      <c r="T450" s="2">
        <f>IF(Procurement_kpi_Analysis[[#This Row],[Compliance]]="No",1,0)</f>
        <v>0</v>
      </c>
    </row>
    <row r="451" spans="1:20" x14ac:dyDescent="0.3">
      <c r="A451" t="s">
        <v>476</v>
      </c>
      <c r="B451" t="s">
        <v>12</v>
      </c>
      <c r="C451" s="1">
        <v>44777</v>
      </c>
      <c r="D451" s="1">
        <v>44787</v>
      </c>
      <c r="E451" t="s">
        <v>13</v>
      </c>
      <c r="F451" t="s">
        <v>18</v>
      </c>
      <c r="G451">
        <v>596</v>
      </c>
      <c r="H451">
        <v>62.96</v>
      </c>
      <c r="I451">
        <v>61.88</v>
      </c>
      <c r="J451">
        <v>9</v>
      </c>
      <c r="K451" t="s">
        <v>15</v>
      </c>
      <c r="L451">
        <f>Procurement_kpi_Analysis[[#This Row],[Quantity]]*Procurement_kpi_Analysis[[#This Row],[Negotiated_Price]]</f>
        <v>36880.480000000003</v>
      </c>
      <c r="M451">
        <f>IF(Procurement_kpi_Analysis[[#This Row],[Delivery_Date]]="","",Procurement_kpi_Analysis[[#This Row],[Delivery_Date]]-Procurement_kpi_Analysis[[#This Row],[Order_Date]])</f>
        <v>10</v>
      </c>
      <c r="N451" s="2">
        <f>Procurement_kpi_Analysis[[#This Row],[Defective_Units]]/Procurement_kpi_Analysis[[#This Row],[Quantity]]</f>
        <v>1.5100671140939598E-2</v>
      </c>
      <c r="O451" s="2">
        <f>(Procurement_kpi_Analysis[[#This Row],[Unit_Price]]-Procurement_kpi_Analysis[[#This Row],[Negotiated_Price]])*Procurement_kpi_Analysis[[#This Row],[Quantity]]</f>
        <v>643.67999999999893</v>
      </c>
      <c r="P451" s="2">
        <f>Procurement_kpi_Analysis[[#This Row],[Total Savings]]/Procurement_kpi_Analysis[[#This Row],[Total Spend]]</f>
        <v>1.7453135100193893E-2</v>
      </c>
      <c r="Q451" s="2" t="str">
        <f>IF(Procurement_kpi_Analysis[[#This Row],[Lead Time]]&lt;=14,"On Time","Late")</f>
        <v>On Time</v>
      </c>
      <c r="R451" s="2">
        <f>Procurement_kpi_Analysis[[#This Row],[Unit_Price]]*Procurement_kpi_Analysis[[#This Row],[Quantity]]</f>
        <v>37524.160000000003</v>
      </c>
      <c r="S451" s="2">
        <f>IF(Procurement_kpi_Analysis[[#This Row],[Compliance]]="Yes",1,0)</f>
        <v>1</v>
      </c>
      <c r="T451" s="2">
        <f>IF(Procurement_kpi_Analysis[[#This Row],[Compliance]]="No",1,0)</f>
        <v>0</v>
      </c>
    </row>
    <row r="452" spans="1:20" x14ac:dyDescent="0.3">
      <c r="A452" t="s">
        <v>477</v>
      </c>
      <c r="B452" t="s">
        <v>29</v>
      </c>
      <c r="C452" s="1">
        <v>45260</v>
      </c>
      <c r="D452" s="1">
        <v>45264</v>
      </c>
      <c r="E452" t="s">
        <v>13</v>
      </c>
      <c r="F452" t="s">
        <v>18</v>
      </c>
      <c r="G452">
        <v>1265</v>
      </c>
      <c r="H452">
        <v>17.66</v>
      </c>
      <c r="I452">
        <v>16.97</v>
      </c>
      <c r="J452">
        <v>34</v>
      </c>
      <c r="K452" t="s">
        <v>15</v>
      </c>
      <c r="L452">
        <f>Procurement_kpi_Analysis[[#This Row],[Quantity]]*Procurement_kpi_Analysis[[#This Row],[Negotiated_Price]]</f>
        <v>21467.05</v>
      </c>
      <c r="M452">
        <f>IF(Procurement_kpi_Analysis[[#This Row],[Delivery_Date]]="","",Procurement_kpi_Analysis[[#This Row],[Delivery_Date]]-Procurement_kpi_Analysis[[#This Row],[Order_Date]])</f>
        <v>4</v>
      </c>
      <c r="N452" s="2">
        <f>Procurement_kpi_Analysis[[#This Row],[Defective_Units]]/Procurement_kpi_Analysis[[#This Row],[Quantity]]</f>
        <v>2.6877470355731226E-2</v>
      </c>
      <c r="O452" s="2">
        <f>(Procurement_kpi_Analysis[[#This Row],[Unit_Price]]-Procurement_kpi_Analysis[[#This Row],[Negotiated_Price]])*Procurement_kpi_Analysis[[#This Row],[Quantity]]</f>
        <v>872.85000000000161</v>
      </c>
      <c r="P452" s="2">
        <f>Procurement_kpi_Analysis[[#This Row],[Total Savings]]/Procurement_kpi_Analysis[[#This Row],[Total Spend]]</f>
        <v>4.0659988214496248E-2</v>
      </c>
      <c r="Q452" s="2" t="str">
        <f>IF(Procurement_kpi_Analysis[[#This Row],[Lead Time]]&lt;=14,"On Time","Late")</f>
        <v>On Time</v>
      </c>
      <c r="R452" s="2">
        <f>Procurement_kpi_Analysis[[#This Row],[Unit_Price]]*Procurement_kpi_Analysis[[#This Row],[Quantity]]</f>
        <v>22339.9</v>
      </c>
      <c r="S452" s="2">
        <f>IF(Procurement_kpi_Analysis[[#This Row],[Compliance]]="Yes",1,0)</f>
        <v>1</v>
      </c>
      <c r="T452" s="2">
        <f>IF(Procurement_kpi_Analysis[[#This Row],[Compliance]]="No",1,0)</f>
        <v>0</v>
      </c>
    </row>
    <row r="453" spans="1:20" x14ac:dyDescent="0.3">
      <c r="A453" t="s">
        <v>478</v>
      </c>
      <c r="B453" t="s">
        <v>23</v>
      </c>
      <c r="C453" s="1">
        <v>44817</v>
      </c>
      <c r="D453" s="1">
        <v>44835</v>
      </c>
      <c r="E453" t="s">
        <v>26</v>
      </c>
      <c r="F453" t="s">
        <v>18</v>
      </c>
      <c r="G453">
        <v>1122</v>
      </c>
      <c r="H453">
        <v>82.99</v>
      </c>
      <c r="I453">
        <v>81.7</v>
      </c>
      <c r="J453">
        <v>118</v>
      </c>
      <c r="K453" t="s">
        <v>27</v>
      </c>
      <c r="L453">
        <f>Procurement_kpi_Analysis[[#This Row],[Quantity]]*Procurement_kpi_Analysis[[#This Row],[Negotiated_Price]]</f>
        <v>91667.400000000009</v>
      </c>
      <c r="M453">
        <f>IF(Procurement_kpi_Analysis[[#This Row],[Delivery_Date]]="","",Procurement_kpi_Analysis[[#This Row],[Delivery_Date]]-Procurement_kpi_Analysis[[#This Row],[Order_Date]])</f>
        <v>18</v>
      </c>
      <c r="N453" s="2">
        <f>Procurement_kpi_Analysis[[#This Row],[Defective_Units]]/Procurement_kpi_Analysis[[#This Row],[Quantity]]</f>
        <v>0.10516934046345811</v>
      </c>
      <c r="O453" s="2">
        <f>(Procurement_kpi_Analysis[[#This Row],[Unit_Price]]-Procurement_kpi_Analysis[[#This Row],[Negotiated_Price]])*Procurement_kpi_Analysis[[#This Row],[Quantity]]</f>
        <v>1447.379999999991</v>
      </c>
      <c r="P453" s="2">
        <f>Procurement_kpi_Analysis[[#This Row],[Total Savings]]/Procurement_kpi_Analysis[[#This Row],[Total Spend]]</f>
        <v>1.5789473684210426E-2</v>
      </c>
      <c r="Q453" s="2" t="str">
        <f>IF(Procurement_kpi_Analysis[[#This Row],[Lead Time]]&lt;=14,"On Time","Late")</f>
        <v>Late</v>
      </c>
      <c r="R453" s="2">
        <f>Procurement_kpi_Analysis[[#This Row],[Unit_Price]]*Procurement_kpi_Analysis[[#This Row],[Quantity]]</f>
        <v>93114.78</v>
      </c>
      <c r="S453" s="2">
        <f>IF(Procurement_kpi_Analysis[[#This Row],[Compliance]]="Yes",1,0)</f>
        <v>0</v>
      </c>
      <c r="T453" s="2">
        <f>IF(Procurement_kpi_Analysis[[#This Row],[Compliance]]="No",1,0)</f>
        <v>1</v>
      </c>
    </row>
    <row r="454" spans="1:20" x14ac:dyDescent="0.3">
      <c r="A454" t="s">
        <v>479</v>
      </c>
      <c r="B454" t="s">
        <v>29</v>
      </c>
      <c r="C454" s="1">
        <v>45244</v>
      </c>
      <c r="D454" s="1">
        <v>45261</v>
      </c>
      <c r="E454" t="s">
        <v>13</v>
      </c>
      <c r="F454" t="s">
        <v>18</v>
      </c>
      <c r="G454">
        <v>1585</v>
      </c>
      <c r="H454">
        <v>56.38</v>
      </c>
      <c r="I454">
        <v>53.05</v>
      </c>
      <c r="J454">
        <v>0</v>
      </c>
      <c r="K454" t="s">
        <v>15</v>
      </c>
      <c r="L454">
        <f>Procurement_kpi_Analysis[[#This Row],[Quantity]]*Procurement_kpi_Analysis[[#This Row],[Negotiated_Price]]</f>
        <v>84084.25</v>
      </c>
      <c r="M454">
        <f>IF(Procurement_kpi_Analysis[[#This Row],[Delivery_Date]]="","",Procurement_kpi_Analysis[[#This Row],[Delivery_Date]]-Procurement_kpi_Analysis[[#This Row],[Order_Date]])</f>
        <v>17</v>
      </c>
      <c r="N454" s="2">
        <f>Procurement_kpi_Analysis[[#This Row],[Defective_Units]]/Procurement_kpi_Analysis[[#This Row],[Quantity]]</f>
        <v>0</v>
      </c>
      <c r="O454" s="2">
        <f>(Procurement_kpi_Analysis[[#This Row],[Unit_Price]]-Procurement_kpi_Analysis[[#This Row],[Negotiated_Price]])*Procurement_kpi_Analysis[[#This Row],[Quantity]]</f>
        <v>5278.0500000000084</v>
      </c>
      <c r="P454" s="2">
        <f>Procurement_kpi_Analysis[[#This Row],[Total Savings]]/Procurement_kpi_Analysis[[#This Row],[Total Spend]]</f>
        <v>6.2770970782280971E-2</v>
      </c>
      <c r="Q454" s="2" t="str">
        <f>IF(Procurement_kpi_Analysis[[#This Row],[Lead Time]]&lt;=14,"On Time","Late")</f>
        <v>Late</v>
      </c>
      <c r="R454" s="2">
        <f>Procurement_kpi_Analysis[[#This Row],[Unit_Price]]*Procurement_kpi_Analysis[[#This Row],[Quantity]]</f>
        <v>89362.3</v>
      </c>
      <c r="S454" s="2">
        <f>IF(Procurement_kpi_Analysis[[#This Row],[Compliance]]="Yes",1,0)</f>
        <v>1</v>
      </c>
      <c r="T454" s="2">
        <f>IF(Procurement_kpi_Analysis[[#This Row],[Compliance]]="No",1,0)</f>
        <v>0</v>
      </c>
    </row>
    <row r="455" spans="1:20" x14ac:dyDescent="0.3">
      <c r="A455" t="s">
        <v>480</v>
      </c>
      <c r="B455" t="s">
        <v>29</v>
      </c>
      <c r="C455" s="1">
        <v>44667</v>
      </c>
      <c r="D455" s="1">
        <v>44678</v>
      </c>
      <c r="E455" t="s">
        <v>39</v>
      </c>
      <c r="F455" t="s">
        <v>18</v>
      </c>
      <c r="G455">
        <v>66</v>
      </c>
      <c r="H455">
        <v>58.05</v>
      </c>
      <c r="I455">
        <v>50.76</v>
      </c>
      <c r="J455">
        <v>0</v>
      </c>
      <c r="K455" t="s">
        <v>15</v>
      </c>
      <c r="L455">
        <f>Procurement_kpi_Analysis[[#This Row],[Quantity]]*Procurement_kpi_Analysis[[#This Row],[Negotiated_Price]]</f>
        <v>3350.16</v>
      </c>
      <c r="M455">
        <f>IF(Procurement_kpi_Analysis[[#This Row],[Delivery_Date]]="","",Procurement_kpi_Analysis[[#This Row],[Delivery_Date]]-Procurement_kpi_Analysis[[#This Row],[Order_Date]])</f>
        <v>11</v>
      </c>
      <c r="N455" s="2">
        <f>Procurement_kpi_Analysis[[#This Row],[Defective_Units]]/Procurement_kpi_Analysis[[#This Row],[Quantity]]</f>
        <v>0</v>
      </c>
      <c r="O455" s="2">
        <f>(Procurement_kpi_Analysis[[#This Row],[Unit_Price]]-Procurement_kpi_Analysis[[#This Row],[Negotiated_Price]])*Procurement_kpi_Analysis[[#This Row],[Quantity]]</f>
        <v>481.13999999999993</v>
      </c>
      <c r="P455" s="2">
        <f>Procurement_kpi_Analysis[[#This Row],[Total Savings]]/Procurement_kpi_Analysis[[#This Row],[Total Spend]]</f>
        <v>0.14361702127659573</v>
      </c>
      <c r="Q455" s="2" t="str">
        <f>IF(Procurement_kpi_Analysis[[#This Row],[Lead Time]]&lt;=14,"On Time","Late")</f>
        <v>On Time</v>
      </c>
      <c r="R455" s="2">
        <f>Procurement_kpi_Analysis[[#This Row],[Unit_Price]]*Procurement_kpi_Analysis[[#This Row],[Quantity]]</f>
        <v>3831.2999999999997</v>
      </c>
      <c r="S455" s="2">
        <f>IF(Procurement_kpi_Analysis[[#This Row],[Compliance]]="Yes",1,0)</f>
        <v>1</v>
      </c>
      <c r="T455" s="2">
        <f>IF(Procurement_kpi_Analysis[[#This Row],[Compliance]]="No",1,0)</f>
        <v>0</v>
      </c>
    </row>
    <row r="456" spans="1:20" x14ac:dyDescent="0.3">
      <c r="A456" t="s">
        <v>481</v>
      </c>
      <c r="B456" t="s">
        <v>23</v>
      </c>
      <c r="C456" s="1">
        <v>44924</v>
      </c>
      <c r="D456" s="1">
        <v>44944</v>
      </c>
      <c r="E456" t="s">
        <v>21</v>
      </c>
      <c r="F456" t="s">
        <v>18</v>
      </c>
      <c r="G456">
        <v>1245</v>
      </c>
      <c r="H456">
        <v>52.4</v>
      </c>
      <c r="I456">
        <v>51.65</v>
      </c>
      <c r="J456">
        <v>118</v>
      </c>
      <c r="K456" t="s">
        <v>27</v>
      </c>
      <c r="L456">
        <f>Procurement_kpi_Analysis[[#This Row],[Quantity]]*Procurement_kpi_Analysis[[#This Row],[Negotiated_Price]]</f>
        <v>64304.25</v>
      </c>
      <c r="M456">
        <f>IF(Procurement_kpi_Analysis[[#This Row],[Delivery_Date]]="","",Procurement_kpi_Analysis[[#This Row],[Delivery_Date]]-Procurement_kpi_Analysis[[#This Row],[Order_Date]])</f>
        <v>20</v>
      </c>
      <c r="N456" s="2">
        <f>Procurement_kpi_Analysis[[#This Row],[Defective_Units]]/Procurement_kpi_Analysis[[#This Row],[Quantity]]</f>
        <v>9.4779116465863456E-2</v>
      </c>
      <c r="O456" s="2">
        <f>(Procurement_kpi_Analysis[[#This Row],[Unit_Price]]-Procurement_kpi_Analysis[[#This Row],[Negotiated_Price]])*Procurement_kpi_Analysis[[#This Row],[Quantity]]</f>
        <v>933.75</v>
      </c>
      <c r="P456" s="2">
        <f>Procurement_kpi_Analysis[[#This Row],[Total Savings]]/Procurement_kpi_Analysis[[#This Row],[Total Spend]]</f>
        <v>1.452081316553727E-2</v>
      </c>
      <c r="Q456" s="2" t="str">
        <f>IF(Procurement_kpi_Analysis[[#This Row],[Lead Time]]&lt;=14,"On Time","Late")</f>
        <v>Late</v>
      </c>
      <c r="R456" s="2">
        <f>Procurement_kpi_Analysis[[#This Row],[Unit_Price]]*Procurement_kpi_Analysis[[#This Row],[Quantity]]</f>
        <v>65238</v>
      </c>
      <c r="S456" s="2">
        <f>IF(Procurement_kpi_Analysis[[#This Row],[Compliance]]="Yes",1,0)</f>
        <v>0</v>
      </c>
      <c r="T456" s="2">
        <f>IF(Procurement_kpi_Analysis[[#This Row],[Compliance]]="No",1,0)</f>
        <v>1</v>
      </c>
    </row>
    <row r="457" spans="1:20" x14ac:dyDescent="0.3">
      <c r="A457" t="s">
        <v>482</v>
      </c>
      <c r="B457" t="s">
        <v>17</v>
      </c>
      <c r="C457" s="1">
        <v>45135</v>
      </c>
      <c r="D457" s="1">
        <v>45148</v>
      </c>
      <c r="E457" t="s">
        <v>39</v>
      </c>
      <c r="F457" t="s">
        <v>18</v>
      </c>
      <c r="G457">
        <v>1293</v>
      </c>
      <c r="H457">
        <v>50.21</v>
      </c>
      <c r="I457">
        <v>47.55</v>
      </c>
      <c r="J457">
        <v>0</v>
      </c>
      <c r="K457" t="s">
        <v>27</v>
      </c>
      <c r="L457">
        <f>Procurement_kpi_Analysis[[#This Row],[Quantity]]*Procurement_kpi_Analysis[[#This Row],[Negotiated_Price]]</f>
        <v>61482.149999999994</v>
      </c>
      <c r="M457">
        <f>IF(Procurement_kpi_Analysis[[#This Row],[Delivery_Date]]="","",Procurement_kpi_Analysis[[#This Row],[Delivery_Date]]-Procurement_kpi_Analysis[[#This Row],[Order_Date]])</f>
        <v>13</v>
      </c>
      <c r="N457" s="2">
        <f>Procurement_kpi_Analysis[[#This Row],[Defective_Units]]/Procurement_kpi_Analysis[[#This Row],[Quantity]]</f>
        <v>0</v>
      </c>
      <c r="O457" s="2">
        <f>(Procurement_kpi_Analysis[[#This Row],[Unit_Price]]-Procurement_kpi_Analysis[[#This Row],[Negotiated_Price]])*Procurement_kpi_Analysis[[#This Row],[Quantity]]</f>
        <v>3439.3800000000047</v>
      </c>
      <c r="P457" s="2">
        <f>Procurement_kpi_Analysis[[#This Row],[Total Savings]]/Procurement_kpi_Analysis[[#This Row],[Total Spend]]</f>
        <v>5.5941114616193562E-2</v>
      </c>
      <c r="Q457" s="2" t="str">
        <f>IF(Procurement_kpi_Analysis[[#This Row],[Lead Time]]&lt;=14,"On Time","Late")</f>
        <v>On Time</v>
      </c>
      <c r="R457" s="2">
        <f>Procurement_kpi_Analysis[[#This Row],[Unit_Price]]*Procurement_kpi_Analysis[[#This Row],[Quantity]]</f>
        <v>64921.53</v>
      </c>
      <c r="S457" s="2">
        <f>IF(Procurement_kpi_Analysis[[#This Row],[Compliance]]="Yes",1,0)</f>
        <v>0</v>
      </c>
      <c r="T457" s="2">
        <f>IF(Procurement_kpi_Analysis[[#This Row],[Compliance]]="No",1,0)</f>
        <v>1</v>
      </c>
    </row>
    <row r="458" spans="1:20" x14ac:dyDescent="0.3">
      <c r="A458" t="s">
        <v>483</v>
      </c>
      <c r="B458" t="s">
        <v>23</v>
      </c>
      <c r="C458" s="1">
        <v>44978</v>
      </c>
      <c r="D458" s="1">
        <v>44984</v>
      </c>
      <c r="E458" t="s">
        <v>24</v>
      </c>
      <c r="F458" t="s">
        <v>18</v>
      </c>
      <c r="G458">
        <v>207</v>
      </c>
      <c r="H458">
        <v>64.290000000000006</v>
      </c>
      <c r="I458">
        <v>63.01</v>
      </c>
      <c r="J458">
        <v>25</v>
      </c>
      <c r="K458" t="s">
        <v>15</v>
      </c>
      <c r="L458">
        <f>Procurement_kpi_Analysis[[#This Row],[Quantity]]*Procurement_kpi_Analysis[[#This Row],[Negotiated_Price]]</f>
        <v>13043.07</v>
      </c>
      <c r="M458">
        <f>IF(Procurement_kpi_Analysis[[#This Row],[Delivery_Date]]="","",Procurement_kpi_Analysis[[#This Row],[Delivery_Date]]-Procurement_kpi_Analysis[[#This Row],[Order_Date]])</f>
        <v>6</v>
      </c>
      <c r="N458" s="2">
        <f>Procurement_kpi_Analysis[[#This Row],[Defective_Units]]/Procurement_kpi_Analysis[[#This Row],[Quantity]]</f>
        <v>0.12077294685990338</v>
      </c>
      <c r="O458" s="2">
        <f>(Procurement_kpi_Analysis[[#This Row],[Unit_Price]]-Procurement_kpi_Analysis[[#This Row],[Negotiated_Price]])*Procurement_kpi_Analysis[[#This Row],[Quantity]]</f>
        <v>264.96000000000168</v>
      </c>
      <c r="P458" s="2">
        <f>Procurement_kpi_Analysis[[#This Row],[Total Savings]]/Procurement_kpi_Analysis[[#This Row],[Total Spend]]</f>
        <v>2.0314235835581784E-2</v>
      </c>
      <c r="Q458" s="2" t="str">
        <f>IF(Procurement_kpi_Analysis[[#This Row],[Lead Time]]&lt;=14,"On Time","Late")</f>
        <v>On Time</v>
      </c>
      <c r="R458" s="2">
        <f>Procurement_kpi_Analysis[[#This Row],[Unit_Price]]*Procurement_kpi_Analysis[[#This Row],[Quantity]]</f>
        <v>13308.03</v>
      </c>
      <c r="S458" s="2">
        <f>IF(Procurement_kpi_Analysis[[#This Row],[Compliance]]="Yes",1,0)</f>
        <v>1</v>
      </c>
      <c r="T458" s="2">
        <f>IF(Procurement_kpi_Analysis[[#This Row],[Compliance]]="No",1,0)</f>
        <v>0</v>
      </c>
    </row>
    <row r="459" spans="1:20" x14ac:dyDescent="0.3">
      <c r="A459" t="s">
        <v>484</v>
      </c>
      <c r="B459" t="s">
        <v>23</v>
      </c>
      <c r="C459" s="1">
        <v>45197</v>
      </c>
      <c r="D459" s="1">
        <v>45217</v>
      </c>
      <c r="E459" t="s">
        <v>13</v>
      </c>
      <c r="F459" t="s">
        <v>18</v>
      </c>
      <c r="G459">
        <v>526</v>
      </c>
      <c r="H459">
        <v>26.37</v>
      </c>
      <c r="I459">
        <v>25.32</v>
      </c>
      <c r="J459">
        <v>47</v>
      </c>
      <c r="K459" t="s">
        <v>15</v>
      </c>
      <c r="L459">
        <f>Procurement_kpi_Analysis[[#This Row],[Quantity]]*Procurement_kpi_Analysis[[#This Row],[Negotiated_Price]]</f>
        <v>13318.32</v>
      </c>
      <c r="M459">
        <f>IF(Procurement_kpi_Analysis[[#This Row],[Delivery_Date]]="","",Procurement_kpi_Analysis[[#This Row],[Delivery_Date]]-Procurement_kpi_Analysis[[#This Row],[Order_Date]])</f>
        <v>20</v>
      </c>
      <c r="N459" s="2">
        <f>Procurement_kpi_Analysis[[#This Row],[Defective_Units]]/Procurement_kpi_Analysis[[#This Row],[Quantity]]</f>
        <v>8.9353612167300381E-2</v>
      </c>
      <c r="O459" s="2">
        <f>(Procurement_kpi_Analysis[[#This Row],[Unit_Price]]-Procurement_kpi_Analysis[[#This Row],[Negotiated_Price]])*Procurement_kpi_Analysis[[#This Row],[Quantity]]</f>
        <v>552.30000000000041</v>
      </c>
      <c r="P459" s="2">
        <f>Procurement_kpi_Analysis[[#This Row],[Total Savings]]/Procurement_kpi_Analysis[[#This Row],[Total Spend]]</f>
        <v>4.1469194312796241E-2</v>
      </c>
      <c r="Q459" s="2" t="str">
        <f>IF(Procurement_kpi_Analysis[[#This Row],[Lead Time]]&lt;=14,"On Time","Late")</f>
        <v>Late</v>
      </c>
      <c r="R459" s="2">
        <f>Procurement_kpi_Analysis[[#This Row],[Unit_Price]]*Procurement_kpi_Analysis[[#This Row],[Quantity]]</f>
        <v>13870.62</v>
      </c>
      <c r="S459" s="2">
        <f>IF(Procurement_kpi_Analysis[[#This Row],[Compliance]]="Yes",1,0)</f>
        <v>1</v>
      </c>
      <c r="T459" s="2">
        <f>IF(Procurement_kpi_Analysis[[#This Row],[Compliance]]="No",1,0)</f>
        <v>0</v>
      </c>
    </row>
    <row r="460" spans="1:20" x14ac:dyDescent="0.3">
      <c r="A460" t="s">
        <v>485</v>
      </c>
      <c r="B460" t="s">
        <v>20</v>
      </c>
      <c r="C460" s="1">
        <v>44720</v>
      </c>
      <c r="D460" s="1">
        <v>44726</v>
      </c>
      <c r="E460" t="s">
        <v>39</v>
      </c>
      <c r="F460" t="s">
        <v>18</v>
      </c>
      <c r="G460">
        <v>1119</v>
      </c>
      <c r="H460">
        <v>27.03</v>
      </c>
      <c r="I460">
        <v>23.82</v>
      </c>
      <c r="J460">
        <v>0</v>
      </c>
      <c r="K460" t="s">
        <v>15</v>
      </c>
      <c r="L460">
        <f>Procurement_kpi_Analysis[[#This Row],[Quantity]]*Procurement_kpi_Analysis[[#This Row],[Negotiated_Price]]</f>
        <v>26654.58</v>
      </c>
      <c r="M460">
        <f>IF(Procurement_kpi_Analysis[[#This Row],[Delivery_Date]]="","",Procurement_kpi_Analysis[[#This Row],[Delivery_Date]]-Procurement_kpi_Analysis[[#This Row],[Order_Date]])</f>
        <v>6</v>
      </c>
      <c r="N460" s="2">
        <f>Procurement_kpi_Analysis[[#This Row],[Defective_Units]]/Procurement_kpi_Analysis[[#This Row],[Quantity]]</f>
        <v>0</v>
      </c>
      <c r="O460" s="2">
        <f>(Procurement_kpi_Analysis[[#This Row],[Unit_Price]]-Procurement_kpi_Analysis[[#This Row],[Negotiated_Price]])*Procurement_kpi_Analysis[[#This Row],[Quantity]]</f>
        <v>3591.9900000000011</v>
      </c>
      <c r="P460" s="2">
        <f>Procurement_kpi_Analysis[[#This Row],[Total Savings]]/Procurement_kpi_Analysis[[#This Row],[Total Spend]]</f>
        <v>0.13476070528967257</v>
      </c>
      <c r="Q460" s="2" t="str">
        <f>IF(Procurement_kpi_Analysis[[#This Row],[Lead Time]]&lt;=14,"On Time","Late")</f>
        <v>On Time</v>
      </c>
      <c r="R460" s="2">
        <f>Procurement_kpi_Analysis[[#This Row],[Unit_Price]]*Procurement_kpi_Analysis[[#This Row],[Quantity]]</f>
        <v>30246.57</v>
      </c>
      <c r="S460" s="2">
        <f>IF(Procurement_kpi_Analysis[[#This Row],[Compliance]]="Yes",1,0)</f>
        <v>1</v>
      </c>
      <c r="T460" s="2">
        <f>IF(Procurement_kpi_Analysis[[#This Row],[Compliance]]="No",1,0)</f>
        <v>0</v>
      </c>
    </row>
    <row r="461" spans="1:20" x14ac:dyDescent="0.3">
      <c r="A461" t="s">
        <v>486</v>
      </c>
      <c r="B461" t="s">
        <v>20</v>
      </c>
      <c r="C461" s="1">
        <v>44804</v>
      </c>
      <c r="D461" s="1">
        <v>44806</v>
      </c>
      <c r="E461" t="s">
        <v>24</v>
      </c>
      <c r="F461" t="s">
        <v>18</v>
      </c>
      <c r="G461">
        <v>1446</v>
      </c>
      <c r="H461">
        <v>90.63</v>
      </c>
      <c r="I461">
        <v>84.51</v>
      </c>
      <c r="J461">
        <v>77</v>
      </c>
      <c r="K461" t="s">
        <v>15</v>
      </c>
      <c r="L461">
        <f>Procurement_kpi_Analysis[[#This Row],[Quantity]]*Procurement_kpi_Analysis[[#This Row],[Negotiated_Price]]</f>
        <v>122201.46</v>
      </c>
      <c r="M461">
        <f>IF(Procurement_kpi_Analysis[[#This Row],[Delivery_Date]]="","",Procurement_kpi_Analysis[[#This Row],[Delivery_Date]]-Procurement_kpi_Analysis[[#This Row],[Order_Date]])</f>
        <v>2</v>
      </c>
      <c r="N461" s="2">
        <f>Procurement_kpi_Analysis[[#This Row],[Defective_Units]]/Procurement_kpi_Analysis[[#This Row],[Quantity]]</f>
        <v>5.3250345781466112E-2</v>
      </c>
      <c r="O461" s="2">
        <f>(Procurement_kpi_Analysis[[#This Row],[Unit_Price]]-Procurement_kpi_Analysis[[#This Row],[Negotiated_Price]])*Procurement_kpi_Analysis[[#This Row],[Quantity]]</f>
        <v>8849.5199999999859</v>
      </c>
      <c r="P461" s="2">
        <f>Procurement_kpi_Analysis[[#This Row],[Total Savings]]/Procurement_kpi_Analysis[[#This Row],[Total Spend]]</f>
        <v>7.2417465388711272E-2</v>
      </c>
      <c r="Q461" s="2" t="str">
        <f>IF(Procurement_kpi_Analysis[[#This Row],[Lead Time]]&lt;=14,"On Time","Late")</f>
        <v>On Time</v>
      </c>
      <c r="R461" s="2">
        <f>Procurement_kpi_Analysis[[#This Row],[Unit_Price]]*Procurement_kpi_Analysis[[#This Row],[Quantity]]</f>
        <v>131050.98</v>
      </c>
      <c r="S461" s="2">
        <f>IF(Procurement_kpi_Analysis[[#This Row],[Compliance]]="Yes",1,0)</f>
        <v>1</v>
      </c>
      <c r="T461" s="2">
        <f>IF(Procurement_kpi_Analysis[[#This Row],[Compliance]]="No",1,0)</f>
        <v>0</v>
      </c>
    </row>
    <row r="462" spans="1:20" x14ac:dyDescent="0.3">
      <c r="A462" t="s">
        <v>487</v>
      </c>
      <c r="B462" t="s">
        <v>20</v>
      </c>
      <c r="C462" s="1">
        <v>44728</v>
      </c>
      <c r="D462" s="1">
        <v>44736</v>
      </c>
      <c r="E462" t="s">
        <v>13</v>
      </c>
      <c r="F462" t="s">
        <v>18</v>
      </c>
      <c r="G462">
        <v>567</v>
      </c>
      <c r="H462">
        <v>97.53</v>
      </c>
      <c r="I462">
        <v>85.29</v>
      </c>
      <c r="J462">
        <v>21</v>
      </c>
      <c r="K462" t="s">
        <v>15</v>
      </c>
      <c r="L462">
        <f>Procurement_kpi_Analysis[[#This Row],[Quantity]]*Procurement_kpi_Analysis[[#This Row],[Negotiated_Price]]</f>
        <v>48359.43</v>
      </c>
      <c r="M462">
        <f>IF(Procurement_kpi_Analysis[[#This Row],[Delivery_Date]]="","",Procurement_kpi_Analysis[[#This Row],[Delivery_Date]]-Procurement_kpi_Analysis[[#This Row],[Order_Date]])</f>
        <v>8</v>
      </c>
      <c r="N462" s="2">
        <f>Procurement_kpi_Analysis[[#This Row],[Defective_Units]]/Procurement_kpi_Analysis[[#This Row],[Quantity]]</f>
        <v>3.7037037037037035E-2</v>
      </c>
      <c r="O462" s="2">
        <f>(Procurement_kpi_Analysis[[#This Row],[Unit_Price]]-Procurement_kpi_Analysis[[#This Row],[Negotiated_Price]])*Procurement_kpi_Analysis[[#This Row],[Quantity]]</f>
        <v>6940.0799999999972</v>
      </c>
      <c r="P462" s="2">
        <f>Procurement_kpi_Analysis[[#This Row],[Total Savings]]/Procurement_kpi_Analysis[[#This Row],[Total Spend]]</f>
        <v>0.14351037636299677</v>
      </c>
      <c r="Q462" s="2" t="str">
        <f>IF(Procurement_kpi_Analysis[[#This Row],[Lead Time]]&lt;=14,"On Time","Late")</f>
        <v>On Time</v>
      </c>
      <c r="R462" s="2">
        <f>Procurement_kpi_Analysis[[#This Row],[Unit_Price]]*Procurement_kpi_Analysis[[#This Row],[Quantity]]</f>
        <v>55299.51</v>
      </c>
      <c r="S462" s="2">
        <f>IF(Procurement_kpi_Analysis[[#This Row],[Compliance]]="Yes",1,0)</f>
        <v>1</v>
      </c>
      <c r="T462" s="2">
        <f>IF(Procurement_kpi_Analysis[[#This Row],[Compliance]]="No",1,0)</f>
        <v>0</v>
      </c>
    </row>
    <row r="463" spans="1:20" x14ac:dyDescent="0.3">
      <c r="A463" t="s">
        <v>488</v>
      </c>
      <c r="B463" t="s">
        <v>17</v>
      </c>
      <c r="C463" s="1">
        <v>44743</v>
      </c>
      <c r="D463" s="1"/>
      <c r="E463" t="s">
        <v>21</v>
      </c>
      <c r="F463" t="s">
        <v>18</v>
      </c>
      <c r="G463">
        <v>148</v>
      </c>
      <c r="H463">
        <v>44.91</v>
      </c>
      <c r="I463">
        <v>40.1</v>
      </c>
      <c r="J463">
        <v>0</v>
      </c>
      <c r="K463" t="s">
        <v>27</v>
      </c>
      <c r="L463">
        <f>Procurement_kpi_Analysis[[#This Row],[Quantity]]*Procurement_kpi_Analysis[[#This Row],[Negotiated_Price]]</f>
        <v>5934.8</v>
      </c>
      <c r="M463" t="str">
        <f>IF(Procurement_kpi_Analysis[[#This Row],[Delivery_Date]]="","",Procurement_kpi_Analysis[[#This Row],[Delivery_Date]]-Procurement_kpi_Analysis[[#This Row],[Order_Date]])</f>
        <v/>
      </c>
      <c r="N463" s="2">
        <f>Procurement_kpi_Analysis[[#This Row],[Defective_Units]]/Procurement_kpi_Analysis[[#This Row],[Quantity]]</f>
        <v>0</v>
      </c>
      <c r="O463" s="2">
        <f>(Procurement_kpi_Analysis[[#This Row],[Unit_Price]]-Procurement_kpi_Analysis[[#This Row],[Negotiated_Price]])*Procurement_kpi_Analysis[[#This Row],[Quantity]]</f>
        <v>711.87999999999931</v>
      </c>
      <c r="P463" s="2">
        <f>Procurement_kpi_Analysis[[#This Row],[Total Savings]]/Procurement_kpi_Analysis[[#This Row],[Total Spend]]</f>
        <v>0.11995012468827919</v>
      </c>
      <c r="Q463" s="2" t="str">
        <f>IF(Procurement_kpi_Analysis[[#This Row],[Lead Time]]&lt;=14,"On Time","Late")</f>
        <v>Late</v>
      </c>
      <c r="R463" s="2">
        <f>Procurement_kpi_Analysis[[#This Row],[Unit_Price]]*Procurement_kpi_Analysis[[#This Row],[Quantity]]</f>
        <v>6646.6799999999994</v>
      </c>
      <c r="S463" s="2">
        <f>IF(Procurement_kpi_Analysis[[#This Row],[Compliance]]="Yes",1,0)</f>
        <v>0</v>
      </c>
      <c r="T463" s="2">
        <f>IF(Procurement_kpi_Analysis[[#This Row],[Compliance]]="No",1,0)</f>
        <v>1</v>
      </c>
    </row>
    <row r="464" spans="1:20" x14ac:dyDescent="0.3">
      <c r="A464" t="s">
        <v>489</v>
      </c>
      <c r="B464" t="s">
        <v>23</v>
      </c>
      <c r="C464" s="1">
        <v>44984</v>
      </c>
      <c r="D464" s="1">
        <v>44999</v>
      </c>
      <c r="E464" t="s">
        <v>21</v>
      </c>
      <c r="F464" t="s">
        <v>35</v>
      </c>
      <c r="G464">
        <v>1965</v>
      </c>
      <c r="H464">
        <v>36.6</v>
      </c>
      <c r="I464">
        <v>34.64</v>
      </c>
      <c r="J464">
        <v>195</v>
      </c>
      <c r="K464" t="s">
        <v>15</v>
      </c>
      <c r="L464">
        <f>Procurement_kpi_Analysis[[#This Row],[Quantity]]*Procurement_kpi_Analysis[[#This Row],[Negotiated_Price]]</f>
        <v>68067.600000000006</v>
      </c>
      <c r="M464">
        <f>IF(Procurement_kpi_Analysis[[#This Row],[Delivery_Date]]="","",Procurement_kpi_Analysis[[#This Row],[Delivery_Date]]-Procurement_kpi_Analysis[[#This Row],[Order_Date]])</f>
        <v>15</v>
      </c>
      <c r="N464" s="2">
        <f>Procurement_kpi_Analysis[[#This Row],[Defective_Units]]/Procurement_kpi_Analysis[[#This Row],[Quantity]]</f>
        <v>9.9236641221374045E-2</v>
      </c>
      <c r="O464" s="2">
        <f>(Procurement_kpi_Analysis[[#This Row],[Unit_Price]]-Procurement_kpi_Analysis[[#This Row],[Negotiated_Price]])*Procurement_kpi_Analysis[[#This Row],[Quantity]]</f>
        <v>3851.4000000000015</v>
      </c>
      <c r="P464" s="2">
        <f>Procurement_kpi_Analysis[[#This Row],[Total Savings]]/Procurement_kpi_Analysis[[#This Row],[Total Spend]]</f>
        <v>5.6581986143187081E-2</v>
      </c>
      <c r="Q464" s="2" t="str">
        <f>IF(Procurement_kpi_Analysis[[#This Row],[Lead Time]]&lt;=14,"On Time","Late")</f>
        <v>Late</v>
      </c>
      <c r="R464" s="2">
        <f>Procurement_kpi_Analysis[[#This Row],[Unit_Price]]*Procurement_kpi_Analysis[[#This Row],[Quantity]]</f>
        <v>71919</v>
      </c>
      <c r="S464" s="2">
        <f>IF(Procurement_kpi_Analysis[[#This Row],[Compliance]]="Yes",1,0)</f>
        <v>1</v>
      </c>
      <c r="T464" s="2">
        <f>IF(Procurement_kpi_Analysis[[#This Row],[Compliance]]="No",1,0)</f>
        <v>0</v>
      </c>
    </row>
    <row r="465" spans="1:20" x14ac:dyDescent="0.3">
      <c r="A465" t="s">
        <v>490</v>
      </c>
      <c r="B465" t="s">
        <v>12</v>
      </c>
      <c r="C465" s="1">
        <v>44587</v>
      </c>
      <c r="D465" s="1">
        <v>44595</v>
      </c>
      <c r="E465" t="s">
        <v>13</v>
      </c>
      <c r="F465" t="s">
        <v>35</v>
      </c>
      <c r="G465">
        <v>1818</v>
      </c>
      <c r="H465">
        <v>67.959999999999994</v>
      </c>
      <c r="I465">
        <v>58.98</v>
      </c>
      <c r="J465">
        <v>0</v>
      </c>
      <c r="K465" t="s">
        <v>15</v>
      </c>
      <c r="L465">
        <f>Procurement_kpi_Analysis[[#This Row],[Quantity]]*Procurement_kpi_Analysis[[#This Row],[Negotiated_Price]]</f>
        <v>107225.64</v>
      </c>
      <c r="M465">
        <f>IF(Procurement_kpi_Analysis[[#This Row],[Delivery_Date]]="","",Procurement_kpi_Analysis[[#This Row],[Delivery_Date]]-Procurement_kpi_Analysis[[#This Row],[Order_Date]])</f>
        <v>8</v>
      </c>
      <c r="N465" s="2">
        <f>Procurement_kpi_Analysis[[#This Row],[Defective_Units]]/Procurement_kpi_Analysis[[#This Row],[Quantity]]</f>
        <v>0</v>
      </c>
      <c r="O465" s="2">
        <f>(Procurement_kpi_Analysis[[#This Row],[Unit_Price]]-Procurement_kpi_Analysis[[#This Row],[Negotiated_Price]])*Procurement_kpi_Analysis[[#This Row],[Quantity]]</f>
        <v>16325.639999999994</v>
      </c>
      <c r="P465" s="2">
        <f>Procurement_kpi_Analysis[[#This Row],[Total Savings]]/Procurement_kpi_Analysis[[#This Row],[Total Spend]]</f>
        <v>0.15225500169548994</v>
      </c>
      <c r="Q465" s="2" t="str">
        <f>IF(Procurement_kpi_Analysis[[#This Row],[Lead Time]]&lt;=14,"On Time","Late")</f>
        <v>On Time</v>
      </c>
      <c r="R465" s="2">
        <f>Procurement_kpi_Analysis[[#This Row],[Unit_Price]]*Procurement_kpi_Analysis[[#This Row],[Quantity]]</f>
        <v>123551.27999999998</v>
      </c>
      <c r="S465" s="2">
        <f>IF(Procurement_kpi_Analysis[[#This Row],[Compliance]]="Yes",1,0)</f>
        <v>1</v>
      </c>
      <c r="T465" s="2">
        <f>IF(Procurement_kpi_Analysis[[#This Row],[Compliance]]="No",1,0)</f>
        <v>0</v>
      </c>
    </row>
    <row r="466" spans="1:20" x14ac:dyDescent="0.3">
      <c r="A466" t="s">
        <v>491</v>
      </c>
      <c r="B466" t="s">
        <v>23</v>
      </c>
      <c r="C466" s="1">
        <v>44745</v>
      </c>
      <c r="D466" s="1">
        <v>44761</v>
      </c>
      <c r="E466" t="s">
        <v>21</v>
      </c>
      <c r="F466" t="s">
        <v>18</v>
      </c>
      <c r="G466">
        <v>1110</v>
      </c>
      <c r="H466">
        <v>48.19</v>
      </c>
      <c r="I466">
        <v>45.88</v>
      </c>
      <c r="J466">
        <v>112</v>
      </c>
      <c r="K466" t="s">
        <v>15</v>
      </c>
      <c r="L466">
        <f>Procurement_kpi_Analysis[[#This Row],[Quantity]]*Procurement_kpi_Analysis[[#This Row],[Negotiated_Price]]</f>
        <v>50926.8</v>
      </c>
      <c r="M466">
        <f>IF(Procurement_kpi_Analysis[[#This Row],[Delivery_Date]]="","",Procurement_kpi_Analysis[[#This Row],[Delivery_Date]]-Procurement_kpi_Analysis[[#This Row],[Order_Date]])</f>
        <v>16</v>
      </c>
      <c r="N466" s="2">
        <f>Procurement_kpi_Analysis[[#This Row],[Defective_Units]]/Procurement_kpi_Analysis[[#This Row],[Quantity]]</f>
        <v>0.1009009009009009</v>
      </c>
      <c r="O466" s="2">
        <f>(Procurement_kpi_Analysis[[#This Row],[Unit_Price]]-Procurement_kpi_Analysis[[#This Row],[Negotiated_Price]])*Procurement_kpi_Analysis[[#This Row],[Quantity]]</f>
        <v>2564.0999999999945</v>
      </c>
      <c r="P466" s="2">
        <f>Procurement_kpi_Analysis[[#This Row],[Total Savings]]/Procurement_kpi_Analysis[[#This Row],[Total Spend]]</f>
        <v>5.0348735832606691E-2</v>
      </c>
      <c r="Q466" s="2" t="str">
        <f>IF(Procurement_kpi_Analysis[[#This Row],[Lead Time]]&lt;=14,"On Time","Late")</f>
        <v>Late</v>
      </c>
      <c r="R466" s="2">
        <f>Procurement_kpi_Analysis[[#This Row],[Unit_Price]]*Procurement_kpi_Analysis[[#This Row],[Quantity]]</f>
        <v>53490.899999999994</v>
      </c>
      <c r="S466" s="2">
        <f>IF(Procurement_kpi_Analysis[[#This Row],[Compliance]]="Yes",1,0)</f>
        <v>1</v>
      </c>
      <c r="T466" s="2">
        <f>IF(Procurement_kpi_Analysis[[#This Row],[Compliance]]="No",1,0)</f>
        <v>0</v>
      </c>
    </row>
    <row r="467" spans="1:20" x14ac:dyDescent="0.3">
      <c r="A467" t="s">
        <v>492</v>
      </c>
      <c r="B467" t="s">
        <v>17</v>
      </c>
      <c r="C467" s="1">
        <v>44902</v>
      </c>
      <c r="D467" s="1"/>
      <c r="E467" t="s">
        <v>26</v>
      </c>
      <c r="F467" t="s">
        <v>18</v>
      </c>
      <c r="G467">
        <v>329</v>
      </c>
      <c r="H467">
        <v>12.96</v>
      </c>
      <c r="I467">
        <v>12.74</v>
      </c>
      <c r="J467">
        <v>48</v>
      </c>
      <c r="K467" t="s">
        <v>15</v>
      </c>
      <c r="L467">
        <f>Procurement_kpi_Analysis[[#This Row],[Quantity]]*Procurement_kpi_Analysis[[#This Row],[Negotiated_Price]]</f>
        <v>4191.46</v>
      </c>
      <c r="M467" t="str">
        <f>IF(Procurement_kpi_Analysis[[#This Row],[Delivery_Date]]="","",Procurement_kpi_Analysis[[#This Row],[Delivery_Date]]-Procurement_kpi_Analysis[[#This Row],[Order_Date]])</f>
        <v/>
      </c>
      <c r="N467" s="2">
        <f>Procurement_kpi_Analysis[[#This Row],[Defective_Units]]/Procurement_kpi_Analysis[[#This Row],[Quantity]]</f>
        <v>0.1458966565349544</v>
      </c>
      <c r="O467" s="2">
        <f>(Procurement_kpi_Analysis[[#This Row],[Unit_Price]]-Procurement_kpi_Analysis[[#This Row],[Negotiated_Price]])*Procurement_kpi_Analysis[[#This Row],[Quantity]]</f>
        <v>72.380000000000209</v>
      </c>
      <c r="P467" s="2">
        <f>Procurement_kpi_Analysis[[#This Row],[Total Savings]]/Procurement_kpi_Analysis[[#This Row],[Total Spend]]</f>
        <v>1.7268445839874462E-2</v>
      </c>
      <c r="Q467" s="2" t="str">
        <f>IF(Procurement_kpi_Analysis[[#This Row],[Lead Time]]&lt;=14,"On Time","Late")</f>
        <v>Late</v>
      </c>
      <c r="R467" s="2">
        <f>Procurement_kpi_Analysis[[#This Row],[Unit_Price]]*Procurement_kpi_Analysis[[#This Row],[Quantity]]</f>
        <v>4263.84</v>
      </c>
      <c r="S467" s="2">
        <f>IF(Procurement_kpi_Analysis[[#This Row],[Compliance]]="Yes",1,0)</f>
        <v>1</v>
      </c>
      <c r="T467" s="2">
        <f>IF(Procurement_kpi_Analysis[[#This Row],[Compliance]]="No",1,0)</f>
        <v>0</v>
      </c>
    </row>
    <row r="468" spans="1:20" x14ac:dyDescent="0.3">
      <c r="A468" t="s">
        <v>493</v>
      </c>
      <c r="B468" t="s">
        <v>20</v>
      </c>
      <c r="C468" s="1">
        <v>44983</v>
      </c>
      <c r="D468" s="1">
        <v>45002</v>
      </c>
      <c r="E468" t="s">
        <v>13</v>
      </c>
      <c r="F468" t="s">
        <v>14</v>
      </c>
      <c r="G468">
        <v>1422</v>
      </c>
      <c r="H468">
        <v>25.62</v>
      </c>
      <c r="I468">
        <v>25.18</v>
      </c>
      <c r="J468">
        <v>65</v>
      </c>
      <c r="K468" t="s">
        <v>15</v>
      </c>
      <c r="L468">
        <f>Procurement_kpi_Analysis[[#This Row],[Quantity]]*Procurement_kpi_Analysis[[#This Row],[Negotiated_Price]]</f>
        <v>35805.96</v>
      </c>
      <c r="M468">
        <f>IF(Procurement_kpi_Analysis[[#This Row],[Delivery_Date]]="","",Procurement_kpi_Analysis[[#This Row],[Delivery_Date]]-Procurement_kpi_Analysis[[#This Row],[Order_Date]])</f>
        <v>19</v>
      </c>
      <c r="N468" s="2">
        <f>Procurement_kpi_Analysis[[#This Row],[Defective_Units]]/Procurement_kpi_Analysis[[#This Row],[Quantity]]</f>
        <v>4.5710267229254573E-2</v>
      </c>
      <c r="O468" s="2">
        <f>(Procurement_kpi_Analysis[[#This Row],[Unit_Price]]-Procurement_kpi_Analysis[[#This Row],[Negotiated_Price]])*Procurement_kpi_Analysis[[#This Row],[Quantity]]</f>
        <v>625.68000000000177</v>
      </c>
      <c r="P468" s="2">
        <f>Procurement_kpi_Analysis[[#This Row],[Total Savings]]/Procurement_kpi_Analysis[[#This Row],[Total Spend]]</f>
        <v>1.7474185861795125E-2</v>
      </c>
      <c r="Q468" s="2" t="str">
        <f>IF(Procurement_kpi_Analysis[[#This Row],[Lead Time]]&lt;=14,"On Time","Late")</f>
        <v>Late</v>
      </c>
      <c r="R468" s="2">
        <f>Procurement_kpi_Analysis[[#This Row],[Unit_Price]]*Procurement_kpi_Analysis[[#This Row],[Quantity]]</f>
        <v>36431.64</v>
      </c>
      <c r="S468" s="2">
        <f>IF(Procurement_kpi_Analysis[[#This Row],[Compliance]]="Yes",1,0)</f>
        <v>1</v>
      </c>
      <c r="T468" s="2">
        <f>IF(Procurement_kpi_Analysis[[#This Row],[Compliance]]="No",1,0)</f>
        <v>0</v>
      </c>
    </row>
    <row r="469" spans="1:20" x14ac:dyDescent="0.3">
      <c r="A469" t="s">
        <v>494</v>
      </c>
      <c r="B469" t="s">
        <v>17</v>
      </c>
      <c r="C469" s="1">
        <v>45247</v>
      </c>
      <c r="D469" s="1"/>
      <c r="E469" t="s">
        <v>26</v>
      </c>
      <c r="F469" t="s">
        <v>18</v>
      </c>
      <c r="G469">
        <v>546</v>
      </c>
      <c r="H469">
        <v>82.63</v>
      </c>
      <c r="I469">
        <v>74.77</v>
      </c>
      <c r="J469">
        <v>76</v>
      </c>
      <c r="K469" t="s">
        <v>27</v>
      </c>
      <c r="L469">
        <f>Procurement_kpi_Analysis[[#This Row],[Quantity]]*Procurement_kpi_Analysis[[#This Row],[Negotiated_Price]]</f>
        <v>40824.42</v>
      </c>
      <c r="M469" t="str">
        <f>IF(Procurement_kpi_Analysis[[#This Row],[Delivery_Date]]="","",Procurement_kpi_Analysis[[#This Row],[Delivery_Date]]-Procurement_kpi_Analysis[[#This Row],[Order_Date]])</f>
        <v/>
      </c>
      <c r="N469" s="2">
        <f>Procurement_kpi_Analysis[[#This Row],[Defective_Units]]/Procurement_kpi_Analysis[[#This Row],[Quantity]]</f>
        <v>0.1391941391941392</v>
      </c>
      <c r="O469" s="2">
        <f>(Procurement_kpi_Analysis[[#This Row],[Unit_Price]]-Procurement_kpi_Analysis[[#This Row],[Negotiated_Price]])*Procurement_kpi_Analysis[[#This Row],[Quantity]]</f>
        <v>4291.5599999999995</v>
      </c>
      <c r="P469" s="2">
        <f>Procurement_kpi_Analysis[[#This Row],[Total Savings]]/Procurement_kpi_Analysis[[#This Row],[Total Spend]]</f>
        <v>0.10512237528420489</v>
      </c>
      <c r="Q469" s="2" t="str">
        <f>IF(Procurement_kpi_Analysis[[#This Row],[Lead Time]]&lt;=14,"On Time","Late")</f>
        <v>Late</v>
      </c>
      <c r="R469" s="2">
        <f>Procurement_kpi_Analysis[[#This Row],[Unit_Price]]*Procurement_kpi_Analysis[[#This Row],[Quantity]]</f>
        <v>45115.979999999996</v>
      </c>
      <c r="S469" s="2">
        <f>IF(Procurement_kpi_Analysis[[#This Row],[Compliance]]="Yes",1,0)</f>
        <v>0</v>
      </c>
      <c r="T469" s="2">
        <f>IF(Procurement_kpi_Analysis[[#This Row],[Compliance]]="No",1,0)</f>
        <v>1</v>
      </c>
    </row>
    <row r="470" spans="1:20" x14ac:dyDescent="0.3">
      <c r="A470" t="s">
        <v>495</v>
      </c>
      <c r="B470" t="s">
        <v>20</v>
      </c>
      <c r="C470" s="1">
        <v>44816</v>
      </c>
      <c r="D470" s="1">
        <v>44826</v>
      </c>
      <c r="E470" t="s">
        <v>13</v>
      </c>
      <c r="F470" t="s">
        <v>33</v>
      </c>
      <c r="G470">
        <v>351</v>
      </c>
      <c r="H470">
        <v>72.08</v>
      </c>
      <c r="I470">
        <v>71.3</v>
      </c>
      <c r="J470">
        <v>20</v>
      </c>
      <c r="K470" t="s">
        <v>15</v>
      </c>
      <c r="L470">
        <f>Procurement_kpi_Analysis[[#This Row],[Quantity]]*Procurement_kpi_Analysis[[#This Row],[Negotiated_Price]]</f>
        <v>25026.3</v>
      </c>
      <c r="M470">
        <f>IF(Procurement_kpi_Analysis[[#This Row],[Delivery_Date]]="","",Procurement_kpi_Analysis[[#This Row],[Delivery_Date]]-Procurement_kpi_Analysis[[#This Row],[Order_Date]])</f>
        <v>10</v>
      </c>
      <c r="N470" s="2">
        <f>Procurement_kpi_Analysis[[#This Row],[Defective_Units]]/Procurement_kpi_Analysis[[#This Row],[Quantity]]</f>
        <v>5.6980056980056981E-2</v>
      </c>
      <c r="O470" s="2">
        <f>(Procurement_kpi_Analysis[[#This Row],[Unit_Price]]-Procurement_kpi_Analysis[[#This Row],[Negotiated_Price]])*Procurement_kpi_Analysis[[#This Row],[Quantity]]</f>
        <v>273.78000000000043</v>
      </c>
      <c r="P470" s="2">
        <f>Procurement_kpi_Analysis[[#This Row],[Total Savings]]/Procurement_kpi_Analysis[[#This Row],[Total Spend]]</f>
        <v>1.0939691444600297E-2</v>
      </c>
      <c r="Q470" s="2" t="str">
        <f>IF(Procurement_kpi_Analysis[[#This Row],[Lead Time]]&lt;=14,"On Time","Late")</f>
        <v>On Time</v>
      </c>
      <c r="R470" s="2">
        <f>Procurement_kpi_Analysis[[#This Row],[Unit_Price]]*Procurement_kpi_Analysis[[#This Row],[Quantity]]</f>
        <v>25300.079999999998</v>
      </c>
      <c r="S470" s="2">
        <f>IF(Procurement_kpi_Analysis[[#This Row],[Compliance]]="Yes",1,0)</f>
        <v>1</v>
      </c>
      <c r="T470" s="2">
        <f>IF(Procurement_kpi_Analysis[[#This Row],[Compliance]]="No",1,0)</f>
        <v>0</v>
      </c>
    </row>
    <row r="471" spans="1:20" x14ac:dyDescent="0.3">
      <c r="A471" t="s">
        <v>496</v>
      </c>
      <c r="B471" t="s">
        <v>17</v>
      </c>
      <c r="C471" s="1">
        <v>44835</v>
      </c>
      <c r="D471" s="1">
        <v>44852</v>
      </c>
      <c r="E471" t="s">
        <v>26</v>
      </c>
      <c r="F471" t="s">
        <v>33</v>
      </c>
      <c r="G471">
        <v>230</v>
      </c>
      <c r="H471">
        <v>13</v>
      </c>
      <c r="I471">
        <v>12.81</v>
      </c>
      <c r="J471">
        <v>0</v>
      </c>
      <c r="K471" t="s">
        <v>27</v>
      </c>
      <c r="L471">
        <f>Procurement_kpi_Analysis[[#This Row],[Quantity]]*Procurement_kpi_Analysis[[#This Row],[Negotiated_Price]]</f>
        <v>2946.3</v>
      </c>
      <c r="M471">
        <f>IF(Procurement_kpi_Analysis[[#This Row],[Delivery_Date]]="","",Procurement_kpi_Analysis[[#This Row],[Delivery_Date]]-Procurement_kpi_Analysis[[#This Row],[Order_Date]])</f>
        <v>17</v>
      </c>
      <c r="N471" s="2">
        <f>Procurement_kpi_Analysis[[#This Row],[Defective_Units]]/Procurement_kpi_Analysis[[#This Row],[Quantity]]</f>
        <v>0</v>
      </c>
      <c r="O471" s="2">
        <f>(Procurement_kpi_Analysis[[#This Row],[Unit_Price]]-Procurement_kpi_Analysis[[#This Row],[Negotiated_Price]])*Procurement_kpi_Analysis[[#This Row],[Quantity]]</f>
        <v>43.699999999999889</v>
      </c>
      <c r="P471" s="2">
        <f>Procurement_kpi_Analysis[[#This Row],[Total Savings]]/Procurement_kpi_Analysis[[#This Row],[Total Spend]]</f>
        <v>1.4832162373145941E-2</v>
      </c>
      <c r="Q471" s="2" t="str">
        <f>IF(Procurement_kpi_Analysis[[#This Row],[Lead Time]]&lt;=14,"On Time","Late")</f>
        <v>Late</v>
      </c>
      <c r="R471" s="2">
        <f>Procurement_kpi_Analysis[[#This Row],[Unit_Price]]*Procurement_kpi_Analysis[[#This Row],[Quantity]]</f>
        <v>2990</v>
      </c>
      <c r="S471" s="2">
        <f>IF(Procurement_kpi_Analysis[[#This Row],[Compliance]]="Yes",1,0)</f>
        <v>0</v>
      </c>
      <c r="T471" s="2">
        <f>IF(Procurement_kpi_Analysis[[#This Row],[Compliance]]="No",1,0)</f>
        <v>1</v>
      </c>
    </row>
    <row r="472" spans="1:20" x14ac:dyDescent="0.3">
      <c r="A472" t="s">
        <v>497</v>
      </c>
      <c r="B472" t="s">
        <v>12</v>
      </c>
      <c r="C472" s="1">
        <v>44725</v>
      </c>
      <c r="D472" s="1">
        <v>44731</v>
      </c>
      <c r="E472" t="s">
        <v>21</v>
      </c>
      <c r="F472" t="s">
        <v>18</v>
      </c>
      <c r="G472">
        <v>656</v>
      </c>
      <c r="H472">
        <v>30.73</v>
      </c>
      <c r="I472">
        <v>26.26</v>
      </c>
      <c r="J472">
        <v>17</v>
      </c>
      <c r="K472" t="s">
        <v>15</v>
      </c>
      <c r="L472">
        <f>Procurement_kpi_Analysis[[#This Row],[Quantity]]*Procurement_kpi_Analysis[[#This Row],[Negotiated_Price]]</f>
        <v>17226.560000000001</v>
      </c>
      <c r="M472">
        <f>IF(Procurement_kpi_Analysis[[#This Row],[Delivery_Date]]="","",Procurement_kpi_Analysis[[#This Row],[Delivery_Date]]-Procurement_kpi_Analysis[[#This Row],[Order_Date]])</f>
        <v>6</v>
      </c>
      <c r="N472" s="2">
        <f>Procurement_kpi_Analysis[[#This Row],[Defective_Units]]/Procurement_kpi_Analysis[[#This Row],[Quantity]]</f>
        <v>2.5914634146341462E-2</v>
      </c>
      <c r="O472" s="2">
        <f>(Procurement_kpi_Analysis[[#This Row],[Unit_Price]]-Procurement_kpi_Analysis[[#This Row],[Negotiated_Price]])*Procurement_kpi_Analysis[[#This Row],[Quantity]]</f>
        <v>2932.3199999999993</v>
      </c>
      <c r="P472" s="2">
        <f>Procurement_kpi_Analysis[[#This Row],[Total Savings]]/Procurement_kpi_Analysis[[#This Row],[Total Spend]]</f>
        <v>0.17022086824067018</v>
      </c>
      <c r="Q472" s="2" t="str">
        <f>IF(Procurement_kpi_Analysis[[#This Row],[Lead Time]]&lt;=14,"On Time","Late")</f>
        <v>On Time</v>
      </c>
      <c r="R472" s="2">
        <f>Procurement_kpi_Analysis[[#This Row],[Unit_Price]]*Procurement_kpi_Analysis[[#This Row],[Quantity]]</f>
        <v>20158.88</v>
      </c>
      <c r="S472" s="2">
        <f>IF(Procurement_kpi_Analysis[[#This Row],[Compliance]]="Yes",1,0)</f>
        <v>1</v>
      </c>
      <c r="T472" s="2">
        <f>IF(Procurement_kpi_Analysis[[#This Row],[Compliance]]="No",1,0)</f>
        <v>0</v>
      </c>
    </row>
    <row r="473" spans="1:20" x14ac:dyDescent="0.3">
      <c r="A473" t="s">
        <v>498</v>
      </c>
      <c r="B473" t="s">
        <v>20</v>
      </c>
      <c r="C473" s="1">
        <v>45280</v>
      </c>
      <c r="D473" s="1">
        <v>45300</v>
      </c>
      <c r="E473" t="s">
        <v>21</v>
      </c>
      <c r="F473" t="s">
        <v>18</v>
      </c>
      <c r="G473">
        <v>1172</v>
      </c>
      <c r="H473">
        <v>34.340000000000003</v>
      </c>
      <c r="I473">
        <v>32.090000000000003</v>
      </c>
      <c r="J473">
        <v>69</v>
      </c>
      <c r="K473" t="s">
        <v>15</v>
      </c>
      <c r="L473">
        <f>Procurement_kpi_Analysis[[#This Row],[Quantity]]*Procurement_kpi_Analysis[[#This Row],[Negotiated_Price]]</f>
        <v>37609.480000000003</v>
      </c>
      <c r="M473">
        <f>IF(Procurement_kpi_Analysis[[#This Row],[Delivery_Date]]="","",Procurement_kpi_Analysis[[#This Row],[Delivery_Date]]-Procurement_kpi_Analysis[[#This Row],[Order_Date]])</f>
        <v>20</v>
      </c>
      <c r="N473" s="2">
        <f>Procurement_kpi_Analysis[[#This Row],[Defective_Units]]/Procurement_kpi_Analysis[[#This Row],[Quantity]]</f>
        <v>5.8873720136518773E-2</v>
      </c>
      <c r="O473" s="2">
        <f>(Procurement_kpi_Analysis[[#This Row],[Unit_Price]]-Procurement_kpi_Analysis[[#This Row],[Negotiated_Price]])*Procurement_kpi_Analysis[[#This Row],[Quantity]]</f>
        <v>2637</v>
      </c>
      <c r="P473" s="2">
        <f>Procurement_kpi_Analysis[[#This Row],[Total Savings]]/Procurement_kpi_Analysis[[#This Row],[Total Spend]]</f>
        <v>7.0115300716734177E-2</v>
      </c>
      <c r="Q473" s="2" t="str">
        <f>IF(Procurement_kpi_Analysis[[#This Row],[Lead Time]]&lt;=14,"On Time","Late")</f>
        <v>Late</v>
      </c>
      <c r="R473" s="2">
        <f>Procurement_kpi_Analysis[[#This Row],[Unit_Price]]*Procurement_kpi_Analysis[[#This Row],[Quantity]]</f>
        <v>40246.480000000003</v>
      </c>
      <c r="S473" s="2">
        <f>IF(Procurement_kpi_Analysis[[#This Row],[Compliance]]="Yes",1,0)</f>
        <v>1</v>
      </c>
      <c r="T473" s="2">
        <f>IF(Procurement_kpi_Analysis[[#This Row],[Compliance]]="No",1,0)</f>
        <v>0</v>
      </c>
    </row>
    <row r="474" spans="1:20" x14ac:dyDescent="0.3">
      <c r="A474" t="s">
        <v>499</v>
      </c>
      <c r="B474" t="s">
        <v>20</v>
      </c>
      <c r="C474" s="1">
        <v>44672</v>
      </c>
      <c r="D474" s="1">
        <v>44681</v>
      </c>
      <c r="E474" t="s">
        <v>39</v>
      </c>
      <c r="F474" t="s">
        <v>18</v>
      </c>
      <c r="G474">
        <v>749</v>
      </c>
      <c r="H474">
        <v>71.53</v>
      </c>
      <c r="I474">
        <v>70.02</v>
      </c>
      <c r="J474">
        <v>41</v>
      </c>
      <c r="K474" t="s">
        <v>15</v>
      </c>
      <c r="L474">
        <f>Procurement_kpi_Analysis[[#This Row],[Quantity]]*Procurement_kpi_Analysis[[#This Row],[Negotiated_Price]]</f>
        <v>52444.979999999996</v>
      </c>
      <c r="M474">
        <f>IF(Procurement_kpi_Analysis[[#This Row],[Delivery_Date]]="","",Procurement_kpi_Analysis[[#This Row],[Delivery_Date]]-Procurement_kpi_Analysis[[#This Row],[Order_Date]])</f>
        <v>9</v>
      </c>
      <c r="N474" s="2">
        <f>Procurement_kpi_Analysis[[#This Row],[Defective_Units]]/Procurement_kpi_Analysis[[#This Row],[Quantity]]</f>
        <v>5.4739652870493989E-2</v>
      </c>
      <c r="O474" s="2">
        <f>(Procurement_kpi_Analysis[[#This Row],[Unit_Price]]-Procurement_kpi_Analysis[[#This Row],[Negotiated_Price]])*Procurement_kpi_Analysis[[#This Row],[Quantity]]</f>
        <v>1130.9900000000039</v>
      </c>
      <c r="P474" s="2">
        <f>Procurement_kpi_Analysis[[#This Row],[Total Savings]]/Procurement_kpi_Analysis[[#This Row],[Total Spend]]</f>
        <v>2.1565267066552488E-2</v>
      </c>
      <c r="Q474" s="2" t="str">
        <f>IF(Procurement_kpi_Analysis[[#This Row],[Lead Time]]&lt;=14,"On Time","Late")</f>
        <v>On Time</v>
      </c>
      <c r="R474" s="2">
        <f>Procurement_kpi_Analysis[[#This Row],[Unit_Price]]*Procurement_kpi_Analysis[[#This Row],[Quantity]]</f>
        <v>53575.97</v>
      </c>
      <c r="S474" s="2">
        <f>IF(Procurement_kpi_Analysis[[#This Row],[Compliance]]="Yes",1,0)</f>
        <v>1</v>
      </c>
      <c r="T474" s="2">
        <f>IF(Procurement_kpi_Analysis[[#This Row],[Compliance]]="No",1,0)</f>
        <v>0</v>
      </c>
    </row>
    <row r="475" spans="1:20" x14ac:dyDescent="0.3">
      <c r="A475" t="s">
        <v>500</v>
      </c>
      <c r="B475" t="s">
        <v>23</v>
      </c>
      <c r="C475" s="1">
        <v>44953</v>
      </c>
      <c r="D475" s="1">
        <v>44969</v>
      </c>
      <c r="E475" t="s">
        <v>24</v>
      </c>
      <c r="F475" t="s">
        <v>18</v>
      </c>
      <c r="G475">
        <v>1042</v>
      </c>
      <c r="H475">
        <v>12.48</v>
      </c>
      <c r="I475">
        <v>12.3</v>
      </c>
      <c r="J475">
        <v>88</v>
      </c>
      <c r="K475" t="s">
        <v>15</v>
      </c>
      <c r="L475">
        <f>Procurement_kpi_Analysis[[#This Row],[Quantity]]*Procurement_kpi_Analysis[[#This Row],[Negotiated_Price]]</f>
        <v>12816.6</v>
      </c>
      <c r="M475">
        <f>IF(Procurement_kpi_Analysis[[#This Row],[Delivery_Date]]="","",Procurement_kpi_Analysis[[#This Row],[Delivery_Date]]-Procurement_kpi_Analysis[[#This Row],[Order_Date]])</f>
        <v>16</v>
      </c>
      <c r="N475" s="2">
        <f>Procurement_kpi_Analysis[[#This Row],[Defective_Units]]/Procurement_kpi_Analysis[[#This Row],[Quantity]]</f>
        <v>8.4452975047984644E-2</v>
      </c>
      <c r="O475" s="2">
        <f>(Procurement_kpi_Analysis[[#This Row],[Unit_Price]]-Procurement_kpi_Analysis[[#This Row],[Negotiated_Price]])*Procurement_kpi_Analysis[[#This Row],[Quantity]]</f>
        <v>187.55999999999972</v>
      </c>
      <c r="P475" s="2">
        <f>Procurement_kpi_Analysis[[#This Row],[Total Savings]]/Procurement_kpi_Analysis[[#This Row],[Total Spend]]</f>
        <v>1.4634146341463393E-2</v>
      </c>
      <c r="Q475" s="2" t="str">
        <f>IF(Procurement_kpi_Analysis[[#This Row],[Lead Time]]&lt;=14,"On Time","Late")</f>
        <v>Late</v>
      </c>
      <c r="R475" s="2">
        <f>Procurement_kpi_Analysis[[#This Row],[Unit_Price]]*Procurement_kpi_Analysis[[#This Row],[Quantity]]</f>
        <v>13004.16</v>
      </c>
      <c r="S475" s="2">
        <f>IF(Procurement_kpi_Analysis[[#This Row],[Compliance]]="Yes",1,0)</f>
        <v>1</v>
      </c>
      <c r="T475" s="2">
        <f>IF(Procurement_kpi_Analysis[[#This Row],[Compliance]]="No",1,0)</f>
        <v>0</v>
      </c>
    </row>
    <row r="476" spans="1:20" x14ac:dyDescent="0.3">
      <c r="A476" t="s">
        <v>501</v>
      </c>
      <c r="B476" t="s">
        <v>17</v>
      </c>
      <c r="C476" s="1">
        <v>44601</v>
      </c>
      <c r="D476" s="1">
        <v>44619</v>
      </c>
      <c r="E476" t="s">
        <v>26</v>
      </c>
      <c r="F476" t="s">
        <v>18</v>
      </c>
      <c r="G476">
        <v>1189</v>
      </c>
      <c r="H476">
        <v>19.47</v>
      </c>
      <c r="I476">
        <v>17.149999999999999</v>
      </c>
      <c r="J476">
        <v>0</v>
      </c>
      <c r="K476" t="s">
        <v>27</v>
      </c>
      <c r="L476">
        <f>Procurement_kpi_Analysis[[#This Row],[Quantity]]*Procurement_kpi_Analysis[[#This Row],[Negotiated_Price]]</f>
        <v>20391.349999999999</v>
      </c>
      <c r="M476">
        <f>IF(Procurement_kpi_Analysis[[#This Row],[Delivery_Date]]="","",Procurement_kpi_Analysis[[#This Row],[Delivery_Date]]-Procurement_kpi_Analysis[[#This Row],[Order_Date]])</f>
        <v>18</v>
      </c>
      <c r="N476" s="2">
        <f>Procurement_kpi_Analysis[[#This Row],[Defective_Units]]/Procurement_kpi_Analysis[[#This Row],[Quantity]]</f>
        <v>0</v>
      </c>
      <c r="O476" s="2">
        <f>(Procurement_kpi_Analysis[[#This Row],[Unit_Price]]-Procurement_kpi_Analysis[[#This Row],[Negotiated_Price]])*Procurement_kpi_Analysis[[#This Row],[Quantity]]</f>
        <v>2758.4800000000005</v>
      </c>
      <c r="P476" s="2">
        <f>Procurement_kpi_Analysis[[#This Row],[Total Savings]]/Procurement_kpi_Analysis[[#This Row],[Total Spend]]</f>
        <v>0.13527696793002919</v>
      </c>
      <c r="Q476" s="2" t="str">
        <f>IF(Procurement_kpi_Analysis[[#This Row],[Lead Time]]&lt;=14,"On Time","Late")</f>
        <v>Late</v>
      </c>
      <c r="R476" s="2">
        <f>Procurement_kpi_Analysis[[#This Row],[Unit_Price]]*Procurement_kpi_Analysis[[#This Row],[Quantity]]</f>
        <v>23149.829999999998</v>
      </c>
      <c r="S476" s="2">
        <f>IF(Procurement_kpi_Analysis[[#This Row],[Compliance]]="Yes",1,0)</f>
        <v>0</v>
      </c>
      <c r="T476" s="2">
        <f>IF(Procurement_kpi_Analysis[[#This Row],[Compliance]]="No",1,0)</f>
        <v>1</v>
      </c>
    </row>
    <row r="477" spans="1:20" x14ac:dyDescent="0.3">
      <c r="A477" t="s">
        <v>502</v>
      </c>
      <c r="B477" t="s">
        <v>29</v>
      </c>
      <c r="C477" s="1">
        <v>45043</v>
      </c>
      <c r="D477" s="1"/>
      <c r="E477" t="s">
        <v>13</v>
      </c>
      <c r="F477" t="s">
        <v>18</v>
      </c>
      <c r="G477">
        <v>240</v>
      </c>
      <c r="H477">
        <v>88.14</v>
      </c>
      <c r="I477">
        <v>81.900000000000006</v>
      </c>
      <c r="J477">
        <v>4</v>
      </c>
      <c r="K477" t="s">
        <v>15</v>
      </c>
      <c r="L477">
        <f>Procurement_kpi_Analysis[[#This Row],[Quantity]]*Procurement_kpi_Analysis[[#This Row],[Negotiated_Price]]</f>
        <v>19656</v>
      </c>
      <c r="M477" t="str">
        <f>IF(Procurement_kpi_Analysis[[#This Row],[Delivery_Date]]="","",Procurement_kpi_Analysis[[#This Row],[Delivery_Date]]-Procurement_kpi_Analysis[[#This Row],[Order_Date]])</f>
        <v/>
      </c>
      <c r="N477" s="2">
        <f>Procurement_kpi_Analysis[[#This Row],[Defective_Units]]/Procurement_kpi_Analysis[[#This Row],[Quantity]]</f>
        <v>1.6666666666666666E-2</v>
      </c>
      <c r="O477" s="2">
        <f>(Procurement_kpi_Analysis[[#This Row],[Unit_Price]]-Procurement_kpi_Analysis[[#This Row],[Negotiated_Price]])*Procurement_kpi_Analysis[[#This Row],[Quantity]]</f>
        <v>1497.5999999999988</v>
      </c>
      <c r="P477" s="2">
        <f>Procurement_kpi_Analysis[[#This Row],[Total Savings]]/Procurement_kpi_Analysis[[#This Row],[Total Spend]]</f>
        <v>7.6190476190476128E-2</v>
      </c>
      <c r="Q477" s="2" t="str">
        <f>IF(Procurement_kpi_Analysis[[#This Row],[Lead Time]]&lt;=14,"On Time","Late")</f>
        <v>Late</v>
      </c>
      <c r="R477" s="2">
        <f>Procurement_kpi_Analysis[[#This Row],[Unit_Price]]*Procurement_kpi_Analysis[[#This Row],[Quantity]]</f>
        <v>21153.599999999999</v>
      </c>
      <c r="S477" s="2">
        <f>IF(Procurement_kpi_Analysis[[#This Row],[Compliance]]="Yes",1,0)</f>
        <v>1</v>
      </c>
      <c r="T477" s="2">
        <f>IF(Procurement_kpi_Analysis[[#This Row],[Compliance]]="No",1,0)</f>
        <v>0</v>
      </c>
    </row>
    <row r="478" spans="1:20" x14ac:dyDescent="0.3">
      <c r="A478" t="s">
        <v>503</v>
      </c>
      <c r="B478" t="s">
        <v>29</v>
      </c>
      <c r="C478" s="1">
        <v>44789</v>
      </c>
      <c r="D478" s="1">
        <v>44806</v>
      </c>
      <c r="E478" t="s">
        <v>21</v>
      </c>
      <c r="F478" t="s">
        <v>18</v>
      </c>
      <c r="G478">
        <v>302</v>
      </c>
      <c r="H478">
        <v>26.98</v>
      </c>
      <c r="I478">
        <v>26.47</v>
      </c>
      <c r="J478">
        <v>9</v>
      </c>
      <c r="K478" t="s">
        <v>15</v>
      </c>
      <c r="L478">
        <f>Procurement_kpi_Analysis[[#This Row],[Quantity]]*Procurement_kpi_Analysis[[#This Row],[Negotiated_Price]]</f>
        <v>7993.94</v>
      </c>
      <c r="M478">
        <f>IF(Procurement_kpi_Analysis[[#This Row],[Delivery_Date]]="","",Procurement_kpi_Analysis[[#This Row],[Delivery_Date]]-Procurement_kpi_Analysis[[#This Row],[Order_Date]])</f>
        <v>17</v>
      </c>
      <c r="N478" s="2">
        <f>Procurement_kpi_Analysis[[#This Row],[Defective_Units]]/Procurement_kpi_Analysis[[#This Row],[Quantity]]</f>
        <v>2.9801324503311258E-2</v>
      </c>
      <c r="O478" s="2">
        <f>(Procurement_kpi_Analysis[[#This Row],[Unit_Price]]-Procurement_kpi_Analysis[[#This Row],[Negotiated_Price]])*Procurement_kpi_Analysis[[#This Row],[Quantity]]</f>
        <v>154.02000000000046</v>
      </c>
      <c r="P478" s="2">
        <f>Procurement_kpi_Analysis[[#This Row],[Total Savings]]/Procurement_kpi_Analysis[[#This Row],[Total Spend]]</f>
        <v>1.9267094824329489E-2</v>
      </c>
      <c r="Q478" s="2" t="str">
        <f>IF(Procurement_kpi_Analysis[[#This Row],[Lead Time]]&lt;=14,"On Time","Late")</f>
        <v>Late</v>
      </c>
      <c r="R478" s="2">
        <f>Procurement_kpi_Analysis[[#This Row],[Unit_Price]]*Procurement_kpi_Analysis[[#This Row],[Quantity]]</f>
        <v>8147.96</v>
      </c>
      <c r="S478" s="2">
        <f>IF(Procurement_kpi_Analysis[[#This Row],[Compliance]]="Yes",1,0)</f>
        <v>1</v>
      </c>
      <c r="T478" s="2">
        <f>IF(Procurement_kpi_Analysis[[#This Row],[Compliance]]="No",1,0)</f>
        <v>0</v>
      </c>
    </row>
    <row r="479" spans="1:20" x14ac:dyDescent="0.3">
      <c r="A479" t="s">
        <v>504</v>
      </c>
      <c r="B479" t="s">
        <v>23</v>
      </c>
      <c r="C479" s="1">
        <v>44766</v>
      </c>
      <c r="D479" s="1">
        <v>44776</v>
      </c>
      <c r="E479" t="s">
        <v>21</v>
      </c>
      <c r="F479" t="s">
        <v>35</v>
      </c>
      <c r="G479">
        <v>1030</v>
      </c>
      <c r="H479">
        <v>70.81</v>
      </c>
      <c r="I479">
        <v>61.58</v>
      </c>
      <c r="J479">
        <v>0</v>
      </c>
      <c r="K479" t="s">
        <v>27</v>
      </c>
      <c r="L479">
        <f>Procurement_kpi_Analysis[[#This Row],[Quantity]]*Procurement_kpi_Analysis[[#This Row],[Negotiated_Price]]</f>
        <v>63427.4</v>
      </c>
      <c r="M479">
        <f>IF(Procurement_kpi_Analysis[[#This Row],[Delivery_Date]]="","",Procurement_kpi_Analysis[[#This Row],[Delivery_Date]]-Procurement_kpi_Analysis[[#This Row],[Order_Date]])</f>
        <v>10</v>
      </c>
      <c r="N479" s="2">
        <f>Procurement_kpi_Analysis[[#This Row],[Defective_Units]]/Procurement_kpi_Analysis[[#This Row],[Quantity]]</f>
        <v>0</v>
      </c>
      <c r="O479" s="2">
        <f>(Procurement_kpi_Analysis[[#This Row],[Unit_Price]]-Procurement_kpi_Analysis[[#This Row],[Negotiated_Price]])*Procurement_kpi_Analysis[[#This Row],[Quantity]]</f>
        <v>9506.9000000000033</v>
      </c>
      <c r="P479" s="2">
        <f>Procurement_kpi_Analysis[[#This Row],[Total Savings]]/Procurement_kpi_Analysis[[#This Row],[Total Spend]]</f>
        <v>0.14988632672945768</v>
      </c>
      <c r="Q479" s="2" t="str">
        <f>IF(Procurement_kpi_Analysis[[#This Row],[Lead Time]]&lt;=14,"On Time","Late")</f>
        <v>On Time</v>
      </c>
      <c r="R479" s="2">
        <f>Procurement_kpi_Analysis[[#This Row],[Unit_Price]]*Procurement_kpi_Analysis[[#This Row],[Quantity]]</f>
        <v>72934.3</v>
      </c>
      <c r="S479" s="2">
        <f>IF(Procurement_kpi_Analysis[[#This Row],[Compliance]]="Yes",1,0)</f>
        <v>0</v>
      </c>
      <c r="T479" s="2">
        <f>IF(Procurement_kpi_Analysis[[#This Row],[Compliance]]="No",1,0)</f>
        <v>1</v>
      </c>
    </row>
    <row r="480" spans="1:20" x14ac:dyDescent="0.3">
      <c r="A480" t="s">
        <v>505</v>
      </c>
      <c r="B480" t="s">
        <v>17</v>
      </c>
      <c r="C480" s="1">
        <v>45033</v>
      </c>
      <c r="D480" s="1">
        <v>45039</v>
      </c>
      <c r="E480" t="s">
        <v>13</v>
      </c>
      <c r="F480" t="s">
        <v>18</v>
      </c>
      <c r="G480">
        <v>977</v>
      </c>
      <c r="H480">
        <v>33.79</v>
      </c>
      <c r="I480">
        <v>32.25</v>
      </c>
      <c r="J480">
        <v>137</v>
      </c>
      <c r="K480" t="s">
        <v>15</v>
      </c>
      <c r="L480">
        <f>Procurement_kpi_Analysis[[#This Row],[Quantity]]*Procurement_kpi_Analysis[[#This Row],[Negotiated_Price]]</f>
        <v>31508.25</v>
      </c>
      <c r="M480">
        <f>IF(Procurement_kpi_Analysis[[#This Row],[Delivery_Date]]="","",Procurement_kpi_Analysis[[#This Row],[Delivery_Date]]-Procurement_kpi_Analysis[[#This Row],[Order_Date]])</f>
        <v>6</v>
      </c>
      <c r="N480" s="2">
        <f>Procurement_kpi_Analysis[[#This Row],[Defective_Units]]/Procurement_kpi_Analysis[[#This Row],[Quantity]]</f>
        <v>0.14022517911975435</v>
      </c>
      <c r="O480" s="2">
        <f>(Procurement_kpi_Analysis[[#This Row],[Unit_Price]]-Procurement_kpi_Analysis[[#This Row],[Negotiated_Price]])*Procurement_kpi_Analysis[[#This Row],[Quantity]]</f>
        <v>1504.5799999999992</v>
      </c>
      <c r="P480" s="2">
        <f>Procurement_kpi_Analysis[[#This Row],[Total Savings]]/Procurement_kpi_Analysis[[#This Row],[Total Spend]]</f>
        <v>4.7751937984496097E-2</v>
      </c>
      <c r="Q480" s="2" t="str">
        <f>IF(Procurement_kpi_Analysis[[#This Row],[Lead Time]]&lt;=14,"On Time","Late")</f>
        <v>On Time</v>
      </c>
      <c r="R480" s="2">
        <f>Procurement_kpi_Analysis[[#This Row],[Unit_Price]]*Procurement_kpi_Analysis[[#This Row],[Quantity]]</f>
        <v>33012.83</v>
      </c>
      <c r="S480" s="2">
        <f>IF(Procurement_kpi_Analysis[[#This Row],[Compliance]]="Yes",1,0)</f>
        <v>1</v>
      </c>
      <c r="T480" s="2">
        <f>IF(Procurement_kpi_Analysis[[#This Row],[Compliance]]="No",1,0)</f>
        <v>0</v>
      </c>
    </row>
    <row r="481" spans="1:20" x14ac:dyDescent="0.3">
      <c r="A481" t="s">
        <v>506</v>
      </c>
      <c r="B481" t="s">
        <v>12</v>
      </c>
      <c r="C481" s="1">
        <v>44920</v>
      </c>
      <c r="D481" s="1">
        <v>44937</v>
      </c>
      <c r="E481" t="s">
        <v>24</v>
      </c>
      <c r="F481" t="s">
        <v>18</v>
      </c>
      <c r="G481">
        <v>1234</v>
      </c>
      <c r="H481">
        <v>19.989999999999998</v>
      </c>
      <c r="I481">
        <v>17.66</v>
      </c>
      <c r="J481">
        <v>25</v>
      </c>
      <c r="K481" t="s">
        <v>15</v>
      </c>
      <c r="L481">
        <f>Procurement_kpi_Analysis[[#This Row],[Quantity]]*Procurement_kpi_Analysis[[#This Row],[Negotiated_Price]]</f>
        <v>21792.44</v>
      </c>
      <c r="M481">
        <f>IF(Procurement_kpi_Analysis[[#This Row],[Delivery_Date]]="","",Procurement_kpi_Analysis[[#This Row],[Delivery_Date]]-Procurement_kpi_Analysis[[#This Row],[Order_Date]])</f>
        <v>17</v>
      </c>
      <c r="N481" s="2">
        <f>Procurement_kpi_Analysis[[#This Row],[Defective_Units]]/Procurement_kpi_Analysis[[#This Row],[Quantity]]</f>
        <v>2.0259319286871962E-2</v>
      </c>
      <c r="O481" s="2">
        <f>(Procurement_kpi_Analysis[[#This Row],[Unit_Price]]-Procurement_kpi_Analysis[[#This Row],[Negotiated_Price]])*Procurement_kpi_Analysis[[#This Row],[Quantity]]</f>
        <v>2875.219999999998</v>
      </c>
      <c r="P481" s="2">
        <f>Procurement_kpi_Analysis[[#This Row],[Total Savings]]/Procurement_kpi_Analysis[[#This Row],[Total Spend]]</f>
        <v>0.13193657984144952</v>
      </c>
      <c r="Q481" s="2" t="str">
        <f>IF(Procurement_kpi_Analysis[[#This Row],[Lead Time]]&lt;=14,"On Time","Late")</f>
        <v>Late</v>
      </c>
      <c r="R481" s="2">
        <f>Procurement_kpi_Analysis[[#This Row],[Unit_Price]]*Procurement_kpi_Analysis[[#This Row],[Quantity]]</f>
        <v>24667.66</v>
      </c>
      <c r="S481" s="2">
        <f>IF(Procurement_kpi_Analysis[[#This Row],[Compliance]]="Yes",1,0)</f>
        <v>1</v>
      </c>
      <c r="T481" s="2">
        <f>IF(Procurement_kpi_Analysis[[#This Row],[Compliance]]="No",1,0)</f>
        <v>0</v>
      </c>
    </row>
    <row r="482" spans="1:20" x14ac:dyDescent="0.3">
      <c r="A482" t="s">
        <v>507</v>
      </c>
      <c r="B482" t="s">
        <v>23</v>
      </c>
      <c r="C482" s="1">
        <v>44874</v>
      </c>
      <c r="D482" s="1">
        <v>44888</v>
      </c>
      <c r="E482" t="s">
        <v>13</v>
      </c>
      <c r="F482" t="s">
        <v>18</v>
      </c>
      <c r="G482">
        <v>1329</v>
      </c>
      <c r="H482">
        <v>33.479999999999997</v>
      </c>
      <c r="I482">
        <v>33.06</v>
      </c>
      <c r="J482">
        <v>146</v>
      </c>
      <c r="K482" t="s">
        <v>15</v>
      </c>
      <c r="L482">
        <f>Procurement_kpi_Analysis[[#This Row],[Quantity]]*Procurement_kpi_Analysis[[#This Row],[Negotiated_Price]]</f>
        <v>43936.740000000005</v>
      </c>
      <c r="M482">
        <f>IF(Procurement_kpi_Analysis[[#This Row],[Delivery_Date]]="","",Procurement_kpi_Analysis[[#This Row],[Delivery_Date]]-Procurement_kpi_Analysis[[#This Row],[Order_Date]])</f>
        <v>14</v>
      </c>
      <c r="N482" s="2">
        <f>Procurement_kpi_Analysis[[#This Row],[Defective_Units]]/Procurement_kpi_Analysis[[#This Row],[Quantity]]</f>
        <v>0.10985703536493605</v>
      </c>
      <c r="O482" s="2">
        <f>(Procurement_kpi_Analysis[[#This Row],[Unit_Price]]-Procurement_kpi_Analysis[[#This Row],[Negotiated_Price]])*Procurement_kpi_Analysis[[#This Row],[Quantity]]</f>
        <v>558.17999999999279</v>
      </c>
      <c r="P482" s="2">
        <f>Procurement_kpi_Analysis[[#This Row],[Total Savings]]/Procurement_kpi_Analysis[[#This Row],[Total Spend]]</f>
        <v>1.270417422867497E-2</v>
      </c>
      <c r="Q482" s="2" t="str">
        <f>IF(Procurement_kpi_Analysis[[#This Row],[Lead Time]]&lt;=14,"On Time","Late")</f>
        <v>On Time</v>
      </c>
      <c r="R482" s="2">
        <f>Procurement_kpi_Analysis[[#This Row],[Unit_Price]]*Procurement_kpi_Analysis[[#This Row],[Quantity]]</f>
        <v>44494.92</v>
      </c>
      <c r="S482" s="2">
        <f>IF(Procurement_kpi_Analysis[[#This Row],[Compliance]]="Yes",1,0)</f>
        <v>1</v>
      </c>
      <c r="T482" s="2">
        <f>IF(Procurement_kpi_Analysis[[#This Row],[Compliance]]="No",1,0)</f>
        <v>0</v>
      </c>
    </row>
    <row r="483" spans="1:20" x14ac:dyDescent="0.3">
      <c r="A483" t="s">
        <v>508</v>
      </c>
      <c r="B483" t="s">
        <v>20</v>
      </c>
      <c r="C483" s="1">
        <v>44795</v>
      </c>
      <c r="D483" s="1">
        <v>44803</v>
      </c>
      <c r="E483" t="s">
        <v>26</v>
      </c>
      <c r="F483" t="s">
        <v>18</v>
      </c>
      <c r="G483">
        <v>1396</v>
      </c>
      <c r="H483">
        <v>77.63</v>
      </c>
      <c r="I483">
        <v>67.81</v>
      </c>
      <c r="J483">
        <v>58</v>
      </c>
      <c r="K483" t="s">
        <v>15</v>
      </c>
      <c r="L483">
        <f>Procurement_kpi_Analysis[[#This Row],[Quantity]]*Procurement_kpi_Analysis[[#This Row],[Negotiated_Price]]</f>
        <v>94662.760000000009</v>
      </c>
      <c r="M483">
        <f>IF(Procurement_kpi_Analysis[[#This Row],[Delivery_Date]]="","",Procurement_kpi_Analysis[[#This Row],[Delivery_Date]]-Procurement_kpi_Analysis[[#This Row],[Order_Date]])</f>
        <v>8</v>
      </c>
      <c r="N483" s="2">
        <f>Procurement_kpi_Analysis[[#This Row],[Defective_Units]]/Procurement_kpi_Analysis[[#This Row],[Quantity]]</f>
        <v>4.1547277936962751E-2</v>
      </c>
      <c r="O483" s="2">
        <f>(Procurement_kpi_Analysis[[#This Row],[Unit_Price]]-Procurement_kpi_Analysis[[#This Row],[Negotiated_Price]])*Procurement_kpi_Analysis[[#This Row],[Quantity]]</f>
        <v>13708.71999999999</v>
      </c>
      <c r="P483" s="2">
        <f>Procurement_kpi_Analysis[[#This Row],[Total Savings]]/Procurement_kpi_Analysis[[#This Row],[Total Spend]]</f>
        <v>0.14481639876124452</v>
      </c>
      <c r="Q483" s="2" t="str">
        <f>IF(Procurement_kpi_Analysis[[#This Row],[Lead Time]]&lt;=14,"On Time","Late")</f>
        <v>On Time</v>
      </c>
      <c r="R483" s="2">
        <f>Procurement_kpi_Analysis[[#This Row],[Unit_Price]]*Procurement_kpi_Analysis[[#This Row],[Quantity]]</f>
        <v>108371.48</v>
      </c>
      <c r="S483" s="2">
        <f>IF(Procurement_kpi_Analysis[[#This Row],[Compliance]]="Yes",1,0)</f>
        <v>1</v>
      </c>
      <c r="T483" s="2">
        <f>IF(Procurement_kpi_Analysis[[#This Row],[Compliance]]="No",1,0)</f>
        <v>0</v>
      </c>
    </row>
    <row r="484" spans="1:20" x14ac:dyDescent="0.3">
      <c r="A484" t="s">
        <v>509</v>
      </c>
      <c r="B484" t="s">
        <v>12</v>
      </c>
      <c r="C484" s="1">
        <v>44790</v>
      </c>
      <c r="D484" s="1">
        <v>44802</v>
      </c>
      <c r="E484" t="s">
        <v>26</v>
      </c>
      <c r="F484" t="s">
        <v>18</v>
      </c>
      <c r="G484">
        <v>177</v>
      </c>
      <c r="H484">
        <v>90.06</v>
      </c>
      <c r="I484">
        <v>87.71</v>
      </c>
      <c r="J484">
        <v>7</v>
      </c>
      <c r="K484" t="s">
        <v>15</v>
      </c>
      <c r="L484">
        <f>Procurement_kpi_Analysis[[#This Row],[Quantity]]*Procurement_kpi_Analysis[[#This Row],[Negotiated_Price]]</f>
        <v>15524.669999999998</v>
      </c>
      <c r="M484">
        <f>IF(Procurement_kpi_Analysis[[#This Row],[Delivery_Date]]="","",Procurement_kpi_Analysis[[#This Row],[Delivery_Date]]-Procurement_kpi_Analysis[[#This Row],[Order_Date]])</f>
        <v>12</v>
      </c>
      <c r="N484" s="2">
        <f>Procurement_kpi_Analysis[[#This Row],[Defective_Units]]/Procurement_kpi_Analysis[[#This Row],[Quantity]]</f>
        <v>3.954802259887006E-2</v>
      </c>
      <c r="O484" s="2">
        <f>(Procurement_kpi_Analysis[[#This Row],[Unit_Price]]-Procurement_kpi_Analysis[[#This Row],[Negotiated_Price]])*Procurement_kpi_Analysis[[#This Row],[Quantity]]</f>
        <v>415.95000000000152</v>
      </c>
      <c r="P484" s="2">
        <f>Procurement_kpi_Analysis[[#This Row],[Total Savings]]/Procurement_kpi_Analysis[[#This Row],[Total Spend]]</f>
        <v>2.6792840041044451E-2</v>
      </c>
      <c r="Q484" s="2" t="str">
        <f>IF(Procurement_kpi_Analysis[[#This Row],[Lead Time]]&lt;=14,"On Time","Late")</f>
        <v>On Time</v>
      </c>
      <c r="R484" s="2">
        <f>Procurement_kpi_Analysis[[#This Row],[Unit_Price]]*Procurement_kpi_Analysis[[#This Row],[Quantity]]</f>
        <v>15940.62</v>
      </c>
      <c r="S484" s="2">
        <f>IF(Procurement_kpi_Analysis[[#This Row],[Compliance]]="Yes",1,0)</f>
        <v>1</v>
      </c>
      <c r="T484" s="2">
        <f>IF(Procurement_kpi_Analysis[[#This Row],[Compliance]]="No",1,0)</f>
        <v>0</v>
      </c>
    </row>
    <row r="485" spans="1:20" x14ac:dyDescent="0.3">
      <c r="A485" t="s">
        <v>510</v>
      </c>
      <c r="B485" t="s">
        <v>17</v>
      </c>
      <c r="C485" s="1">
        <v>44586</v>
      </c>
      <c r="D485" s="1"/>
      <c r="E485" t="s">
        <v>39</v>
      </c>
      <c r="F485" t="s">
        <v>18</v>
      </c>
      <c r="G485">
        <v>67</v>
      </c>
      <c r="H485">
        <v>84.72</v>
      </c>
      <c r="I485">
        <v>73.06</v>
      </c>
      <c r="J485">
        <v>9</v>
      </c>
      <c r="K485" t="s">
        <v>15</v>
      </c>
      <c r="L485">
        <f>Procurement_kpi_Analysis[[#This Row],[Quantity]]*Procurement_kpi_Analysis[[#This Row],[Negotiated_Price]]</f>
        <v>4895.0200000000004</v>
      </c>
      <c r="M485" t="str">
        <f>IF(Procurement_kpi_Analysis[[#This Row],[Delivery_Date]]="","",Procurement_kpi_Analysis[[#This Row],[Delivery_Date]]-Procurement_kpi_Analysis[[#This Row],[Order_Date]])</f>
        <v/>
      </c>
      <c r="N485" s="2">
        <f>Procurement_kpi_Analysis[[#This Row],[Defective_Units]]/Procurement_kpi_Analysis[[#This Row],[Quantity]]</f>
        <v>0.13432835820895522</v>
      </c>
      <c r="O485" s="2">
        <f>(Procurement_kpi_Analysis[[#This Row],[Unit_Price]]-Procurement_kpi_Analysis[[#This Row],[Negotiated_Price]])*Procurement_kpi_Analysis[[#This Row],[Quantity]]</f>
        <v>781.2199999999998</v>
      </c>
      <c r="P485" s="2">
        <f>Procurement_kpi_Analysis[[#This Row],[Total Savings]]/Procurement_kpi_Analysis[[#This Row],[Total Spend]]</f>
        <v>0.15959485354503142</v>
      </c>
      <c r="Q485" s="2" t="str">
        <f>IF(Procurement_kpi_Analysis[[#This Row],[Lead Time]]&lt;=14,"On Time","Late")</f>
        <v>Late</v>
      </c>
      <c r="R485" s="2">
        <f>Procurement_kpi_Analysis[[#This Row],[Unit_Price]]*Procurement_kpi_Analysis[[#This Row],[Quantity]]</f>
        <v>5676.24</v>
      </c>
      <c r="S485" s="2">
        <f>IF(Procurement_kpi_Analysis[[#This Row],[Compliance]]="Yes",1,0)</f>
        <v>1</v>
      </c>
      <c r="T485" s="2">
        <f>IF(Procurement_kpi_Analysis[[#This Row],[Compliance]]="No",1,0)</f>
        <v>0</v>
      </c>
    </row>
    <row r="486" spans="1:20" x14ac:dyDescent="0.3">
      <c r="A486" t="s">
        <v>511</v>
      </c>
      <c r="B486" t="s">
        <v>20</v>
      </c>
      <c r="C486" s="1">
        <v>45237</v>
      </c>
      <c r="D486" s="1">
        <v>45250</v>
      </c>
      <c r="E486" t="s">
        <v>13</v>
      </c>
      <c r="F486" t="s">
        <v>18</v>
      </c>
      <c r="G486">
        <v>1866</v>
      </c>
      <c r="H486">
        <v>50.78</v>
      </c>
      <c r="I486">
        <v>48.2</v>
      </c>
      <c r="J486">
        <v>96</v>
      </c>
      <c r="K486" t="s">
        <v>15</v>
      </c>
      <c r="L486">
        <f>Procurement_kpi_Analysis[[#This Row],[Quantity]]*Procurement_kpi_Analysis[[#This Row],[Negotiated_Price]]</f>
        <v>89941.200000000012</v>
      </c>
      <c r="M486">
        <f>IF(Procurement_kpi_Analysis[[#This Row],[Delivery_Date]]="","",Procurement_kpi_Analysis[[#This Row],[Delivery_Date]]-Procurement_kpi_Analysis[[#This Row],[Order_Date]])</f>
        <v>13</v>
      </c>
      <c r="N486" s="2">
        <f>Procurement_kpi_Analysis[[#This Row],[Defective_Units]]/Procurement_kpi_Analysis[[#This Row],[Quantity]]</f>
        <v>5.1446945337620578E-2</v>
      </c>
      <c r="O486" s="2">
        <f>(Procurement_kpi_Analysis[[#This Row],[Unit_Price]]-Procurement_kpi_Analysis[[#This Row],[Negotiated_Price]])*Procurement_kpi_Analysis[[#This Row],[Quantity]]</f>
        <v>4814.279999999997</v>
      </c>
      <c r="P486" s="2">
        <f>Procurement_kpi_Analysis[[#This Row],[Total Savings]]/Procurement_kpi_Analysis[[#This Row],[Total Spend]]</f>
        <v>5.3526970954356809E-2</v>
      </c>
      <c r="Q486" s="2" t="str">
        <f>IF(Procurement_kpi_Analysis[[#This Row],[Lead Time]]&lt;=14,"On Time","Late")</f>
        <v>On Time</v>
      </c>
      <c r="R486" s="2">
        <f>Procurement_kpi_Analysis[[#This Row],[Unit_Price]]*Procurement_kpi_Analysis[[#This Row],[Quantity]]</f>
        <v>94755.48</v>
      </c>
      <c r="S486" s="2">
        <f>IF(Procurement_kpi_Analysis[[#This Row],[Compliance]]="Yes",1,0)</f>
        <v>1</v>
      </c>
      <c r="T486" s="2">
        <f>IF(Procurement_kpi_Analysis[[#This Row],[Compliance]]="No",1,0)</f>
        <v>0</v>
      </c>
    </row>
    <row r="487" spans="1:20" x14ac:dyDescent="0.3">
      <c r="A487" t="s">
        <v>512</v>
      </c>
      <c r="B487" t="s">
        <v>29</v>
      </c>
      <c r="C487" s="1">
        <v>44759</v>
      </c>
      <c r="D487" s="1">
        <v>44767</v>
      </c>
      <c r="E487" t="s">
        <v>21</v>
      </c>
      <c r="F487" t="s">
        <v>18</v>
      </c>
      <c r="G487">
        <v>1808</v>
      </c>
      <c r="H487">
        <v>72.23</v>
      </c>
      <c r="I487">
        <v>67.86</v>
      </c>
      <c r="J487">
        <v>53</v>
      </c>
      <c r="K487" t="s">
        <v>15</v>
      </c>
      <c r="L487">
        <f>Procurement_kpi_Analysis[[#This Row],[Quantity]]*Procurement_kpi_Analysis[[#This Row],[Negotiated_Price]]</f>
        <v>122690.88</v>
      </c>
      <c r="M487">
        <f>IF(Procurement_kpi_Analysis[[#This Row],[Delivery_Date]]="","",Procurement_kpi_Analysis[[#This Row],[Delivery_Date]]-Procurement_kpi_Analysis[[#This Row],[Order_Date]])</f>
        <v>8</v>
      </c>
      <c r="N487" s="2">
        <f>Procurement_kpi_Analysis[[#This Row],[Defective_Units]]/Procurement_kpi_Analysis[[#This Row],[Quantity]]</f>
        <v>2.9314159292035399E-2</v>
      </c>
      <c r="O487" s="2">
        <f>(Procurement_kpi_Analysis[[#This Row],[Unit_Price]]-Procurement_kpi_Analysis[[#This Row],[Negotiated_Price]])*Procurement_kpi_Analysis[[#This Row],[Quantity]]</f>
        <v>7900.9600000000082</v>
      </c>
      <c r="P487" s="2">
        <f>Procurement_kpi_Analysis[[#This Row],[Total Savings]]/Procurement_kpi_Analysis[[#This Row],[Total Spend]]</f>
        <v>6.4397288535219629E-2</v>
      </c>
      <c r="Q487" s="2" t="str">
        <f>IF(Procurement_kpi_Analysis[[#This Row],[Lead Time]]&lt;=14,"On Time","Late")</f>
        <v>On Time</v>
      </c>
      <c r="R487" s="2">
        <f>Procurement_kpi_Analysis[[#This Row],[Unit_Price]]*Procurement_kpi_Analysis[[#This Row],[Quantity]]</f>
        <v>130591.84000000001</v>
      </c>
      <c r="S487" s="2">
        <f>IF(Procurement_kpi_Analysis[[#This Row],[Compliance]]="Yes",1,0)</f>
        <v>1</v>
      </c>
      <c r="T487" s="2">
        <f>IF(Procurement_kpi_Analysis[[#This Row],[Compliance]]="No",1,0)</f>
        <v>0</v>
      </c>
    </row>
    <row r="488" spans="1:20" x14ac:dyDescent="0.3">
      <c r="A488" t="s">
        <v>513</v>
      </c>
      <c r="B488" t="s">
        <v>17</v>
      </c>
      <c r="C488" s="1">
        <v>44970</v>
      </c>
      <c r="D488" s="1">
        <v>44973</v>
      </c>
      <c r="E488" t="s">
        <v>39</v>
      </c>
      <c r="F488" t="s">
        <v>14</v>
      </c>
      <c r="G488">
        <v>615</v>
      </c>
      <c r="H488">
        <v>30.3</v>
      </c>
      <c r="I488">
        <v>29.52</v>
      </c>
      <c r="J488">
        <v>96</v>
      </c>
      <c r="K488" t="s">
        <v>15</v>
      </c>
      <c r="L488">
        <f>Procurement_kpi_Analysis[[#This Row],[Quantity]]*Procurement_kpi_Analysis[[#This Row],[Negotiated_Price]]</f>
        <v>18154.8</v>
      </c>
      <c r="M488">
        <f>IF(Procurement_kpi_Analysis[[#This Row],[Delivery_Date]]="","",Procurement_kpi_Analysis[[#This Row],[Delivery_Date]]-Procurement_kpi_Analysis[[#This Row],[Order_Date]])</f>
        <v>3</v>
      </c>
      <c r="N488" s="2">
        <f>Procurement_kpi_Analysis[[#This Row],[Defective_Units]]/Procurement_kpi_Analysis[[#This Row],[Quantity]]</f>
        <v>0.15609756097560976</v>
      </c>
      <c r="O488" s="2">
        <f>(Procurement_kpi_Analysis[[#This Row],[Unit_Price]]-Procurement_kpi_Analysis[[#This Row],[Negotiated_Price]])*Procurement_kpi_Analysis[[#This Row],[Quantity]]</f>
        <v>479.70000000000073</v>
      </c>
      <c r="P488" s="2">
        <f>Procurement_kpi_Analysis[[#This Row],[Total Savings]]/Procurement_kpi_Analysis[[#This Row],[Total Spend]]</f>
        <v>2.6422764227642316E-2</v>
      </c>
      <c r="Q488" s="2" t="str">
        <f>IF(Procurement_kpi_Analysis[[#This Row],[Lead Time]]&lt;=14,"On Time","Late")</f>
        <v>On Time</v>
      </c>
      <c r="R488" s="2">
        <f>Procurement_kpi_Analysis[[#This Row],[Unit_Price]]*Procurement_kpi_Analysis[[#This Row],[Quantity]]</f>
        <v>18634.5</v>
      </c>
      <c r="S488" s="2">
        <f>IF(Procurement_kpi_Analysis[[#This Row],[Compliance]]="Yes",1,0)</f>
        <v>1</v>
      </c>
      <c r="T488" s="2">
        <f>IF(Procurement_kpi_Analysis[[#This Row],[Compliance]]="No",1,0)</f>
        <v>0</v>
      </c>
    </row>
    <row r="489" spans="1:20" x14ac:dyDescent="0.3">
      <c r="A489" t="s">
        <v>514</v>
      </c>
      <c r="B489" t="s">
        <v>20</v>
      </c>
      <c r="C489" s="1">
        <v>44898</v>
      </c>
      <c r="D489" s="1">
        <v>44899</v>
      </c>
      <c r="E489" t="s">
        <v>13</v>
      </c>
      <c r="F489" t="s">
        <v>35</v>
      </c>
      <c r="G489">
        <v>619</v>
      </c>
      <c r="H489">
        <v>38.380000000000003</v>
      </c>
      <c r="I489">
        <v>35.020000000000003</v>
      </c>
      <c r="J489">
        <v>34</v>
      </c>
      <c r="K489" t="s">
        <v>15</v>
      </c>
      <c r="L489">
        <f>Procurement_kpi_Analysis[[#This Row],[Quantity]]*Procurement_kpi_Analysis[[#This Row],[Negotiated_Price]]</f>
        <v>21677.38</v>
      </c>
      <c r="M489">
        <f>IF(Procurement_kpi_Analysis[[#This Row],[Delivery_Date]]="","",Procurement_kpi_Analysis[[#This Row],[Delivery_Date]]-Procurement_kpi_Analysis[[#This Row],[Order_Date]])</f>
        <v>1</v>
      </c>
      <c r="N489" s="2">
        <f>Procurement_kpi_Analysis[[#This Row],[Defective_Units]]/Procurement_kpi_Analysis[[#This Row],[Quantity]]</f>
        <v>5.492730210016155E-2</v>
      </c>
      <c r="O489" s="2">
        <f>(Procurement_kpi_Analysis[[#This Row],[Unit_Price]]-Procurement_kpi_Analysis[[#This Row],[Negotiated_Price]])*Procurement_kpi_Analysis[[#This Row],[Quantity]]</f>
        <v>2079.8399999999997</v>
      </c>
      <c r="P489" s="2">
        <f>Procurement_kpi_Analysis[[#This Row],[Total Savings]]/Procurement_kpi_Analysis[[#This Row],[Total Spend]]</f>
        <v>9.5945174186179302E-2</v>
      </c>
      <c r="Q489" s="2" t="str">
        <f>IF(Procurement_kpi_Analysis[[#This Row],[Lead Time]]&lt;=14,"On Time","Late")</f>
        <v>On Time</v>
      </c>
      <c r="R489" s="2">
        <f>Procurement_kpi_Analysis[[#This Row],[Unit_Price]]*Procurement_kpi_Analysis[[#This Row],[Quantity]]</f>
        <v>23757.22</v>
      </c>
      <c r="S489" s="2">
        <f>IF(Procurement_kpi_Analysis[[#This Row],[Compliance]]="Yes",1,0)</f>
        <v>1</v>
      </c>
      <c r="T489" s="2">
        <f>IF(Procurement_kpi_Analysis[[#This Row],[Compliance]]="No",1,0)</f>
        <v>0</v>
      </c>
    </row>
    <row r="490" spans="1:20" x14ac:dyDescent="0.3">
      <c r="A490" t="s">
        <v>515</v>
      </c>
      <c r="B490" t="s">
        <v>17</v>
      </c>
      <c r="C490" s="1">
        <v>44847</v>
      </c>
      <c r="D490" s="1">
        <v>44851</v>
      </c>
      <c r="E490" t="s">
        <v>13</v>
      </c>
      <c r="F490" t="s">
        <v>18</v>
      </c>
      <c r="G490">
        <v>1396</v>
      </c>
      <c r="H490">
        <v>94.75</v>
      </c>
      <c r="I490">
        <v>84.06</v>
      </c>
      <c r="J490">
        <v>210</v>
      </c>
      <c r="K490" t="s">
        <v>15</v>
      </c>
      <c r="L490">
        <f>Procurement_kpi_Analysis[[#This Row],[Quantity]]*Procurement_kpi_Analysis[[#This Row],[Negotiated_Price]]</f>
        <v>117347.76000000001</v>
      </c>
      <c r="M490">
        <f>IF(Procurement_kpi_Analysis[[#This Row],[Delivery_Date]]="","",Procurement_kpi_Analysis[[#This Row],[Delivery_Date]]-Procurement_kpi_Analysis[[#This Row],[Order_Date]])</f>
        <v>4</v>
      </c>
      <c r="N490" s="2">
        <f>Procurement_kpi_Analysis[[#This Row],[Defective_Units]]/Procurement_kpi_Analysis[[#This Row],[Quantity]]</f>
        <v>0.1504297994269341</v>
      </c>
      <c r="O490" s="2">
        <f>(Procurement_kpi_Analysis[[#This Row],[Unit_Price]]-Procurement_kpi_Analysis[[#This Row],[Negotiated_Price]])*Procurement_kpi_Analysis[[#This Row],[Quantity]]</f>
        <v>14923.239999999996</v>
      </c>
      <c r="P490" s="2">
        <f>Procurement_kpi_Analysis[[#This Row],[Total Savings]]/Procurement_kpi_Analysis[[#This Row],[Total Spend]]</f>
        <v>0.1271710682845586</v>
      </c>
      <c r="Q490" s="2" t="str">
        <f>IF(Procurement_kpi_Analysis[[#This Row],[Lead Time]]&lt;=14,"On Time","Late")</f>
        <v>On Time</v>
      </c>
      <c r="R490" s="2">
        <f>Procurement_kpi_Analysis[[#This Row],[Unit_Price]]*Procurement_kpi_Analysis[[#This Row],[Quantity]]</f>
        <v>132271</v>
      </c>
      <c r="S490" s="2">
        <f>IF(Procurement_kpi_Analysis[[#This Row],[Compliance]]="Yes",1,0)</f>
        <v>1</v>
      </c>
      <c r="T490" s="2">
        <f>IF(Procurement_kpi_Analysis[[#This Row],[Compliance]]="No",1,0)</f>
        <v>0</v>
      </c>
    </row>
    <row r="491" spans="1:20" x14ac:dyDescent="0.3">
      <c r="A491" t="s">
        <v>516</v>
      </c>
      <c r="B491" t="s">
        <v>20</v>
      </c>
      <c r="C491" s="1">
        <v>44633</v>
      </c>
      <c r="D491" s="1">
        <v>44644</v>
      </c>
      <c r="E491" t="s">
        <v>21</v>
      </c>
      <c r="F491" t="s">
        <v>18</v>
      </c>
      <c r="G491">
        <v>1945</v>
      </c>
      <c r="H491">
        <v>11.28</v>
      </c>
      <c r="I491">
        <v>9.98</v>
      </c>
      <c r="J491">
        <v>94</v>
      </c>
      <c r="K491" t="s">
        <v>15</v>
      </c>
      <c r="L491">
        <f>Procurement_kpi_Analysis[[#This Row],[Quantity]]*Procurement_kpi_Analysis[[#This Row],[Negotiated_Price]]</f>
        <v>19411.100000000002</v>
      </c>
      <c r="M491">
        <f>IF(Procurement_kpi_Analysis[[#This Row],[Delivery_Date]]="","",Procurement_kpi_Analysis[[#This Row],[Delivery_Date]]-Procurement_kpi_Analysis[[#This Row],[Order_Date]])</f>
        <v>11</v>
      </c>
      <c r="N491" s="2">
        <f>Procurement_kpi_Analysis[[#This Row],[Defective_Units]]/Procurement_kpi_Analysis[[#This Row],[Quantity]]</f>
        <v>4.8329048843187658E-2</v>
      </c>
      <c r="O491" s="2">
        <f>(Procurement_kpi_Analysis[[#This Row],[Unit_Price]]-Procurement_kpi_Analysis[[#This Row],[Negotiated_Price]])*Procurement_kpi_Analysis[[#This Row],[Quantity]]</f>
        <v>2528.4999999999977</v>
      </c>
      <c r="P491" s="2">
        <f>Procurement_kpi_Analysis[[#This Row],[Total Savings]]/Procurement_kpi_Analysis[[#This Row],[Total Spend]]</f>
        <v>0.13026052104208405</v>
      </c>
      <c r="Q491" s="2" t="str">
        <f>IF(Procurement_kpi_Analysis[[#This Row],[Lead Time]]&lt;=14,"On Time","Late")</f>
        <v>On Time</v>
      </c>
      <c r="R491" s="2">
        <f>Procurement_kpi_Analysis[[#This Row],[Unit_Price]]*Procurement_kpi_Analysis[[#This Row],[Quantity]]</f>
        <v>21939.599999999999</v>
      </c>
      <c r="S491" s="2">
        <f>IF(Procurement_kpi_Analysis[[#This Row],[Compliance]]="Yes",1,0)</f>
        <v>1</v>
      </c>
      <c r="T491" s="2">
        <f>IF(Procurement_kpi_Analysis[[#This Row],[Compliance]]="No",1,0)</f>
        <v>0</v>
      </c>
    </row>
    <row r="492" spans="1:20" x14ac:dyDescent="0.3">
      <c r="A492" t="s">
        <v>517</v>
      </c>
      <c r="B492" t="s">
        <v>17</v>
      </c>
      <c r="C492" s="1">
        <v>44847</v>
      </c>
      <c r="D492" s="1">
        <v>44852</v>
      </c>
      <c r="E492" t="s">
        <v>24</v>
      </c>
      <c r="F492" t="s">
        <v>18</v>
      </c>
      <c r="G492">
        <v>735</v>
      </c>
      <c r="H492">
        <v>18.489999999999998</v>
      </c>
      <c r="I492">
        <v>15.89</v>
      </c>
      <c r="J492">
        <v>113</v>
      </c>
      <c r="K492" t="s">
        <v>27</v>
      </c>
      <c r="L492">
        <f>Procurement_kpi_Analysis[[#This Row],[Quantity]]*Procurement_kpi_Analysis[[#This Row],[Negotiated_Price]]</f>
        <v>11679.15</v>
      </c>
      <c r="M492">
        <f>IF(Procurement_kpi_Analysis[[#This Row],[Delivery_Date]]="","",Procurement_kpi_Analysis[[#This Row],[Delivery_Date]]-Procurement_kpi_Analysis[[#This Row],[Order_Date]])</f>
        <v>5</v>
      </c>
      <c r="N492" s="2">
        <f>Procurement_kpi_Analysis[[#This Row],[Defective_Units]]/Procurement_kpi_Analysis[[#This Row],[Quantity]]</f>
        <v>0.15374149659863945</v>
      </c>
      <c r="O492" s="2">
        <f>(Procurement_kpi_Analysis[[#This Row],[Unit_Price]]-Procurement_kpi_Analysis[[#This Row],[Negotiated_Price]])*Procurement_kpi_Analysis[[#This Row],[Quantity]]</f>
        <v>1910.9999999999984</v>
      </c>
      <c r="P492" s="2">
        <f>Procurement_kpi_Analysis[[#This Row],[Total Savings]]/Procurement_kpi_Analysis[[#This Row],[Total Spend]]</f>
        <v>0.16362492133417231</v>
      </c>
      <c r="Q492" s="2" t="str">
        <f>IF(Procurement_kpi_Analysis[[#This Row],[Lead Time]]&lt;=14,"On Time","Late")</f>
        <v>On Time</v>
      </c>
      <c r="R492" s="2">
        <f>Procurement_kpi_Analysis[[#This Row],[Unit_Price]]*Procurement_kpi_Analysis[[#This Row],[Quantity]]</f>
        <v>13590.15</v>
      </c>
      <c r="S492" s="2">
        <f>IF(Procurement_kpi_Analysis[[#This Row],[Compliance]]="Yes",1,0)</f>
        <v>0</v>
      </c>
      <c r="T492" s="2">
        <f>IF(Procurement_kpi_Analysis[[#This Row],[Compliance]]="No",1,0)</f>
        <v>1</v>
      </c>
    </row>
    <row r="493" spans="1:20" x14ac:dyDescent="0.3">
      <c r="A493" t="s">
        <v>518</v>
      </c>
      <c r="B493" t="s">
        <v>29</v>
      </c>
      <c r="C493" s="1">
        <v>44921</v>
      </c>
      <c r="D493" s="1">
        <v>44937</v>
      </c>
      <c r="E493" t="s">
        <v>13</v>
      </c>
      <c r="F493" t="s">
        <v>35</v>
      </c>
      <c r="G493">
        <v>1865</v>
      </c>
      <c r="H493">
        <v>30.29</v>
      </c>
      <c r="I493">
        <v>26.83</v>
      </c>
      <c r="J493">
        <v>56</v>
      </c>
      <c r="K493" t="s">
        <v>15</v>
      </c>
      <c r="L493">
        <f>Procurement_kpi_Analysis[[#This Row],[Quantity]]*Procurement_kpi_Analysis[[#This Row],[Negotiated_Price]]</f>
        <v>50037.95</v>
      </c>
      <c r="M493">
        <f>IF(Procurement_kpi_Analysis[[#This Row],[Delivery_Date]]="","",Procurement_kpi_Analysis[[#This Row],[Delivery_Date]]-Procurement_kpi_Analysis[[#This Row],[Order_Date]])</f>
        <v>16</v>
      </c>
      <c r="N493" s="2">
        <f>Procurement_kpi_Analysis[[#This Row],[Defective_Units]]/Procurement_kpi_Analysis[[#This Row],[Quantity]]</f>
        <v>3.0026809651474532E-2</v>
      </c>
      <c r="O493" s="2">
        <f>(Procurement_kpi_Analysis[[#This Row],[Unit_Price]]-Procurement_kpi_Analysis[[#This Row],[Negotiated_Price]])*Procurement_kpi_Analysis[[#This Row],[Quantity]]</f>
        <v>6452.9000000000015</v>
      </c>
      <c r="P493" s="2">
        <f>Procurement_kpi_Analysis[[#This Row],[Total Savings]]/Procurement_kpi_Analysis[[#This Row],[Total Spend]]</f>
        <v>0.12896011926947451</v>
      </c>
      <c r="Q493" s="2" t="str">
        <f>IF(Procurement_kpi_Analysis[[#This Row],[Lead Time]]&lt;=14,"On Time","Late")</f>
        <v>Late</v>
      </c>
      <c r="R493" s="2">
        <f>Procurement_kpi_Analysis[[#This Row],[Unit_Price]]*Procurement_kpi_Analysis[[#This Row],[Quantity]]</f>
        <v>56490.85</v>
      </c>
      <c r="S493" s="2">
        <f>IF(Procurement_kpi_Analysis[[#This Row],[Compliance]]="Yes",1,0)</f>
        <v>1</v>
      </c>
      <c r="T493" s="2">
        <f>IF(Procurement_kpi_Analysis[[#This Row],[Compliance]]="No",1,0)</f>
        <v>0</v>
      </c>
    </row>
    <row r="494" spans="1:20" x14ac:dyDescent="0.3">
      <c r="A494" t="s">
        <v>519</v>
      </c>
      <c r="B494" t="s">
        <v>23</v>
      </c>
      <c r="C494" s="1">
        <v>45218</v>
      </c>
      <c r="D494" s="1">
        <v>45223</v>
      </c>
      <c r="E494" t="s">
        <v>39</v>
      </c>
      <c r="F494" t="s">
        <v>14</v>
      </c>
      <c r="G494">
        <v>675</v>
      </c>
      <c r="H494">
        <v>13.69</v>
      </c>
      <c r="I494">
        <v>11.84</v>
      </c>
      <c r="J494">
        <v>52</v>
      </c>
      <c r="K494" t="s">
        <v>15</v>
      </c>
      <c r="L494">
        <f>Procurement_kpi_Analysis[[#This Row],[Quantity]]*Procurement_kpi_Analysis[[#This Row],[Negotiated_Price]]</f>
        <v>7992</v>
      </c>
      <c r="M494">
        <f>IF(Procurement_kpi_Analysis[[#This Row],[Delivery_Date]]="","",Procurement_kpi_Analysis[[#This Row],[Delivery_Date]]-Procurement_kpi_Analysis[[#This Row],[Order_Date]])</f>
        <v>5</v>
      </c>
      <c r="N494" s="2">
        <f>Procurement_kpi_Analysis[[#This Row],[Defective_Units]]/Procurement_kpi_Analysis[[#This Row],[Quantity]]</f>
        <v>7.7037037037037043E-2</v>
      </c>
      <c r="O494" s="2">
        <f>(Procurement_kpi_Analysis[[#This Row],[Unit_Price]]-Procurement_kpi_Analysis[[#This Row],[Negotiated_Price]])*Procurement_kpi_Analysis[[#This Row],[Quantity]]</f>
        <v>1248.7499999999998</v>
      </c>
      <c r="P494" s="2">
        <f>Procurement_kpi_Analysis[[#This Row],[Total Savings]]/Procurement_kpi_Analysis[[#This Row],[Total Spend]]</f>
        <v>0.15624999999999997</v>
      </c>
      <c r="Q494" s="2" t="str">
        <f>IF(Procurement_kpi_Analysis[[#This Row],[Lead Time]]&lt;=14,"On Time","Late")</f>
        <v>On Time</v>
      </c>
      <c r="R494" s="2">
        <f>Procurement_kpi_Analysis[[#This Row],[Unit_Price]]*Procurement_kpi_Analysis[[#This Row],[Quantity]]</f>
        <v>9240.75</v>
      </c>
      <c r="S494" s="2">
        <f>IF(Procurement_kpi_Analysis[[#This Row],[Compliance]]="Yes",1,0)</f>
        <v>1</v>
      </c>
      <c r="T494" s="2">
        <f>IF(Procurement_kpi_Analysis[[#This Row],[Compliance]]="No",1,0)</f>
        <v>0</v>
      </c>
    </row>
    <row r="495" spans="1:20" x14ac:dyDescent="0.3">
      <c r="A495" t="s">
        <v>520</v>
      </c>
      <c r="B495" t="s">
        <v>20</v>
      </c>
      <c r="C495" s="1">
        <v>45083</v>
      </c>
      <c r="D495" s="1">
        <v>45099</v>
      </c>
      <c r="E495" t="s">
        <v>21</v>
      </c>
      <c r="F495" t="s">
        <v>35</v>
      </c>
      <c r="G495">
        <v>1361</v>
      </c>
      <c r="H495">
        <v>28.57</v>
      </c>
      <c r="I495">
        <v>24.29</v>
      </c>
      <c r="J495">
        <v>65</v>
      </c>
      <c r="K495" t="s">
        <v>15</v>
      </c>
      <c r="L495">
        <f>Procurement_kpi_Analysis[[#This Row],[Quantity]]*Procurement_kpi_Analysis[[#This Row],[Negotiated_Price]]</f>
        <v>33058.69</v>
      </c>
      <c r="M495">
        <f>IF(Procurement_kpi_Analysis[[#This Row],[Delivery_Date]]="","",Procurement_kpi_Analysis[[#This Row],[Delivery_Date]]-Procurement_kpi_Analysis[[#This Row],[Order_Date]])</f>
        <v>16</v>
      </c>
      <c r="N495" s="2">
        <f>Procurement_kpi_Analysis[[#This Row],[Defective_Units]]/Procurement_kpi_Analysis[[#This Row],[Quantity]]</f>
        <v>4.7759000734753858E-2</v>
      </c>
      <c r="O495" s="2">
        <f>(Procurement_kpi_Analysis[[#This Row],[Unit_Price]]-Procurement_kpi_Analysis[[#This Row],[Negotiated_Price]])*Procurement_kpi_Analysis[[#This Row],[Quantity]]</f>
        <v>5825.0800000000017</v>
      </c>
      <c r="P495" s="2">
        <f>Procurement_kpi_Analysis[[#This Row],[Total Savings]]/Procurement_kpi_Analysis[[#This Row],[Total Spend]]</f>
        <v>0.17620419925895434</v>
      </c>
      <c r="Q495" s="2" t="str">
        <f>IF(Procurement_kpi_Analysis[[#This Row],[Lead Time]]&lt;=14,"On Time","Late")</f>
        <v>Late</v>
      </c>
      <c r="R495" s="2">
        <f>Procurement_kpi_Analysis[[#This Row],[Unit_Price]]*Procurement_kpi_Analysis[[#This Row],[Quantity]]</f>
        <v>38883.769999999997</v>
      </c>
      <c r="S495" s="2">
        <f>IF(Procurement_kpi_Analysis[[#This Row],[Compliance]]="Yes",1,0)</f>
        <v>1</v>
      </c>
      <c r="T495" s="2">
        <f>IF(Procurement_kpi_Analysis[[#This Row],[Compliance]]="No",1,0)</f>
        <v>0</v>
      </c>
    </row>
    <row r="496" spans="1:20" x14ac:dyDescent="0.3">
      <c r="A496" t="s">
        <v>521</v>
      </c>
      <c r="B496" t="s">
        <v>20</v>
      </c>
      <c r="C496" s="1">
        <v>44971</v>
      </c>
      <c r="D496" s="1">
        <v>44972</v>
      </c>
      <c r="E496" t="s">
        <v>26</v>
      </c>
      <c r="F496" t="s">
        <v>18</v>
      </c>
      <c r="G496">
        <v>903</v>
      </c>
      <c r="H496">
        <v>66.53</v>
      </c>
      <c r="I496">
        <v>60.15</v>
      </c>
      <c r="J496">
        <v>29</v>
      </c>
      <c r="K496" t="s">
        <v>15</v>
      </c>
      <c r="L496">
        <f>Procurement_kpi_Analysis[[#This Row],[Quantity]]*Procurement_kpi_Analysis[[#This Row],[Negotiated_Price]]</f>
        <v>54315.45</v>
      </c>
      <c r="M496">
        <f>IF(Procurement_kpi_Analysis[[#This Row],[Delivery_Date]]="","",Procurement_kpi_Analysis[[#This Row],[Delivery_Date]]-Procurement_kpi_Analysis[[#This Row],[Order_Date]])</f>
        <v>1</v>
      </c>
      <c r="N496" s="2">
        <f>Procurement_kpi_Analysis[[#This Row],[Defective_Units]]/Procurement_kpi_Analysis[[#This Row],[Quantity]]</f>
        <v>3.2115171650055369E-2</v>
      </c>
      <c r="O496" s="2">
        <f>(Procurement_kpi_Analysis[[#This Row],[Unit_Price]]-Procurement_kpi_Analysis[[#This Row],[Negotiated_Price]])*Procurement_kpi_Analysis[[#This Row],[Quantity]]</f>
        <v>5761.1400000000021</v>
      </c>
      <c r="P496" s="2">
        <f>Procurement_kpi_Analysis[[#This Row],[Total Savings]]/Procurement_kpi_Analysis[[#This Row],[Total Spend]]</f>
        <v>0.10606816292601834</v>
      </c>
      <c r="Q496" s="2" t="str">
        <f>IF(Procurement_kpi_Analysis[[#This Row],[Lead Time]]&lt;=14,"On Time","Late")</f>
        <v>On Time</v>
      </c>
      <c r="R496" s="2">
        <f>Procurement_kpi_Analysis[[#This Row],[Unit_Price]]*Procurement_kpi_Analysis[[#This Row],[Quantity]]</f>
        <v>60076.590000000004</v>
      </c>
      <c r="S496" s="2">
        <f>IF(Procurement_kpi_Analysis[[#This Row],[Compliance]]="Yes",1,0)</f>
        <v>1</v>
      </c>
      <c r="T496" s="2">
        <f>IF(Procurement_kpi_Analysis[[#This Row],[Compliance]]="No",1,0)</f>
        <v>0</v>
      </c>
    </row>
    <row r="497" spans="1:20" x14ac:dyDescent="0.3">
      <c r="A497" t="s">
        <v>522</v>
      </c>
      <c r="B497" t="s">
        <v>29</v>
      </c>
      <c r="C497" s="1">
        <v>45257</v>
      </c>
      <c r="D497" s="1"/>
      <c r="E497" t="s">
        <v>24</v>
      </c>
      <c r="F497" t="s">
        <v>14</v>
      </c>
      <c r="G497">
        <v>1736</v>
      </c>
      <c r="H497">
        <v>53.2</v>
      </c>
      <c r="I497">
        <v>50.68</v>
      </c>
      <c r="J497">
        <v>48</v>
      </c>
      <c r="K497" t="s">
        <v>15</v>
      </c>
      <c r="L497">
        <f>Procurement_kpi_Analysis[[#This Row],[Quantity]]*Procurement_kpi_Analysis[[#This Row],[Negotiated_Price]]</f>
        <v>87980.479999999996</v>
      </c>
      <c r="M497" t="str">
        <f>IF(Procurement_kpi_Analysis[[#This Row],[Delivery_Date]]="","",Procurement_kpi_Analysis[[#This Row],[Delivery_Date]]-Procurement_kpi_Analysis[[#This Row],[Order_Date]])</f>
        <v/>
      </c>
      <c r="N497" s="2">
        <f>Procurement_kpi_Analysis[[#This Row],[Defective_Units]]/Procurement_kpi_Analysis[[#This Row],[Quantity]]</f>
        <v>2.7649769585253458E-2</v>
      </c>
      <c r="O497" s="2">
        <f>(Procurement_kpi_Analysis[[#This Row],[Unit_Price]]-Procurement_kpi_Analysis[[#This Row],[Negotiated_Price]])*Procurement_kpi_Analysis[[#This Row],[Quantity]]</f>
        <v>4374.7200000000057</v>
      </c>
      <c r="P497" s="2">
        <f>Procurement_kpi_Analysis[[#This Row],[Total Savings]]/Procurement_kpi_Analysis[[#This Row],[Total Spend]]</f>
        <v>4.9723756906077415E-2</v>
      </c>
      <c r="Q497" s="2" t="str">
        <f>IF(Procurement_kpi_Analysis[[#This Row],[Lead Time]]&lt;=14,"On Time","Late")</f>
        <v>Late</v>
      </c>
      <c r="R497" s="2">
        <f>Procurement_kpi_Analysis[[#This Row],[Unit_Price]]*Procurement_kpi_Analysis[[#This Row],[Quantity]]</f>
        <v>92355.200000000012</v>
      </c>
      <c r="S497" s="2">
        <f>IF(Procurement_kpi_Analysis[[#This Row],[Compliance]]="Yes",1,0)</f>
        <v>1</v>
      </c>
      <c r="T497" s="2">
        <f>IF(Procurement_kpi_Analysis[[#This Row],[Compliance]]="No",1,0)</f>
        <v>0</v>
      </c>
    </row>
    <row r="498" spans="1:20" x14ac:dyDescent="0.3">
      <c r="A498" t="s">
        <v>523</v>
      </c>
      <c r="B498" t="s">
        <v>23</v>
      </c>
      <c r="C498" s="1">
        <v>45111</v>
      </c>
      <c r="D498" s="1">
        <v>45118</v>
      </c>
      <c r="E498" t="s">
        <v>21</v>
      </c>
      <c r="F498" t="s">
        <v>18</v>
      </c>
      <c r="G498">
        <v>1011</v>
      </c>
      <c r="H498">
        <v>98.47</v>
      </c>
      <c r="I498">
        <v>97.06</v>
      </c>
      <c r="J498">
        <v>91</v>
      </c>
      <c r="K498" t="s">
        <v>15</v>
      </c>
      <c r="L498">
        <f>Procurement_kpi_Analysis[[#This Row],[Quantity]]*Procurement_kpi_Analysis[[#This Row],[Negotiated_Price]]</f>
        <v>98127.66</v>
      </c>
      <c r="M498">
        <f>IF(Procurement_kpi_Analysis[[#This Row],[Delivery_Date]]="","",Procurement_kpi_Analysis[[#This Row],[Delivery_Date]]-Procurement_kpi_Analysis[[#This Row],[Order_Date]])</f>
        <v>7</v>
      </c>
      <c r="N498" s="2">
        <f>Procurement_kpi_Analysis[[#This Row],[Defective_Units]]/Procurement_kpi_Analysis[[#This Row],[Quantity]]</f>
        <v>9.0009891196834821E-2</v>
      </c>
      <c r="O498" s="2">
        <f>(Procurement_kpi_Analysis[[#This Row],[Unit_Price]]-Procurement_kpi_Analysis[[#This Row],[Negotiated_Price]])*Procurement_kpi_Analysis[[#This Row],[Quantity]]</f>
        <v>1425.5099999999966</v>
      </c>
      <c r="P498" s="2">
        <f>Procurement_kpi_Analysis[[#This Row],[Total Savings]]/Procurement_kpi_Analysis[[#This Row],[Total Spend]]</f>
        <v>1.4527096641252797E-2</v>
      </c>
      <c r="Q498" s="2" t="str">
        <f>IF(Procurement_kpi_Analysis[[#This Row],[Lead Time]]&lt;=14,"On Time","Late")</f>
        <v>On Time</v>
      </c>
      <c r="R498" s="2">
        <f>Procurement_kpi_Analysis[[#This Row],[Unit_Price]]*Procurement_kpi_Analysis[[#This Row],[Quantity]]</f>
        <v>99553.17</v>
      </c>
      <c r="S498" s="2">
        <f>IF(Procurement_kpi_Analysis[[#This Row],[Compliance]]="Yes",1,0)</f>
        <v>1</v>
      </c>
      <c r="T498" s="2">
        <f>IF(Procurement_kpi_Analysis[[#This Row],[Compliance]]="No",1,0)</f>
        <v>0</v>
      </c>
    </row>
    <row r="499" spans="1:20" x14ac:dyDescent="0.3">
      <c r="A499" t="s">
        <v>524</v>
      </c>
      <c r="B499" t="s">
        <v>17</v>
      </c>
      <c r="C499" s="1">
        <v>44901</v>
      </c>
      <c r="D499" s="1">
        <v>44919</v>
      </c>
      <c r="E499" t="s">
        <v>39</v>
      </c>
      <c r="F499" t="s">
        <v>18</v>
      </c>
      <c r="G499">
        <v>1712</v>
      </c>
      <c r="H499">
        <v>88.17</v>
      </c>
      <c r="I499">
        <v>85.86</v>
      </c>
      <c r="J499">
        <v>246</v>
      </c>
      <c r="K499" t="s">
        <v>15</v>
      </c>
      <c r="L499">
        <f>Procurement_kpi_Analysis[[#This Row],[Quantity]]*Procurement_kpi_Analysis[[#This Row],[Negotiated_Price]]</f>
        <v>146992.32000000001</v>
      </c>
      <c r="M499">
        <f>IF(Procurement_kpi_Analysis[[#This Row],[Delivery_Date]]="","",Procurement_kpi_Analysis[[#This Row],[Delivery_Date]]-Procurement_kpi_Analysis[[#This Row],[Order_Date]])</f>
        <v>18</v>
      </c>
      <c r="N499" s="2">
        <f>Procurement_kpi_Analysis[[#This Row],[Defective_Units]]/Procurement_kpi_Analysis[[#This Row],[Quantity]]</f>
        <v>0.14369158878504673</v>
      </c>
      <c r="O499" s="2">
        <f>(Procurement_kpi_Analysis[[#This Row],[Unit_Price]]-Procurement_kpi_Analysis[[#This Row],[Negotiated_Price]])*Procurement_kpi_Analysis[[#This Row],[Quantity]]</f>
        <v>3954.7200000000039</v>
      </c>
      <c r="P499" s="2">
        <f>Procurement_kpi_Analysis[[#This Row],[Total Savings]]/Procurement_kpi_Analysis[[#This Row],[Total Spend]]</f>
        <v>2.6904262753319381E-2</v>
      </c>
      <c r="Q499" s="2" t="str">
        <f>IF(Procurement_kpi_Analysis[[#This Row],[Lead Time]]&lt;=14,"On Time","Late")</f>
        <v>Late</v>
      </c>
      <c r="R499" s="2">
        <f>Procurement_kpi_Analysis[[#This Row],[Unit_Price]]*Procurement_kpi_Analysis[[#This Row],[Quantity]]</f>
        <v>150947.04</v>
      </c>
      <c r="S499" s="2">
        <f>IF(Procurement_kpi_Analysis[[#This Row],[Compliance]]="Yes",1,0)</f>
        <v>1</v>
      </c>
      <c r="T499" s="2">
        <f>IF(Procurement_kpi_Analysis[[#This Row],[Compliance]]="No",1,0)</f>
        <v>0</v>
      </c>
    </row>
    <row r="500" spans="1:20" x14ac:dyDescent="0.3">
      <c r="A500" t="s">
        <v>525</v>
      </c>
      <c r="B500" t="s">
        <v>20</v>
      </c>
      <c r="C500" s="1">
        <v>44590</v>
      </c>
      <c r="D500" s="1"/>
      <c r="E500" t="s">
        <v>13</v>
      </c>
      <c r="F500" t="s">
        <v>18</v>
      </c>
      <c r="G500">
        <v>204</v>
      </c>
      <c r="H500">
        <v>40.76</v>
      </c>
      <c r="I500">
        <v>37.46</v>
      </c>
      <c r="J500">
        <v>10</v>
      </c>
      <c r="K500" t="s">
        <v>15</v>
      </c>
      <c r="L500">
        <f>Procurement_kpi_Analysis[[#This Row],[Quantity]]*Procurement_kpi_Analysis[[#This Row],[Negotiated_Price]]</f>
        <v>7641.84</v>
      </c>
      <c r="M500" t="str">
        <f>IF(Procurement_kpi_Analysis[[#This Row],[Delivery_Date]]="","",Procurement_kpi_Analysis[[#This Row],[Delivery_Date]]-Procurement_kpi_Analysis[[#This Row],[Order_Date]])</f>
        <v/>
      </c>
      <c r="N500" s="2">
        <f>Procurement_kpi_Analysis[[#This Row],[Defective_Units]]/Procurement_kpi_Analysis[[#This Row],[Quantity]]</f>
        <v>4.9019607843137254E-2</v>
      </c>
      <c r="O500" s="2">
        <f>(Procurement_kpi_Analysis[[#This Row],[Unit_Price]]-Procurement_kpi_Analysis[[#This Row],[Negotiated_Price]])*Procurement_kpi_Analysis[[#This Row],[Quantity]]</f>
        <v>673.19999999999936</v>
      </c>
      <c r="P500" s="2">
        <f>Procurement_kpi_Analysis[[#This Row],[Total Savings]]/Procurement_kpi_Analysis[[#This Row],[Total Spend]]</f>
        <v>8.809396689802447E-2</v>
      </c>
      <c r="Q500" s="2" t="str">
        <f>IF(Procurement_kpi_Analysis[[#This Row],[Lead Time]]&lt;=14,"On Time","Late")</f>
        <v>Late</v>
      </c>
      <c r="R500" s="2">
        <f>Procurement_kpi_Analysis[[#This Row],[Unit_Price]]*Procurement_kpi_Analysis[[#This Row],[Quantity]]</f>
        <v>8315.0399999999991</v>
      </c>
      <c r="S500" s="2">
        <f>IF(Procurement_kpi_Analysis[[#This Row],[Compliance]]="Yes",1,0)</f>
        <v>1</v>
      </c>
      <c r="T500" s="2">
        <f>IF(Procurement_kpi_Analysis[[#This Row],[Compliance]]="No",1,0)</f>
        <v>0</v>
      </c>
    </row>
    <row r="501" spans="1:20" x14ac:dyDescent="0.3">
      <c r="A501" t="s">
        <v>526</v>
      </c>
      <c r="B501" t="s">
        <v>23</v>
      </c>
      <c r="C501" s="1">
        <v>44680</v>
      </c>
      <c r="D501" s="1">
        <v>44694</v>
      </c>
      <c r="E501" t="s">
        <v>39</v>
      </c>
      <c r="F501" t="s">
        <v>33</v>
      </c>
      <c r="G501">
        <v>539</v>
      </c>
      <c r="H501">
        <v>33.85</v>
      </c>
      <c r="I501">
        <v>30.57</v>
      </c>
      <c r="J501">
        <v>34</v>
      </c>
      <c r="K501" t="s">
        <v>27</v>
      </c>
      <c r="L501">
        <f>Procurement_kpi_Analysis[[#This Row],[Quantity]]*Procurement_kpi_Analysis[[#This Row],[Negotiated_Price]]</f>
        <v>16477.23</v>
      </c>
      <c r="M501">
        <f>IF(Procurement_kpi_Analysis[[#This Row],[Delivery_Date]]="","",Procurement_kpi_Analysis[[#This Row],[Delivery_Date]]-Procurement_kpi_Analysis[[#This Row],[Order_Date]])</f>
        <v>14</v>
      </c>
      <c r="N501" s="2">
        <f>Procurement_kpi_Analysis[[#This Row],[Defective_Units]]/Procurement_kpi_Analysis[[#This Row],[Quantity]]</f>
        <v>6.3079777365491654E-2</v>
      </c>
      <c r="O501" s="2">
        <f>(Procurement_kpi_Analysis[[#This Row],[Unit_Price]]-Procurement_kpi_Analysis[[#This Row],[Negotiated_Price]])*Procurement_kpi_Analysis[[#This Row],[Quantity]]</f>
        <v>1767.9200000000005</v>
      </c>
      <c r="P501" s="2">
        <f>Procurement_kpi_Analysis[[#This Row],[Total Savings]]/Procurement_kpi_Analysis[[#This Row],[Total Spend]]</f>
        <v>0.10729473339875699</v>
      </c>
      <c r="Q501" s="2" t="str">
        <f>IF(Procurement_kpi_Analysis[[#This Row],[Lead Time]]&lt;=14,"On Time","Late")</f>
        <v>On Time</v>
      </c>
      <c r="R501" s="2">
        <f>Procurement_kpi_Analysis[[#This Row],[Unit_Price]]*Procurement_kpi_Analysis[[#This Row],[Quantity]]</f>
        <v>18245.150000000001</v>
      </c>
      <c r="S501" s="2">
        <f>IF(Procurement_kpi_Analysis[[#This Row],[Compliance]]="Yes",1,0)</f>
        <v>0</v>
      </c>
      <c r="T501" s="2">
        <f>IF(Procurement_kpi_Analysis[[#This Row],[Compliance]]="No",1,0)</f>
        <v>1</v>
      </c>
    </row>
    <row r="502" spans="1:20" x14ac:dyDescent="0.3">
      <c r="A502" t="s">
        <v>527</v>
      </c>
      <c r="B502" t="s">
        <v>17</v>
      </c>
      <c r="C502" s="1">
        <v>44829</v>
      </c>
      <c r="D502" s="1">
        <v>44839</v>
      </c>
      <c r="E502" t="s">
        <v>13</v>
      </c>
      <c r="F502" t="s">
        <v>18</v>
      </c>
      <c r="G502">
        <v>1459</v>
      </c>
      <c r="H502">
        <v>45.94</v>
      </c>
      <c r="I502">
        <v>42.56</v>
      </c>
      <c r="J502">
        <v>212</v>
      </c>
      <c r="K502" t="s">
        <v>27</v>
      </c>
      <c r="L502">
        <f>Procurement_kpi_Analysis[[#This Row],[Quantity]]*Procurement_kpi_Analysis[[#This Row],[Negotiated_Price]]</f>
        <v>62095.040000000001</v>
      </c>
      <c r="M502">
        <f>IF(Procurement_kpi_Analysis[[#This Row],[Delivery_Date]]="","",Procurement_kpi_Analysis[[#This Row],[Delivery_Date]]-Procurement_kpi_Analysis[[#This Row],[Order_Date]])</f>
        <v>10</v>
      </c>
      <c r="N502" s="2">
        <f>Procurement_kpi_Analysis[[#This Row],[Defective_Units]]/Procurement_kpi_Analysis[[#This Row],[Quantity]]</f>
        <v>0.14530500342700481</v>
      </c>
      <c r="O502" s="2">
        <f>(Procurement_kpi_Analysis[[#This Row],[Unit_Price]]-Procurement_kpi_Analysis[[#This Row],[Negotiated_Price]])*Procurement_kpi_Analysis[[#This Row],[Quantity]]</f>
        <v>4931.4199999999937</v>
      </c>
      <c r="P502" s="2">
        <f>Procurement_kpi_Analysis[[#This Row],[Total Savings]]/Procurement_kpi_Analysis[[#This Row],[Total Spend]]</f>
        <v>7.9417293233082609E-2</v>
      </c>
      <c r="Q502" s="2" t="str">
        <f>IF(Procurement_kpi_Analysis[[#This Row],[Lead Time]]&lt;=14,"On Time","Late")</f>
        <v>On Time</v>
      </c>
      <c r="R502" s="2">
        <f>Procurement_kpi_Analysis[[#This Row],[Unit_Price]]*Procurement_kpi_Analysis[[#This Row],[Quantity]]</f>
        <v>67026.459999999992</v>
      </c>
      <c r="S502" s="2">
        <f>IF(Procurement_kpi_Analysis[[#This Row],[Compliance]]="Yes",1,0)</f>
        <v>0</v>
      </c>
      <c r="T502" s="2">
        <f>IF(Procurement_kpi_Analysis[[#This Row],[Compliance]]="No",1,0)</f>
        <v>1</v>
      </c>
    </row>
    <row r="503" spans="1:20" x14ac:dyDescent="0.3">
      <c r="A503" t="s">
        <v>528</v>
      </c>
      <c r="B503" t="s">
        <v>20</v>
      </c>
      <c r="C503" s="1">
        <v>44744</v>
      </c>
      <c r="D503" s="1">
        <v>44748</v>
      </c>
      <c r="E503" t="s">
        <v>21</v>
      </c>
      <c r="F503" t="s">
        <v>18</v>
      </c>
      <c r="G503">
        <v>834</v>
      </c>
      <c r="H503">
        <v>65.02</v>
      </c>
      <c r="I503">
        <v>56.19</v>
      </c>
      <c r="J503">
        <v>0</v>
      </c>
      <c r="K503" t="s">
        <v>15</v>
      </c>
      <c r="L503">
        <f>Procurement_kpi_Analysis[[#This Row],[Quantity]]*Procurement_kpi_Analysis[[#This Row],[Negotiated_Price]]</f>
        <v>46862.46</v>
      </c>
      <c r="M503">
        <f>IF(Procurement_kpi_Analysis[[#This Row],[Delivery_Date]]="","",Procurement_kpi_Analysis[[#This Row],[Delivery_Date]]-Procurement_kpi_Analysis[[#This Row],[Order_Date]])</f>
        <v>4</v>
      </c>
      <c r="N503" s="2">
        <f>Procurement_kpi_Analysis[[#This Row],[Defective_Units]]/Procurement_kpi_Analysis[[#This Row],[Quantity]]</f>
        <v>0</v>
      </c>
      <c r="O503" s="2">
        <f>(Procurement_kpi_Analysis[[#This Row],[Unit_Price]]-Procurement_kpi_Analysis[[#This Row],[Negotiated_Price]])*Procurement_kpi_Analysis[[#This Row],[Quantity]]</f>
        <v>7364.2199999999984</v>
      </c>
      <c r="P503" s="2">
        <f>Procurement_kpi_Analysis[[#This Row],[Total Savings]]/Procurement_kpi_Analysis[[#This Row],[Total Spend]]</f>
        <v>0.15714539953728418</v>
      </c>
      <c r="Q503" s="2" t="str">
        <f>IF(Procurement_kpi_Analysis[[#This Row],[Lead Time]]&lt;=14,"On Time","Late")</f>
        <v>On Time</v>
      </c>
      <c r="R503" s="2">
        <f>Procurement_kpi_Analysis[[#This Row],[Unit_Price]]*Procurement_kpi_Analysis[[#This Row],[Quantity]]</f>
        <v>54226.68</v>
      </c>
      <c r="S503" s="2">
        <f>IF(Procurement_kpi_Analysis[[#This Row],[Compliance]]="Yes",1,0)</f>
        <v>1</v>
      </c>
      <c r="T503" s="2">
        <f>IF(Procurement_kpi_Analysis[[#This Row],[Compliance]]="No",1,0)</f>
        <v>0</v>
      </c>
    </row>
    <row r="504" spans="1:20" x14ac:dyDescent="0.3">
      <c r="A504" t="s">
        <v>529</v>
      </c>
      <c r="B504" t="s">
        <v>20</v>
      </c>
      <c r="C504" s="1">
        <v>45156</v>
      </c>
      <c r="D504" s="1">
        <v>45170</v>
      </c>
      <c r="E504" t="s">
        <v>24</v>
      </c>
      <c r="F504" t="s">
        <v>33</v>
      </c>
      <c r="G504">
        <v>1177</v>
      </c>
      <c r="H504">
        <v>37.369999999999997</v>
      </c>
      <c r="I504">
        <v>34.270000000000003</v>
      </c>
      <c r="J504">
        <v>60</v>
      </c>
      <c r="K504" t="s">
        <v>15</v>
      </c>
      <c r="L504">
        <f>Procurement_kpi_Analysis[[#This Row],[Quantity]]*Procurement_kpi_Analysis[[#This Row],[Negotiated_Price]]</f>
        <v>40335.79</v>
      </c>
      <c r="M504">
        <f>IF(Procurement_kpi_Analysis[[#This Row],[Delivery_Date]]="","",Procurement_kpi_Analysis[[#This Row],[Delivery_Date]]-Procurement_kpi_Analysis[[#This Row],[Order_Date]])</f>
        <v>14</v>
      </c>
      <c r="N504" s="2">
        <f>Procurement_kpi_Analysis[[#This Row],[Defective_Units]]/Procurement_kpi_Analysis[[#This Row],[Quantity]]</f>
        <v>5.0977060322854713E-2</v>
      </c>
      <c r="O504" s="2">
        <f>(Procurement_kpi_Analysis[[#This Row],[Unit_Price]]-Procurement_kpi_Analysis[[#This Row],[Negotiated_Price]])*Procurement_kpi_Analysis[[#This Row],[Quantity]]</f>
        <v>3648.6999999999935</v>
      </c>
      <c r="P504" s="2">
        <f>Procurement_kpi_Analysis[[#This Row],[Total Savings]]/Procurement_kpi_Analysis[[#This Row],[Total Spend]]</f>
        <v>9.0458126641377132E-2</v>
      </c>
      <c r="Q504" s="2" t="str">
        <f>IF(Procurement_kpi_Analysis[[#This Row],[Lead Time]]&lt;=14,"On Time","Late")</f>
        <v>On Time</v>
      </c>
      <c r="R504" s="2">
        <f>Procurement_kpi_Analysis[[#This Row],[Unit_Price]]*Procurement_kpi_Analysis[[#This Row],[Quantity]]</f>
        <v>43984.49</v>
      </c>
      <c r="S504" s="2">
        <f>IF(Procurement_kpi_Analysis[[#This Row],[Compliance]]="Yes",1,0)</f>
        <v>1</v>
      </c>
      <c r="T504" s="2">
        <f>IF(Procurement_kpi_Analysis[[#This Row],[Compliance]]="No",1,0)</f>
        <v>0</v>
      </c>
    </row>
    <row r="505" spans="1:20" x14ac:dyDescent="0.3">
      <c r="A505" t="s">
        <v>530</v>
      </c>
      <c r="B505" t="s">
        <v>17</v>
      </c>
      <c r="C505" s="1">
        <v>44833</v>
      </c>
      <c r="D505" s="1">
        <v>44853</v>
      </c>
      <c r="E505" t="s">
        <v>21</v>
      </c>
      <c r="F505" t="s">
        <v>18</v>
      </c>
      <c r="G505">
        <v>1466</v>
      </c>
      <c r="H505">
        <v>68.819999999999993</v>
      </c>
      <c r="I505">
        <v>66.819999999999993</v>
      </c>
      <c r="J505">
        <v>211</v>
      </c>
      <c r="K505" t="s">
        <v>15</v>
      </c>
      <c r="L505">
        <f>Procurement_kpi_Analysis[[#This Row],[Quantity]]*Procurement_kpi_Analysis[[#This Row],[Negotiated_Price]]</f>
        <v>97958.12</v>
      </c>
      <c r="M505">
        <f>IF(Procurement_kpi_Analysis[[#This Row],[Delivery_Date]]="","",Procurement_kpi_Analysis[[#This Row],[Delivery_Date]]-Procurement_kpi_Analysis[[#This Row],[Order_Date]])</f>
        <v>20</v>
      </c>
      <c r="N505" s="2">
        <f>Procurement_kpi_Analysis[[#This Row],[Defective_Units]]/Procurement_kpi_Analysis[[#This Row],[Quantity]]</f>
        <v>0.14392905866302866</v>
      </c>
      <c r="O505" s="2">
        <f>(Procurement_kpi_Analysis[[#This Row],[Unit_Price]]-Procurement_kpi_Analysis[[#This Row],[Negotiated_Price]])*Procurement_kpi_Analysis[[#This Row],[Quantity]]</f>
        <v>2932</v>
      </c>
      <c r="P505" s="2">
        <f>Procurement_kpi_Analysis[[#This Row],[Total Savings]]/Procurement_kpi_Analysis[[#This Row],[Total Spend]]</f>
        <v>2.9931158335827598E-2</v>
      </c>
      <c r="Q505" s="2" t="str">
        <f>IF(Procurement_kpi_Analysis[[#This Row],[Lead Time]]&lt;=14,"On Time","Late")</f>
        <v>Late</v>
      </c>
      <c r="R505" s="2">
        <f>Procurement_kpi_Analysis[[#This Row],[Unit_Price]]*Procurement_kpi_Analysis[[#This Row],[Quantity]]</f>
        <v>100890.12</v>
      </c>
      <c r="S505" s="2">
        <f>IF(Procurement_kpi_Analysis[[#This Row],[Compliance]]="Yes",1,0)</f>
        <v>1</v>
      </c>
      <c r="T505" s="2">
        <f>IF(Procurement_kpi_Analysis[[#This Row],[Compliance]]="No",1,0)</f>
        <v>0</v>
      </c>
    </row>
    <row r="506" spans="1:20" x14ac:dyDescent="0.3">
      <c r="A506" t="s">
        <v>531</v>
      </c>
      <c r="B506" t="s">
        <v>29</v>
      </c>
      <c r="C506" s="1">
        <v>44601</v>
      </c>
      <c r="D506" s="1">
        <v>44605</v>
      </c>
      <c r="E506" t="s">
        <v>39</v>
      </c>
      <c r="F506" t="s">
        <v>18</v>
      </c>
      <c r="G506">
        <v>1884</v>
      </c>
      <c r="H506">
        <v>47.08</v>
      </c>
      <c r="I506">
        <v>44.31</v>
      </c>
      <c r="J506">
        <v>54</v>
      </c>
      <c r="K506" t="s">
        <v>15</v>
      </c>
      <c r="L506">
        <f>Procurement_kpi_Analysis[[#This Row],[Quantity]]*Procurement_kpi_Analysis[[#This Row],[Negotiated_Price]]</f>
        <v>83480.040000000008</v>
      </c>
      <c r="M506">
        <f>IF(Procurement_kpi_Analysis[[#This Row],[Delivery_Date]]="","",Procurement_kpi_Analysis[[#This Row],[Delivery_Date]]-Procurement_kpi_Analysis[[#This Row],[Order_Date]])</f>
        <v>4</v>
      </c>
      <c r="N506" s="2">
        <f>Procurement_kpi_Analysis[[#This Row],[Defective_Units]]/Procurement_kpi_Analysis[[#This Row],[Quantity]]</f>
        <v>2.8662420382165606E-2</v>
      </c>
      <c r="O506" s="2">
        <f>(Procurement_kpi_Analysis[[#This Row],[Unit_Price]]-Procurement_kpi_Analysis[[#This Row],[Negotiated_Price]])*Procurement_kpi_Analysis[[#This Row],[Quantity]]</f>
        <v>5218.6799999999921</v>
      </c>
      <c r="P506" s="2">
        <f>Procurement_kpi_Analysis[[#This Row],[Total Savings]]/Procurement_kpi_Analysis[[#This Row],[Total Spend]]</f>
        <v>6.2514105168133507E-2</v>
      </c>
      <c r="Q506" s="2" t="str">
        <f>IF(Procurement_kpi_Analysis[[#This Row],[Lead Time]]&lt;=14,"On Time","Late")</f>
        <v>On Time</v>
      </c>
      <c r="R506" s="2">
        <f>Procurement_kpi_Analysis[[#This Row],[Unit_Price]]*Procurement_kpi_Analysis[[#This Row],[Quantity]]</f>
        <v>88698.72</v>
      </c>
      <c r="S506" s="2">
        <f>IF(Procurement_kpi_Analysis[[#This Row],[Compliance]]="Yes",1,0)</f>
        <v>1</v>
      </c>
      <c r="T506" s="2">
        <f>IF(Procurement_kpi_Analysis[[#This Row],[Compliance]]="No",1,0)</f>
        <v>0</v>
      </c>
    </row>
    <row r="507" spans="1:20" x14ac:dyDescent="0.3">
      <c r="A507" t="s">
        <v>532</v>
      </c>
      <c r="B507" t="s">
        <v>23</v>
      </c>
      <c r="C507" s="1">
        <v>44673</v>
      </c>
      <c r="D507" s="1">
        <v>44689</v>
      </c>
      <c r="E507" t="s">
        <v>39</v>
      </c>
      <c r="F507" t="s">
        <v>18</v>
      </c>
      <c r="G507">
        <v>295</v>
      </c>
      <c r="H507">
        <v>60.58</v>
      </c>
      <c r="I507">
        <v>57.32</v>
      </c>
      <c r="J507">
        <v>31</v>
      </c>
      <c r="K507" t="s">
        <v>15</v>
      </c>
      <c r="L507">
        <f>Procurement_kpi_Analysis[[#This Row],[Quantity]]*Procurement_kpi_Analysis[[#This Row],[Negotiated_Price]]</f>
        <v>16909.400000000001</v>
      </c>
      <c r="M507">
        <f>IF(Procurement_kpi_Analysis[[#This Row],[Delivery_Date]]="","",Procurement_kpi_Analysis[[#This Row],[Delivery_Date]]-Procurement_kpi_Analysis[[#This Row],[Order_Date]])</f>
        <v>16</v>
      </c>
      <c r="N507" s="2">
        <f>Procurement_kpi_Analysis[[#This Row],[Defective_Units]]/Procurement_kpi_Analysis[[#This Row],[Quantity]]</f>
        <v>0.10508474576271186</v>
      </c>
      <c r="O507" s="2">
        <f>(Procurement_kpi_Analysis[[#This Row],[Unit_Price]]-Procurement_kpi_Analysis[[#This Row],[Negotiated_Price]])*Procurement_kpi_Analysis[[#This Row],[Quantity]]</f>
        <v>961.69999999999936</v>
      </c>
      <c r="P507" s="2">
        <f>Procurement_kpi_Analysis[[#This Row],[Total Savings]]/Procurement_kpi_Analysis[[#This Row],[Total Spend]]</f>
        <v>5.6873691556175811E-2</v>
      </c>
      <c r="Q507" s="2" t="str">
        <f>IF(Procurement_kpi_Analysis[[#This Row],[Lead Time]]&lt;=14,"On Time","Late")</f>
        <v>Late</v>
      </c>
      <c r="R507" s="2">
        <f>Procurement_kpi_Analysis[[#This Row],[Unit_Price]]*Procurement_kpi_Analysis[[#This Row],[Quantity]]</f>
        <v>17871.099999999999</v>
      </c>
      <c r="S507" s="2">
        <f>IF(Procurement_kpi_Analysis[[#This Row],[Compliance]]="Yes",1,0)</f>
        <v>1</v>
      </c>
      <c r="T507" s="2">
        <f>IF(Procurement_kpi_Analysis[[#This Row],[Compliance]]="No",1,0)</f>
        <v>0</v>
      </c>
    </row>
    <row r="508" spans="1:20" x14ac:dyDescent="0.3">
      <c r="A508" t="s">
        <v>533</v>
      </c>
      <c r="B508" t="s">
        <v>20</v>
      </c>
      <c r="C508" s="1">
        <v>45172</v>
      </c>
      <c r="D508" s="1">
        <v>45173</v>
      </c>
      <c r="E508" t="s">
        <v>26</v>
      </c>
      <c r="F508" t="s">
        <v>18</v>
      </c>
      <c r="G508">
        <v>1249</v>
      </c>
      <c r="H508">
        <v>54.18</v>
      </c>
      <c r="I508">
        <v>47.29</v>
      </c>
      <c r="J508">
        <v>59</v>
      </c>
      <c r="K508" t="s">
        <v>15</v>
      </c>
      <c r="L508">
        <f>Procurement_kpi_Analysis[[#This Row],[Quantity]]*Procurement_kpi_Analysis[[#This Row],[Negotiated_Price]]</f>
        <v>59065.21</v>
      </c>
      <c r="M508">
        <f>IF(Procurement_kpi_Analysis[[#This Row],[Delivery_Date]]="","",Procurement_kpi_Analysis[[#This Row],[Delivery_Date]]-Procurement_kpi_Analysis[[#This Row],[Order_Date]])</f>
        <v>1</v>
      </c>
      <c r="N508" s="2">
        <f>Procurement_kpi_Analysis[[#This Row],[Defective_Units]]/Procurement_kpi_Analysis[[#This Row],[Quantity]]</f>
        <v>4.7237790232185752E-2</v>
      </c>
      <c r="O508" s="2">
        <f>(Procurement_kpi_Analysis[[#This Row],[Unit_Price]]-Procurement_kpi_Analysis[[#This Row],[Negotiated_Price]])*Procurement_kpi_Analysis[[#This Row],[Quantity]]</f>
        <v>8605.61</v>
      </c>
      <c r="P508" s="2">
        <f>Procurement_kpi_Analysis[[#This Row],[Total Savings]]/Procurement_kpi_Analysis[[#This Row],[Total Spend]]</f>
        <v>0.14569676464368789</v>
      </c>
      <c r="Q508" s="2" t="str">
        <f>IF(Procurement_kpi_Analysis[[#This Row],[Lead Time]]&lt;=14,"On Time","Late")</f>
        <v>On Time</v>
      </c>
      <c r="R508" s="2">
        <f>Procurement_kpi_Analysis[[#This Row],[Unit_Price]]*Procurement_kpi_Analysis[[#This Row],[Quantity]]</f>
        <v>67670.819999999992</v>
      </c>
      <c r="S508" s="2">
        <f>IF(Procurement_kpi_Analysis[[#This Row],[Compliance]]="Yes",1,0)</f>
        <v>1</v>
      </c>
      <c r="T508" s="2">
        <f>IF(Procurement_kpi_Analysis[[#This Row],[Compliance]]="No",1,0)</f>
        <v>0</v>
      </c>
    </row>
    <row r="509" spans="1:20" x14ac:dyDescent="0.3">
      <c r="A509" t="s">
        <v>534</v>
      </c>
      <c r="B509" t="s">
        <v>17</v>
      </c>
      <c r="C509" s="1">
        <v>45006</v>
      </c>
      <c r="D509" s="1">
        <v>45025</v>
      </c>
      <c r="E509" t="s">
        <v>26</v>
      </c>
      <c r="F509" t="s">
        <v>18</v>
      </c>
      <c r="G509">
        <v>1112</v>
      </c>
      <c r="H509">
        <v>39.06</v>
      </c>
      <c r="I509">
        <v>33.6</v>
      </c>
      <c r="J509">
        <v>184</v>
      </c>
      <c r="K509" t="s">
        <v>27</v>
      </c>
      <c r="L509">
        <f>Procurement_kpi_Analysis[[#This Row],[Quantity]]*Procurement_kpi_Analysis[[#This Row],[Negotiated_Price]]</f>
        <v>37363.200000000004</v>
      </c>
      <c r="M509">
        <f>IF(Procurement_kpi_Analysis[[#This Row],[Delivery_Date]]="","",Procurement_kpi_Analysis[[#This Row],[Delivery_Date]]-Procurement_kpi_Analysis[[#This Row],[Order_Date]])</f>
        <v>19</v>
      </c>
      <c r="N509" s="2">
        <f>Procurement_kpi_Analysis[[#This Row],[Defective_Units]]/Procurement_kpi_Analysis[[#This Row],[Quantity]]</f>
        <v>0.16546762589928057</v>
      </c>
      <c r="O509" s="2">
        <f>(Procurement_kpi_Analysis[[#This Row],[Unit_Price]]-Procurement_kpi_Analysis[[#This Row],[Negotiated_Price]])*Procurement_kpi_Analysis[[#This Row],[Quantity]]</f>
        <v>6071.5200000000013</v>
      </c>
      <c r="P509" s="2">
        <f>Procurement_kpi_Analysis[[#This Row],[Total Savings]]/Procurement_kpi_Analysis[[#This Row],[Total Spend]]</f>
        <v>0.16250000000000001</v>
      </c>
      <c r="Q509" s="2" t="str">
        <f>IF(Procurement_kpi_Analysis[[#This Row],[Lead Time]]&lt;=14,"On Time","Late")</f>
        <v>Late</v>
      </c>
      <c r="R509" s="2">
        <f>Procurement_kpi_Analysis[[#This Row],[Unit_Price]]*Procurement_kpi_Analysis[[#This Row],[Quantity]]</f>
        <v>43434.720000000001</v>
      </c>
      <c r="S509" s="2">
        <f>IF(Procurement_kpi_Analysis[[#This Row],[Compliance]]="Yes",1,0)</f>
        <v>0</v>
      </c>
      <c r="T509" s="2">
        <f>IF(Procurement_kpi_Analysis[[#This Row],[Compliance]]="No",1,0)</f>
        <v>1</v>
      </c>
    </row>
    <row r="510" spans="1:20" x14ac:dyDescent="0.3">
      <c r="A510" t="s">
        <v>535</v>
      </c>
      <c r="B510" t="s">
        <v>20</v>
      </c>
      <c r="C510" s="1">
        <v>44915</v>
      </c>
      <c r="D510" s="1">
        <v>44920</v>
      </c>
      <c r="E510" t="s">
        <v>13</v>
      </c>
      <c r="F510" t="s">
        <v>18</v>
      </c>
      <c r="G510">
        <v>1550</v>
      </c>
      <c r="H510">
        <v>100.61</v>
      </c>
      <c r="I510">
        <v>97.43</v>
      </c>
      <c r="J510">
        <v>66</v>
      </c>
      <c r="K510" t="s">
        <v>15</v>
      </c>
      <c r="L510">
        <f>Procurement_kpi_Analysis[[#This Row],[Quantity]]*Procurement_kpi_Analysis[[#This Row],[Negotiated_Price]]</f>
        <v>151016.5</v>
      </c>
      <c r="M510">
        <f>IF(Procurement_kpi_Analysis[[#This Row],[Delivery_Date]]="","",Procurement_kpi_Analysis[[#This Row],[Delivery_Date]]-Procurement_kpi_Analysis[[#This Row],[Order_Date]])</f>
        <v>5</v>
      </c>
      <c r="N510" s="2">
        <f>Procurement_kpi_Analysis[[#This Row],[Defective_Units]]/Procurement_kpi_Analysis[[#This Row],[Quantity]]</f>
        <v>4.2580645161290322E-2</v>
      </c>
      <c r="O510" s="2">
        <f>(Procurement_kpi_Analysis[[#This Row],[Unit_Price]]-Procurement_kpi_Analysis[[#This Row],[Negotiated_Price]])*Procurement_kpi_Analysis[[#This Row],[Quantity]]</f>
        <v>4928.9999999999882</v>
      </c>
      <c r="P510" s="2">
        <f>Procurement_kpi_Analysis[[#This Row],[Total Savings]]/Procurement_kpi_Analysis[[#This Row],[Total Spend]]</f>
        <v>3.2638817612644901E-2</v>
      </c>
      <c r="Q510" s="2" t="str">
        <f>IF(Procurement_kpi_Analysis[[#This Row],[Lead Time]]&lt;=14,"On Time","Late")</f>
        <v>On Time</v>
      </c>
      <c r="R510" s="2">
        <f>Procurement_kpi_Analysis[[#This Row],[Unit_Price]]*Procurement_kpi_Analysis[[#This Row],[Quantity]]</f>
        <v>155945.5</v>
      </c>
      <c r="S510" s="2">
        <f>IF(Procurement_kpi_Analysis[[#This Row],[Compliance]]="Yes",1,0)</f>
        <v>1</v>
      </c>
      <c r="T510" s="2">
        <f>IF(Procurement_kpi_Analysis[[#This Row],[Compliance]]="No",1,0)</f>
        <v>0</v>
      </c>
    </row>
    <row r="511" spans="1:20" x14ac:dyDescent="0.3">
      <c r="A511" t="s">
        <v>536</v>
      </c>
      <c r="B511" t="s">
        <v>17</v>
      </c>
      <c r="C511" s="1">
        <v>44883</v>
      </c>
      <c r="D511" s="1">
        <v>44884</v>
      </c>
      <c r="E511" t="s">
        <v>39</v>
      </c>
      <c r="F511" t="s">
        <v>18</v>
      </c>
      <c r="G511">
        <v>1755</v>
      </c>
      <c r="H511">
        <v>82.66</v>
      </c>
      <c r="I511">
        <v>73.67</v>
      </c>
      <c r="J511">
        <v>258</v>
      </c>
      <c r="K511" t="s">
        <v>27</v>
      </c>
      <c r="L511">
        <f>Procurement_kpi_Analysis[[#This Row],[Quantity]]*Procurement_kpi_Analysis[[#This Row],[Negotiated_Price]]</f>
        <v>129290.85</v>
      </c>
      <c r="M511">
        <f>IF(Procurement_kpi_Analysis[[#This Row],[Delivery_Date]]="","",Procurement_kpi_Analysis[[#This Row],[Delivery_Date]]-Procurement_kpi_Analysis[[#This Row],[Order_Date]])</f>
        <v>1</v>
      </c>
      <c r="N511" s="2">
        <f>Procurement_kpi_Analysis[[#This Row],[Defective_Units]]/Procurement_kpi_Analysis[[#This Row],[Quantity]]</f>
        <v>0.14700854700854701</v>
      </c>
      <c r="O511" s="2">
        <f>(Procurement_kpi_Analysis[[#This Row],[Unit_Price]]-Procurement_kpi_Analysis[[#This Row],[Negotiated_Price]])*Procurement_kpi_Analysis[[#This Row],[Quantity]]</f>
        <v>15777.449999999992</v>
      </c>
      <c r="P511" s="2">
        <f>Procurement_kpi_Analysis[[#This Row],[Total Savings]]/Procurement_kpi_Analysis[[#This Row],[Total Spend]]</f>
        <v>0.12203067734491645</v>
      </c>
      <c r="Q511" s="2" t="str">
        <f>IF(Procurement_kpi_Analysis[[#This Row],[Lead Time]]&lt;=14,"On Time","Late")</f>
        <v>On Time</v>
      </c>
      <c r="R511" s="2">
        <f>Procurement_kpi_Analysis[[#This Row],[Unit_Price]]*Procurement_kpi_Analysis[[#This Row],[Quantity]]</f>
        <v>145068.29999999999</v>
      </c>
      <c r="S511" s="2">
        <f>IF(Procurement_kpi_Analysis[[#This Row],[Compliance]]="Yes",1,0)</f>
        <v>0</v>
      </c>
      <c r="T511" s="2">
        <f>IF(Procurement_kpi_Analysis[[#This Row],[Compliance]]="No",1,0)</f>
        <v>1</v>
      </c>
    </row>
    <row r="512" spans="1:20" x14ac:dyDescent="0.3">
      <c r="A512" t="s">
        <v>537</v>
      </c>
      <c r="B512" t="s">
        <v>20</v>
      </c>
      <c r="C512" s="1">
        <v>45008</v>
      </c>
      <c r="D512" s="1">
        <v>45016</v>
      </c>
      <c r="E512" t="s">
        <v>26</v>
      </c>
      <c r="F512" t="s">
        <v>18</v>
      </c>
      <c r="G512">
        <v>808</v>
      </c>
      <c r="H512">
        <v>24.19</v>
      </c>
      <c r="I512">
        <v>21.64</v>
      </c>
      <c r="J512">
        <v>39</v>
      </c>
      <c r="K512" t="s">
        <v>15</v>
      </c>
      <c r="L512">
        <f>Procurement_kpi_Analysis[[#This Row],[Quantity]]*Procurement_kpi_Analysis[[#This Row],[Negotiated_Price]]</f>
        <v>17485.12</v>
      </c>
      <c r="M512">
        <f>IF(Procurement_kpi_Analysis[[#This Row],[Delivery_Date]]="","",Procurement_kpi_Analysis[[#This Row],[Delivery_Date]]-Procurement_kpi_Analysis[[#This Row],[Order_Date]])</f>
        <v>8</v>
      </c>
      <c r="N512" s="2">
        <f>Procurement_kpi_Analysis[[#This Row],[Defective_Units]]/Procurement_kpi_Analysis[[#This Row],[Quantity]]</f>
        <v>4.8267326732673269E-2</v>
      </c>
      <c r="O512" s="2">
        <f>(Procurement_kpi_Analysis[[#This Row],[Unit_Price]]-Procurement_kpi_Analysis[[#This Row],[Negotiated_Price]])*Procurement_kpi_Analysis[[#This Row],[Quantity]]</f>
        <v>2060.4000000000005</v>
      </c>
      <c r="P512" s="2">
        <f>Procurement_kpi_Analysis[[#This Row],[Total Savings]]/Procurement_kpi_Analysis[[#This Row],[Total Spend]]</f>
        <v>0.11783733826247693</v>
      </c>
      <c r="Q512" s="2" t="str">
        <f>IF(Procurement_kpi_Analysis[[#This Row],[Lead Time]]&lt;=14,"On Time","Late")</f>
        <v>On Time</v>
      </c>
      <c r="R512" s="2">
        <f>Procurement_kpi_Analysis[[#This Row],[Unit_Price]]*Procurement_kpi_Analysis[[#This Row],[Quantity]]</f>
        <v>19545.52</v>
      </c>
      <c r="S512" s="2">
        <f>IF(Procurement_kpi_Analysis[[#This Row],[Compliance]]="Yes",1,0)</f>
        <v>1</v>
      </c>
      <c r="T512" s="2">
        <f>IF(Procurement_kpi_Analysis[[#This Row],[Compliance]]="No",1,0)</f>
        <v>0</v>
      </c>
    </row>
    <row r="513" spans="1:20" x14ac:dyDescent="0.3">
      <c r="A513" t="s">
        <v>538</v>
      </c>
      <c r="B513" t="s">
        <v>12</v>
      </c>
      <c r="C513" s="1">
        <v>45182</v>
      </c>
      <c r="D513" s="1">
        <v>45188</v>
      </c>
      <c r="E513" t="s">
        <v>26</v>
      </c>
      <c r="F513" t="s">
        <v>33</v>
      </c>
      <c r="G513">
        <v>587</v>
      </c>
      <c r="H513">
        <v>96.98</v>
      </c>
      <c r="I513">
        <v>95.35</v>
      </c>
      <c r="J513">
        <v>14</v>
      </c>
      <c r="K513" t="s">
        <v>15</v>
      </c>
      <c r="L513">
        <f>Procurement_kpi_Analysis[[#This Row],[Quantity]]*Procurement_kpi_Analysis[[#This Row],[Negotiated_Price]]</f>
        <v>55970.45</v>
      </c>
      <c r="M513">
        <f>IF(Procurement_kpi_Analysis[[#This Row],[Delivery_Date]]="","",Procurement_kpi_Analysis[[#This Row],[Delivery_Date]]-Procurement_kpi_Analysis[[#This Row],[Order_Date]])</f>
        <v>6</v>
      </c>
      <c r="N513" s="2">
        <f>Procurement_kpi_Analysis[[#This Row],[Defective_Units]]/Procurement_kpi_Analysis[[#This Row],[Quantity]]</f>
        <v>2.385008517887564E-2</v>
      </c>
      <c r="O513" s="2">
        <f>(Procurement_kpi_Analysis[[#This Row],[Unit_Price]]-Procurement_kpi_Analysis[[#This Row],[Negotiated_Price]])*Procurement_kpi_Analysis[[#This Row],[Quantity]]</f>
        <v>956.81000000000563</v>
      </c>
      <c r="P513" s="2">
        <f>Procurement_kpi_Analysis[[#This Row],[Total Savings]]/Procurement_kpi_Analysis[[#This Row],[Total Spend]]</f>
        <v>1.709491347666502E-2</v>
      </c>
      <c r="Q513" s="2" t="str">
        <f>IF(Procurement_kpi_Analysis[[#This Row],[Lead Time]]&lt;=14,"On Time","Late")</f>
        <v>On Time</v>
      </c>
      <c r="R513" s="2">
        <f>Procurement_kpi_Analysis[[#This Row],[Unit_Price]]*Procurement_kpi_Analysis[[#This Row],[Quantity]]</f>
        <v>56927.26</v>
      </c>
      <c r="S513" s="2">
        <f>IF(Procurement_kpi_Analysis[[#This Row],[Compliance]]="Yes",1,0)</f>
        <v>1</v>
      </c>
      <c r="T513" s="2">
        <f>IF(Procurement_kpi_Analysis[[#This Row],[Compliance]]="No",1,0)</f>
        <v>0</v>
      </c>
    </row>
    <row r="514" spans="1:20" x14ac:dyDescent="0.3">
      <c r="A514" t="s">
        <v>539</v>
      </c>
      <c r="B514" t="s">
        <v>29</v>
      </c>
      <c r="C514" s="1">
        <v>45085</v>
      </c>
      <c r="D514" s="1">
        <v>45088</v>
      </c>
      <c r="E514" t="s">
        <v>21</v>
      </c>
      <c r="F514" t="s">
        <v>18</v>
      </c>
      <c r="G514">
        <v>1940</v>
      </c>
      <c r="H514">
        <v>58.45</v>
      </c>
      <c r="I514">
        <v>50.29</v>
      </c>
      <c r="J514">
        <v>54</v>
      </c>
      <c r="K514" t="s">
        <v>15</v>
      </c>
      <c r="L514">
        <f>Procurement_kpi_Analysis[[#This Row],[Quantity]]*Procurement_kpi_Analysis[[#This Row],[Negotiated_Price]]</f>
        <v>97562.599999999991</v>
      </c>
      <c r="M514">
        <f>IF(Procurement_kpi_Analysis[[#This Row],[Delivery_Date]]="","",Procurement_kpi_Analysis[[#This Row],[Delivery_Date]]-Procurement_kpi_Analysis[[#This Row],[Order_Date]])</f>
        <v>3</v>
      </c>
      <c r="N514" s="2">
        <f>Procurement_kpi_Analysis[[#This Row],[Defective_Units]]/Procurement_kpi_Analysis[[#This Row],[Quantity]]</f>
        <v>2.7835051546391754E-2</v>
      </c>
      <c r="O514" s="2">
        <f>(Procurement_kpi_Analysis[[#This Row],[Unit_Price]]-Procurement_kpi_Analysis[[#This Row],[Negotiated_Price]])*Procurement_kpi_Analysis[[#This Row],[Quantity]]</f>
        <v>15830.400000000007</v>
      </c>
      <c r="P514" s="2">
        <f>Procurement_kpi_Analysis[[#This Row],[Total Savings]]/Procurement_kpi_Analysis[[#This Row],[Total Spend]]</f>
        <v>0.1622588983893419</v>
      </c>
      <c r="Q514" s="2" t="str">
        <f>IF(Procurement_kpi_Analysis[[#This Row],[Lead Time]]&lt;=14,"On Time","Late")</f>
        <v>On Time</v>
      </c>
      <c r="R514" s="2">
        <f>Procurement_kpi_Analysis[[#This Row],[Unit_Price]]*Procurement_kpi_Analysis[[#This Row],[Quantity]]</f>
        <v>113393</v>
      </c>
      <c r="S514" s="2">
        <f>IF(Procurement_kpi_Analysis[[#This Row],[Compliance]]="Yes",1,0)</f>
        <v>1</v>
      </c>
      <c r="T514" s="2">
        <f>IF(Procurement_kpi_Analysis[[#This Row],[Compliance]]="No",1,0)</f>
        <v>0</v>
      </c>
    </row>
    <row r="515" spans="1:20" x14ac:dyDescent="0.3">
      <c r="A515" t="s">
        <v>540</v>
      </c>
      <c r="B515" t="s">
        <v>23</v>
      </c>
      <c r="C515" s="1">
        <v>44680</v>
      </c>
      <c r="D515" s="1">
        <v>44692</v>
      </c>
      <c r="E515" t="s">
        <v>13</v>
      </c>
      <c r="F515" t="s">
        <v>14</v>
      </c>
      <c r="G515">
        <v>1891</v>
      </c>
      <c r="H515">
        <v>91.87</v>
      </c>
      <c r="I515">
        <v>80.28</v>
      </c>
      <c r="J515">
        <v>158</v>
      </c>
      <c r="K515" t="s">
        <v>15</v>
      </c>
      <c r="L515">
        <f>Procurement_kpi_Analysis[[#This Row],[Quantity]]*Procurement_kpi_Analysis[[#This Row],[Negotiated_Price]]</f>
        <v>151809.48000000001</v>
      </c>
      <c r="M515">
        <f>IF(Procurement_kpi_Analysis[[#This Row],[Delivery_Date]]="","",Procurement_kpi_Analysis[[#This Row],[Delivery_Date]]-Procurement_kpi_Analysis[[#This Row],[Order_Date]])</f>
        <v>12</v>
      </c>
      <c r="N515" s="2">
        <f>Procurement_kpi_Analysis[[#This Row],[Defective_Units]]/Procurement_kpi_Analysis[[#This Row],[Quantity]]</f>
        <v>8.3553675304071914E-2</v>
      </c>
      <c r="O515" s="2">
        <f>(Procurement_kpi_Analysis[[#This Row],[Unit_Price]]-Procurement_kpi_Analysis[[#This Row],[Negotiated_Price]])*Procurement_kpi_Analysis[[#This Row],[Quantity]]</f>
        <v>21916.690000000006</v>
      </c>
      <c r="P515" s="2">
        <f>Procurement_kpi_Analysis[[#This Row],[Total Savings]]/Procurement_kpi_Analysis[[#This Row],[Total Spend]]</f>
        <v>0.14436970602889887</v>
      </c>
      <c r="Q515" s="2" t="str">
        <f>IF(Procurement_kpi_Analysis[[#This Row],[Lead Time]]&lt;=14,"On Time","Late")</f>
        <v>On Time</v>
      </c>
      <c r="R515" s="2">
        <f>Procurement_kpi_Analysis[[#This Row],[Unit_Price]]*Procurement_kpi_Analysis[[#This Row],[Quantity]]</f>
        <v>173726.17</v>
      </c>
      <c r="S515" s="2">
        <f>IF(Procurement_kpi_Analysis[[#This Row],[Compliance]]="Yes",1,0)</f>
        <v>1</v>
      </c>
      <c r="T515" s="2">
        <f>IF(Procurement_kpi_Analysis[[#This Row],[Compliance]]="No",1,0)</f>
        <v>0</v>
      </c>
    </row>
    <row r="516" spans="1:20" x14ac:dyDescent="0.3">
      <c r="A516" t="s">
        <v>541</v>
      </c>
      <c r="B516" t="s">
        <v>29</v>
      </c>
      <c r="C516" s="1">
        <v>44956</v>
      </c>
      <c r="D516" s="1">
        <v>44973</v>
      </c>
      <c r="E516" t="s">
        <v>24</v>
      </c>
      <c r="F516" t="s">
        <v>18</v>
      </c>
      <c r="G516">
        <v>970</v>
      </c>
      <c r="H516">
        <v>86.91</v>
      </c>
      <c r="I516">
        <v>78.44</v>
      </c>
      <c r="J516">
        <v>18</v>
      </c>
      <c r="K516" t="s">
        <v>15</v>
      </c>
      <c r="L516">
        <f>Procurement_kpi_Analysis[[#This Row],[Quantity]]*Procurement_kpi_Analysis[[#This Row],[Negotiated_Price]]</f>
        <v>76086.8</v>
      </c>
      <c r="M516">
        <f>IF(Procurement_kpi_Analysis[[#This Row],[Delivery_Date]]="","",Procurement_kpi_Analysis[[#This Row],[Delivery_Date]]-Procurement_kpi_Analysis[[#This Row],[Order_Date]])</f>
        <v>17</v>
      </c>
      <c r="N516" s="2">
        <f>Procurement_kpi_Analysis[[#This Row],[Defective_Units]]/Procurement_kpi_Analysis[[#This Row],[Quantity]]</f>
        <v>1.8556701030927835E-2</v>
      </c>
      <c r="O516" s="2">
        <f>(Procurement_kpi_Analysis[[#This Row],[Unit_Price]]-Procurement_kpi_Analysis[[#This Row],[Negotiated_Price]])*Procurement_kpi_Analysis[[#This Row],[Quantity]]</f>
        <v>8215.9</v>
      </c>
      <c r="P516" s="2">
        <f>Procurement_kpi_Analysis[[#This Row],[Total Savings]]/Procurement_kpi_Analysis[[#This Row],[Total Spend]]</f>
        <v>0.10798062213156552</v>
      </c>
      <c r="Q516" s="2" t="str">
        <f>IF(Procurement_kpi_Analysis[[#This Row],[Lead Time]]&lt;=14,"On Time","Late")</f>
        <v>Late</v>
      </c>
      <c r="R516" s="2">
        <f>Procurement_kpi_Analysis[[#This Row],[Unit_Price]]*Procurement_kpi_Analysis[[#This Row],[Quantity]]</f>
        <v>84302.7</v>
      </c>
      <c r="S516" s="2">
        <f>IF(Procurement_kpi_Analysis[[#This Row],[Compliance]]="Yes",1,0)</f>
        <v>1</v>
      </c>
      <c r="T516" s="2">
        <f>IF(Procurement_kpi_Analysis[[#This Row],[Compliance]]="No",1,0)</f>
        <v>0</v>
      </c>
    </row>
    <row r="517" spans="1:20" x14ac:dyDescent="0.3">
      <c r="A517" t="s">
        <v>542</v>
      </c>
      <c r="B517" t="s">
        <v>29</v>
      </c>
      <c r="C517" s="1">
        <v>45152</v>
      </c>
      <c r="D517" s="1">
        <v>45169</v>
      </c>
      <c r="E517" t="s">
        <v>21</v>
      </c>
      <c r="F517" t="s">
        <v>18</v>
      </c>
      <c r="G517">
        <v>457</v>
      </c>
      <c r="H517">
        <v>52.85</v>
      </c>
      <c r="I517">
        <v>50.34</v>
      </c>
      <c r="J517">
        <v>16</v>
      </c>
      <c r="K517" t="s">
        <v>15</v>
      </c>
      <c r="L517">
        <f>Procurement_kpi_Analysis[[#This Row],[Quantity]]*Procurement_kpi_Analysis[[#This Row],[Negotiated_Price]]</f>
        <v>23005.38</v>
      </c>
      <c r="M517">
        <f>IF(Procurement_kpi_Analysis[[#This Row],[Delivery_Date]]="","",Procurement_kpi_Analysis[[#This Row],[Delivery_Date]]-Procurement_kpi_Analysis[[#This Row],[Order_Date]])</f>
        <v>17</v>
      </c>
      <c r="N517" s="2">
        <f>Procurement_kpi_Analysis[[#This Row],[Defective_Units]]/Procurement_kpi_Analysis[[#This Row],[Quantity]]</f>
        <v>3.5010940919037198E-2</v>
      </c>
      <c r="O517" s="2">
        <f>(Procurement_kpi_Analysis[[#This Row],[Unit_Price]]-Procurement_kpi_Analysis[[#This Row],[Negotiated_Price]])*Procurement_kpi_Analysis[[#This Row],[Quantity]]</f>
        <v>1147.069999999999</v>
      </c>
      <c r="P517" s="2">
        <f>Procurement_kpi_Analysis[[#This Row],[Total Savings]]/Procurement_kpi_Analysis[[#This Row],[Total Spend]]</f>
        <v>4.9860945570123119E-2</v>
      </c>
      <c r="Q517" s="2" t="str">
        <f>IF(Procurement_kpi_Analysis[[#This Row],[Lead Time]]&lt;=14,"On Time","Late")</f>
        <v>Late</v>
      </c>
      <c r="R517" s="2">
        <f>Procurement_kpi_Analysis[[#This Row],[Unit_Price]]*Procurement_kpi_Analysis[[#This Row],[Quantity]]</f>
        <v>24152.45</v>
      </c>
      <c r="S517" s="2">
        <f>IF(Procurement_kpi_Analysis[[#This Row],[Compliance]]="Yes",1,0)</f>
        <v>1</v>
      </c>
      <c r="T517" s="2">
        <f>IF(Procurement_kpi_Analysis[[#This Row],[Compliance]]="No",1,0)</f>
        <v>0</v>
      </c>
    </row>
    <row r="518" spans="1:20" x14ac:dyDescent="0.3">
      <c r="A518" t="s">
        <v>543</v>
      </c>
      <c r="B518" t="s">
        <v>23</v>
      </c>
      <c r="C518" s="1">
        <v>44756</v>
      </c>
      <c r="D518" s="1">
        <v>44769</v>
      </c>
      <c r="E518" t="s">
        <v>13</v>
      </c>
      <c r="F518" t="s">
        <v>14</v>
      </c>
      <c r="G518">
        <v>574</v>
      </c>
      <c r="H518">
        <v>12.38</v>
      </c>
      <c r="I518">
        <v>11.47</v>
      </c>
      <c r="J518">
        <v>0</v>
      </c>
      <c r="K518" t="s">
        <v>27</v>
      </c>
      <c r="L518">
        <f>Procurement_kpi_Analysis[[#This Row],[Quantity]]*Procurement_kpi_Analysis[[#This Row],[Negotiated_Price]]</f>
        <v>6583.7800000000007</v>
      </c>
      <c r="M518">
        <f>IF(Procurement_kpi_Analysis[[#This Row],[Delivery_Date]]="","",Procurement_kpi_Analysis[[#This Row],[Delivery_Date]]-Procurement_kpi_Analysis[[#This Row],[Order_Date]])</f>
        <v>13</v>
      </c>
      <c r="N518" s="2">
        <f>Procurement_kpi_Analysis[[#This Row],[Defective_Units]]/Procurement_kpi_Analysis[[#This Row],[Quantity]]</f>
        <v>0</v>
      </c>
      <c r="O518" s="2">
        <f>(Procurement_kpi_Analysis[[#This Row],[Unit_Price]]-Procurement_kpi_Analysis[[#This Row],[Negotiated_Price]])*Procurement_kpi_Analysis[[#This Row],[Quantity]]</f>
        <v>522.34</v>
      </c>
      <c r="P518" s="2">
        <f>Procurement_kpi_Analysis[[#This Row],[Total Savings]]/Procurement_kpi_Analysis[[#This Row],[Total Spend]]</f>
        <v>7.9337401918047071E-2</v>
      </c>
      <c r="Q518" s="2" t="str">
        <f>IF(Procurement_kpi_Analysis[[#This Row],[Lead Time]]&lt;=14,"On Time","Late")</f>
        <v>On Time</v>
      </c>
      <c r="R518" s="2">
        <f>Procurement_kpi_Analysis[[#This Row],[Unit_Price]]*Procurement_kpi_Analysis[[#This Row],[Quantity]]</f>
        <v>7106.1200000000008</v>
      </c>
      <c r="S518" s="2">
        <f>IF(Procurement_kpi_Analysis[[#This Row],[Compliance]]="Yes",1,0)</f>
        <v>0</v>
      </c>
      <c r="T518" s="2">
        <f>IF(Procurement_kpi_Analysis[[#This Row],[Compliance]]="No",1,0)</f>
        <v>1</v>
      </c>
    </row>
    <row r="519" spans="1:20" x14ac:dyDescent="0.3">
      <c r="A519" t="s">
        <v>544</v>
      </c>
      <c r="B519" t="s">
        <v>29</v>
      </c>
      <c r="C519" s="1">
        <v>44822</v>
      </c>
      <c r="D519" s="1">
        <v>44824</v>
      </c>
      <c r="E519" t="s">
        <v>13</v>
      </c>
      <c r="F519" t="s">
        <v>18</v>
      </c>
      <c r="G519">
        <v>877</v>
      </c>
      <c r="H519">
        <v>35.549999999999997</v>
      </c>
      <c r="I519">
        <v>34.69</v>
      </c>
      <c r="J519">
        <v>24</v>
      </c>
      <c r="K519" t="s">
        <v>15</v>
      </c>
      <c r="L519">
        <f>Procurement_kpi_Analysis[[#This Row],[Quantity]]*Procurement_kpi_Analysis[[#This Row],[Negotiated_Price]]</f>
        <v>30423.129999999997</v>
      </c>
      <c r="M519">
        <f>IF(Procurement_kpi_Analysis[[#This Row],[Delivery_Date]]="","",Procurement_kpi_Analysis[[#This Row],[Delivery_Date]]-Procurement_kpi_Analysis[[#This Row],[Order_Date]])</f>
        <v>2</v>
      </c>
      <c r="N519" s="2">
        <f>Procurement_kpi_Analysis[[#This Row],[Defective_Units]]/Procurement_kpi_Analysis[[#This Row],[Quantity]]</f>
        <v>2.7366020524515394E-2</v>
      </c>
      <c r="O519" s="2">
        <f>(Procurement_kpi_Analysis[[#This Row],[Unit_Price]]-Procurement_kpi_Analysis[[#This Row],[Negotiated_Price]])*Procurement_kpi_Analysis[[#This Row],[Quantity]]</f>
        <v>754.21999999999946</v>
      </c>
      <c r="P519" s="2">
        <f>Procurement_kpi_Analysis[[#This Row],[Total Savings]]/Procurement_kpi_Analysis[[#This Row],[Total Spend]]</f>
        <v>2.4791006053617743E-2</v>
      </c>
      <c r="Q519" s="2" t="str">
        <f>IF(Procurement_kpi_Analysis[[#This Row],[Lead Time]]&lt;=14,"On Time","Late")</f>
        <v>On Time</v>
      </c>
      <c r="R519" s="2">
        <f>Procurement_kpi_Analysis[[#This Row],[Unit_Price]]*Procurement_kpi_Analysis[[#This Row],[Quantity]]</f>
        <v>31177.35</v>
      </c>
      <c r="S519" s="2">
        <f>IF(Procurement_kpi_Analysis[[#This Row],[Compliance]]="Yes",1,0)</f>
        <v>1</v>
      </c>
      <c r="T519" s="2">
        <f>IF(Procurement_kpi_Analysis[[#This Row],[Compliance]]="No",1,0)</f>
        <v>0</v>
      </c>
    </row>
    <row r="520" spans="1:20" x14ac:dyDescent="0.3">
      <c r="A520" t="s">
        <v>545</v>
      </c>
      <c r="B520" t="s">
        <v>12</v>
      </c>
      <c r="C520" s="1">
        <v>44607</v>
      </c>
      <c r="D520" s="1">
        <v>44619</v>
      </c>
      <c r="E520" t="s">
        <v>21</v>
      </c>
      <c r="F520" t="s">
        <v>18</v>
      </c>
      <c r="G520">
        <v>1579</v>
      </c>
      <c r="H520">
        <v>59.04</v>
      </c>
      <c r="I520">
        <v>50.95</v>
      </c>
      <c r="J520">
        <v>29</v>
      </c>
      <c r="K520" t="s">
        <v>15</v>
      </c>
      <c r="L520">
        <f>Procurement_kpi_Analysis[[#This Row],[Quantity]]*Procurement_kpi_Analysis[[#This Row],[Negotiated_Price]]</f>
        <v>80450.05</v>
      </c>
      <c r="M520">
        <f>IF(Procurement_kpi_Analysis[[#This Row],[Delivery_Date]]="","",Procurement_kpi_Analysis[[#This Row],[Delivery_Date]]-Procurement_kpi_Analysis[[#This Row],[Order_Date]])</f>
        <v>12</v>
      </c>
      <c r="N520" s="2">
        <f>Procurement_kpi_Analysis[[#This Row],[Defective_Units]]/Procurement_kpi_Analysis[[#This Row],[Quantity]]</f>
        <v>1.8366054464851171E-2</v>
      </c>
      <c r="O520" s="2">
        <f>(Procurement_kpi_Analysis[[#This Row],[Unit_Price]]-Procurement_kpi_Analysis[[#This Row],[Negotiated_Price]])*Procurement_kpi_Analysis[[#This Row],[Quantity]]</f>
        <v>12774.109999999993</v>
      </c>
      <c r="P520" s="2">
        <f>Procurement_kpi_Analysis[[#This Row],[Total Savings]]/Procurement_kpi_Analysis[[#This Row],[Total Spend]]</f>
        <v>0.15878312070657499</v>
      </c>
      <c r="Q520" s="2" t="str">
        <f>IF(Procurement_kpi_Analysis[[#This Row],[Lead Time]]&lt;=14,"On Time","Late")</f>
        <v>On Time</v>
      </c>
      <c r="R520" s="2">
        <f>Procurement_kpi_Analysis[[#This Row],[Unit_Price]]*Procurement_kpi_Analysis[[#This Row],[Quantity]]</f>
        <v>93224.16</v>
      </c>
      <c r="S520" s="2">
        <f>IF(Procurement_kpi_Analysis[[#This Row],[Compliance]]="Yes",1,0)</f>
        <v>1</v>
      </c>
      <c r="T520" s="2">
        <f>IF(Procurement_kpi_Analysis[[#This Row],[Compliance]]="No",1,0)</f>
        <v>0</v>
      </c>
    </row>
    <row r="521" spans="1:20" x14ac:dyDescent="0.3">
      <c r="A521" t="s">
        <v>546</v>
      </c>
      <c r="B521" t="s">
        <v>17</v>
      </c>
      <c r="C521" s="1">
        <v>45287</v>
      </c>
      <c r="D521" s="1">
        <v>45288</v>
      </c>
      <c r="E521" t="s">
        <v>26</v>
      </c>
      <c r="F521" t="s">
        <v>18</v>
      </c>
      <c r="G521">
        <v>952</v>
      </c>
      <c r="H521">
        <v>74.72</v>
      </c>
      <c r="I521">
        <v>69.73</v>
      </c>
      <c r="J521">
        <v>0</v>
      </c>
      <c r="K521" t="s">
        <v>15</v>
      </c>
      <c r="L521">
        <f>Procurement_kpi_Analysis[[#This Row],[Quantity]]*Procurement_kpi_Analysis[[#This Row],[Negotiated_Price]]</f>
        <v>66382.960000000006</v>
      </c>
      <c r="M521">
        <f>IF(Procurement_kpi_Analysis[[#This Row],[Delivery_Date]]="","",Procurement_kpi_Analysis[[#This Row],[Delivery_Date]]-Procurement_kpi_Analysis[[#This Row],[Order_Date]])</f>
        <v>1</v>
      </c>
      <c r="N521" s="2">
        <f>Procurement_kpi_Analysis[[#This Row],[Defective_Units]]/Procurement_kpi_Analysis[[#This Row],[Quantity]]</f>
        <v>0</v>
      </c>
      <c r="O521" s="2">
        <f>(Procurement_kpi_Analysis[[#This Row],[Unit_Price]]-Procurement_kpi_Analysis[[#This Row],[Negotiated_Price]])*Procurement_kpi_Analysis[[#This Row],[Quantity]]</f>
        <v>4750.479999999995</v>
      </c>
      <c r="P521" s="2">
        <f>Procurement_kpi_Analysis[[#This Row],[Total Savings]]/Procurement_kpi_Analysis[[#This Row],[Total Spend]]</f>
        <v>7.1561738132797856E-2</v>
      </c>
      <c r="Q521" s="2" t="str">
        <f>IF(Procurement_kpi_Analysis[[#This Row],[Lead Time]]&lt;=14,"On Time","Late")</f>
        <v>On Time</v>
      </c>
      <c r="R521" s="2">
        <f>Procurement_kpi_Analysis[[#This Row],[Unit_Price]]*Procurement_kpi_Analysis[[#This Row],[Quantity]]</f>
        <v>71133.440000000002</v>
      </c>
      <c r="S521" s="2">
        <f>IF(Procurement_kpi_Analysis[[#This Row],[Compliance]]="Yes",1,0)</f>
        <v>1</v>
      </c>
      <c r="T521" s="2">
        <f>IF(Procurement_kpi_Analysis[[#This Row],[Compliance]]="No",1,0)</f>
        <v>0</v>
      </c>
    </row>
    <row r="522" spans="1:20" x14ac:dyDescent="0.3">
      <c r="A522" t="s">
        <v>547</v>
      </c>
      <c r="B522" t="s">
        <v>23</v>
      </c>
      <c r="C522" s="1">
        <v>45008</v>
      </c>
      <c r="D522" s="1">
        <v>45011</v>
      </c>
      <c r="E522" t="s">
        <v>26</v>
      </c>
      <c r="F522" t="s">
        <v>35</v>
      </c>
      <c r="G522">
        <v>1898</v>
      </c>
      <c r="H522">
        <v>35.53</v>
      </c>
      <c r="I522">
        <v>33.25</v>
      </c>
      <c r="J522">
        <v>187</v>
      </c>
      <c r="K522" t="s">
        <v>15</v>
      </c>
      <c r="L522">
        <f>Procurement_kpi_Analysis[[#This Row],[Quantity]]*Procurement_kpi_Analysis[[#This Row],[Negotiated_Price]]</f>
        <v>63108.5</v>
      </c>
      <c r="M522">
        <f>IF(Procurement_kpi_Analysis[[#This Row],[Delivery_Date]]="","",Procurement_kpi_Analysis[[#This Row],[Delivery_Date]]-Procurement_kpi_Analysis[[#This Row],[Order_Date]])</f>
        <v>3</v>
      </c>
      <c r="N522" s="2">
        <f>Procurement_kpi_Analysis[[#This Row],[Defective_Units]]/Procurement_kpi_Analysis[[#This Row],[Quantity]]</f>
        <v>9.8524762908324556E-2</v>
      </c>
      <c r="O522" s="2">
        <f>(Procurement_kpi_Analysis[[#This Row],[Unit_Price]]-Procurement_kpi_Analysis[[#This Row],[Negotiated_Price]])*Procurement_kpi_Analysis[[#This Row],[Quantity]]</f>
        <v>4327.4400000000023</v>
      </c>
      <c r="P522" s="2">
        <f>Procurement_kpi_Analysis[[#This Row],[Total Savings]]/Procurement_kpi_Analysis[[#This Row],[Total Spend]]</f>
        <v>6.8571428571428603E-2</v>
      </c>
      <c r="Q522" s="2" t="str">
        <f>IF(Procurement_kpi_Analysis[[#This Row],[Lead Time]]&lt;=14,"On Time","Late")</f>
        <v>On Time</v>
      </c>
      <c r="R522" s="2">
        <f>Procurement_kpi_Analysis[[#This Row],[Unit_Price]]*Procurement_kpi_Analysis[[#This Row],[Quantity]]</f>
        <v>67435.94</v>
      </c>
      <c r="S522" s="2">
        <f>IF(Procurement_kpi_Analysis[[#This Row],[Compliance]]="Yes",1,0)</f>
        <v>1</v>
      </c>
      <c r="T522" s="2">
        <f>IF(Procurement_kpi_Analysis[[#This Row],[Compliance]]="No",1,0)</f>
        <v>0</v>
      </c>
    </row>
    <row r="523" spans="1:20" x14ac:dyDescent="0.3">
      <c r="A523" t="s">
        <v>548</v>
      </c>
      <c r="B523" t="s">
        <v>17</v>
      </c>
      <c r="C523" s="1">
        <v>44563</v>
      </c>
      <c r="D523" s="1">
        <v>44567</v>
      </c>
      <c r="E523" t="s">
        <v>24</v>
      </c>
      <c r="F523" t="s">
        <v>18</v>
      </c>
      <c r="G523">
        <v>85</v>
      </c>
      <c r="H523">
        <v>22.54</v>
      </c>
      <c r="I523">
        <v>20.68</v>
      </c>
      <c r="J523">
        <v>6</v>
      </c>
      <c r="K523" t="s">
        <v>15</v>
      </c>
      <c r="L523">
        <f>Procurement_kpi_Analysis[[#This Row],[Quantity]]*Procurement_kpi_Analysis[[#This Row],[Negotiated_Price]]</f>
        <v>1757.8</v>
      </c>
      <c r="M523">
        <f>IF(Procurement_kpi_Analysis[[#This Row],[Delivery_Date]]="","",Procurement_kpi_Analysis[[#This Row],[Delivery_Date]]-Procurement_kpi_Analysis[[#This Row],[Order_Date]])</f>
        <v>4</v>
      </c>
      <c r="N523" s="2">
        <f>Procurement_kpi_Analysis[[#This Row],[Defective_Units]]/Procurement_kpi_Analysis[[#This Row],[Quantity]]</f>
        <v>7.0588235294117646E-2</v>
      </c>
      <c r="O523" s="2">
        <f>(Procurement_kpi_Analysis[[#This Row],[Unit_Price]]-Procurement_kpi_Analysis[[#This Row],[Negotiated_Price]])*Procurement_kpi_Analysis[[#This Row],[Quantity]]</f>
        <v>158.09999999999997</v>
      </c>
      <c r="P523" s="2">
        <f>Procurement_kpi_Analysis[[#This Row],[Total Savings]]/Procurement_kpi_Analysis[[#This Row],[Total Spend]]</f>
        <v>8.9941972920696306E-2</v>
      </c>
      <c r="Q523" s="2" t="str">
        <f>IF(Procurement_kpi_Analysis[[#This Row],[Lead Time]]&lt;=14,"On Time","Late")</f>
        <v>On Time</v>
      </c>
      <c r="R523" s="2">
        <f>Procurement_kpi_Analysis[[#This Row],[Unit_Price]]*Procurement_kpi_Analysis[[#This Row],[Quantity]]</f>
        <v>1915.8999999999999</v>
      </c>
      <c r="S523" s="2">
        <f>IF(Procurement_kpi_Analysis[[#This Row],[Compliance]]="Yes",1,0)</f>
        <v>1</v>
      </c>
      <c r="T523" s="2">
        <f>IF(Procurement_kpi_Analysis[[#This Row],[Compliance]]="No",1,0)</f>
        <v>0</v>
      </c>
    </row>
    <row r="524" spans="1:20" x14ac:dyDescent="0.3">
      <c r="A524" t="s">
        <v>549</v>
      </c>
      <c r="B524" t="s">
        <v>20</v>
      </c>
      <c r="C524" s="1">
        <v>45094</v>
      </c>
      <c r="D524" s="1">
        <v>45105</v>
      </c>
      <c r="E524" t="s">
        <v>24</v>
      </c>
      <c r="F524" t="s">
        <v>35</v>
      </c>
      <c r="G524">
        <v>734</v>
      </c>
      <c r="H524">
        <v>92.38</v>
      </c>
      <c r="I524">
        <v>78.92</v>
      </c>
      <c r="J524">
        <v>34</v>
      </c>
      <c r="K524" t="s">
        <v>27</v>
      </c>
      <c r="L524">
        <f>Procurement_kpi_Analysis[[#This Row],[Quantity]]*Procurement_kpi_Analysis[[#This Row],[Negotiated_Price]]</f>
        <v>57927.28</v>
      </c>
      <c r="M524">
        <f>IF(Procurement_kpi_Analysis[[#This Row],[Delivery_Date]]="","",Procurement_kpi_Analysis[[#This Row],[Delivery_Date]]-Procurement_kpi_Analysis[[#This Row],[Order_Date]])</f>
        <v>11</v>
      </c>
      <c r="N524" s="2">
        <f>Procurement_kpi_Analysis[[#This Row],[Defective_Units]]/Procurement_kpi_Analysis[[#This Row],[Quantity]]</f>
        <v>4.632152588555858E-2</v>
      </c>
      <c r="O524" s="2">
        <f>(Procurement_kpi_Analysis[[#This Row],[Unit_Price]]-Procurement_kpi_Analysis[[#This Row],[Negotiated_Price]])*Procurement_kpi_Analysis[[#This Row],[Quantity]]</f>
        <v>9879.6399999999958</v>
      </c>
      <c r="P524" s="2">
        <f>Procurement_kpi_Analysis[[#This Row],[Total Savings]]/Procurement_kpi_Analysis[[#This Row],[Total Spend]]</f>
        <v>0.17055245818550424</v>
      </c>
      <c r="Q524" s="2" t="str">
        <f>IF(Procurement_kpi_Analysis[[#This Row],[Lead Time]]&lt;=14,"On Time","Late")</f>
        <v>On Time</v>
      </c>
      <c r="R524" s="2">
        <f>Procurement_kpi_Analysis[[#This Row],[Unit_Price]]*Procurement_kpi_Analysis[[#This Row],[Quantity]]</f>
        <v>67806.92</v>
      </c>
      <c r="S524" s="2">
        <f>IF(Procurement_kpi_Analysis[[#This Row],[Compliance]]="Yes",1,0)</f>
        <v>0</v>
      </c>
      <c r="T524" s="2">
        <f>IF(Procurement_kpi_Analysis[[#This Row],[Compliance]]="No",1,0)</f>
        <v>1</v>
      </c>
    </row>
    <row r="525" spans="1:20" x14ac:dyDescent="0.3">
      <c r="A525" t="s">
        <v>550</v>
      </c>
      <c r="B525" t="s">
        <v>12</v>
      </c>
      <c r="C525" s="1">
        <v>45113</v>
      </c>
      <c r="D525" s="1">
        <v>45125</v>
      </c>
      <c r="E525" t="s">
        <v>13</v>
      </c>
      <c r="F525" t="s">
        <v>18</v>
      </c>
      <c r="G525">
        <v>69</v>
      </c>
      <c r="H525">
        <v>107.47</v>
      </c>
      <c r="I525">
        <v>105.53</v>
      </c>
      <c r="J525">
        <v>0</v>
      </c>
      <c r="K525" t="s">
        <v>15</v>
      </c>
      <c r="L525">
        <f>Procurement_kpi_Analysis[[#This Row],[Quantity]]*Procurement_kpi_Analysis[[#This Row],[Negotiated_Price]]</f>
        <v>7281.57</v>
      </c>
      <c r="M525">
        <f>IF(Procurement_kpi_Analysis[[#This Row],[Delivery_Date]]="","",Procurement_kpi_Analysis[[#This Row],[Delivery_Date]]-Procurement_kpi_Analysis[[#This Row],[Order_Date]])</f>
        <v>12</v>
      </c>
      <c r="N525" s="2">
        <f>Procurement_kpi_Analysis[[#This Row],[Defective_Units]]/Procurement_kpi_Analysis[[#This Row],[Quantity]]</f>
        <v>0</v>
      </c>
      <c r="O525" s="2">
        <f>(Procurement_kpi_Analysis[[#This Row],[Unit_Price]]-Procurement_kpi_Analysis[[#This Row],[Negotiated_Price]])*Procurement_kpi_Analysis[[#This Row],[Quantity]]</f>
        <v>133.85999999999984</v>
      </c>
      <c r="P525" s="2">
        <f>Procurement_kpi_Analysis[[#This Row],[Total Savings]]/Procurement_kpi_Analysis[[#This Row],[Total Spend]]</f>
        <v>1.8383398085852345E-2</v>
      </c>
      <c r="Q525" s="2" t="str">
        <f>IF(Procurement_kpi_Analysis[[#This Row],[Lead Time]]&lt;=14,"On Time","Late")</f>
        <v>On Time</v>
      </c>
      <c r="R525" s="2">
        <f>Procurement_kpi_Analysis[[#This Row],[Unit_Price]]*Procurement_kpi_Analysis[[#This Row],[Quantity]]</f>
        <v>7415.43</v>
      </c>
      <c r="S525" s="2">
        <f>IF(Procurement_kpi_Analysis[[#This Row],[Compliance]]="Yes",1,0)</f>
        <v>1</v>
      </c>
      <c r="T525" s="2">
        <f>IF(Procurement_kpi_Analysis[[#This Row],[Compliance]]="No",1,0)</f>
        <v>0</v>
      </c>
    </row>
    <row r="526" spans="1:20" x14ac:dyDescent="0.3">
      <c r="A526" t="s">
        <v>551</v>
      </c>
      <c r="B526" t="s">
        <v>17</v>
      </c>
      <c r="C526" s="1">
        <v>45265</v>
      </c>
      <c r="D526" s="1">
        <v>45271</v>
      </c>
      <c r="E526" t="s">
        <v>24</v>
      </c>
      <c r="F526" t="s">
        <v>18</v>
      </c>
      <c r="G526">
        <v>370</v>
      </c>
      <c r="H526">
        <v>63.9</v>
      </c>
      <c r="I526">
        <v>55.79</v>
      </c>
      <c r="J526">
        <v>59</v>
      </c>
      <c r="K526" t="s">
        <v>15</v>
      </c>
      <c r="L526">
        <f>Procurement_kpi_Analysis[[#This Row],[Quantity]]*Procurement_kpi_Analysis[[#This Row],[Negotiated_Price]]</f>
        <v>20642.3</v>
      </c>
      <c r="M526">
        <f>IF(Procurement_kpi_Analysis[[#This Row],[Delivery_Date]]="","",Procurement_kpi_Analysis[[#This Row],[Delivery_Date]]-Procurement_kpi_Analysis[[#This Row],[Order_Date]])</f>
        <v>6</v>
      </c>
      <c r="N526" s="2">
        <f>Procurement_kpi_Analysis[[#This Row],[Defective_Units]]/Procurement_kpi_Analysis[[#This Row],[Quantity]]</f>
        <v>0.15945945945945947</v>
      </c>
      <c r="O526" s="2">
        <f>(Procurement_kpi_Analysis[[#This Row],[Unit_Price]]-Procurement_kpi_Analysis[[#This Row],[Negotiated_Price]])*Procurement_kpi_Analysis[[#This Row],[Quantity]]</f>
        <v>3000.7</v>
      </c>
      <c r="P526" s="2">
        <f>Procurement_kpi_Analysis[[#This Row],[Total Savings]]/Procurement_kpi_Analysis[[#This Row],[Total Spend]]</f>
        <v>0.14536655314572502</v>
      </c>
      <c r="Q526" s="2" t="str">
        <f>IF(Procurement_kpi_Analysis[[#This Row],[Lead Time]]&lt;=14,"On Time","Late")</f>
        <v>On Time</v>
      </c>
      <c r="R526" s="2">
        <f>Procurement_kpi_Analysis[[#This Row],[Unit_Price]]*Procurement_kpi_Analysis[[#This Row],[Quantity]]</f>
        <v>23643</v>
      </c>
      <c r="S526" s="2">
        <f>IF(Procurement_kpi_Analysis[[#This Row],[Compliance]]="Yes",1,0)</f>
        <v>1</v>
      </c>
      <c r="T526" s="2">
        <f>IF(Procurement_kpi_Analysis[[#This Row],[Compliance]]="No",1,0)</f>
        <v>0</v>
      </c>
    </row>
    <row r="527" spans="1:20" x14ac:dyDescent="0.3">
      <c r="A527" t="s">
        <v>552</v>
      </c>
      <c r="B527" t="s">
        <v>17</v>
      </c>
      <c r="C527" s="1">
        <v>45248</v>
      </c>
      <c r="D527" s="1">
        <v>45263</v>
      </c>
      <c r="E527" t="s">
        <v>21</v>
      </c>
      <c r="F527" t="s">
        <v>18</v>
      </c>
      <c r="G527">
        <v>1849</v>
      </c>
      <c r="H527">
        <v>28.25</v>
      </c>
      <c r="I527">
        <v>27.53</v>
      </c>
      <c r="J527">
        <v>271</v>
      </c>
      <c r="K527" t="s">
        <v>15</v>
      </c>
      <c r="L527">
        <f>Procurement_kpi_Analysis[[#This Row],[Quantity]]*Procurement_kpi_Analysis[[#This Row],[Negotiated_Price]]</f>
        <v>50902.97</v>
      </c>
      <c r="M527">
        <f>IF(Procurement_kpi_Analysis[[#This Row],[Delivery_Date]]="","",Procurement_kpi_Analysis[[#This Row],[Delivery_Date]]-Procurement_kpi_Analysis[[#This Row],[Order_Date]])</f>
        <v>15</v>
      </c>
      <c r="N527" s="2">
        <f>Procurement_kpi_Analysis[[#This Row],[Defective_Units]]/Procurement_kpi_Analysis[[#This Row],[Quantity]]</f>
        <v>0.14656571119524067</v>
      </c>
      <c r="O527" s="2">
        <f>(Procurement_kpi_Analysis[[#This Row],[Unit_Price]]-Procurement_kpi_Analysis[[#This Row],[Negotiated_Price]])*Procurement_kpi_Analysis[[#This Row],[Quantity]]</f>
        <v>1331.2799999999979</v>
      </c>
      <c r="P527" s="2">
        <f>Procurement_kpi_Analysis[[#This Row],[Total Savings]]/Procurement_kpi_Analysis[[#This Row],[Total Spend]]</f>
        <v>2.615328732292041E-2</v>
      </c>
      <c r="Q527" s="2" t="str">
        <f>IF(Procurement_kpi_Analysis[[#This Row],[Lead Time]]&lt;=14,"On Time","Late")</f>
        <v>Late</v>
      </c>
      <c r="R527" s="2">
        <f>Procurement_kpi_Analysis[[#This Row],[Unit_Price]]*Procurement_kpi_Analysis[[#This Row],[Quantity]]</f>
        <v>52234.25</v>
      </c>
      <c r="S527" s="2">
        <f>IF(Procurement_kpi_Analysis[[#This Row],[Compliance]]="Yes",1,0)</f>
        <v>1</v>
      </c>
      <c r="T527" s="2">
        <f>IF(Procurement_kpi_Analysis[[#This Row],[Compliance]]="No",1,0)</f>
        <v>0</v>
      </c>
    </row>
    <row r="528" spans="1:20" x14ac:dyDescent="0.3">
      <c r="A528" t="s">
        <v>553</v>
      </c>
      <c r="B528" t="s">
        <v>23</v>
      </c>
      <c r="C528" s="1">
        <v>44763</v>
      </c>
      <c r="D528" s="1"/>
      <c r="E528" t="s">
        <v>24</v>
      </c>
      <c r="F528" t="s">
        <v>18</v>
      </c>
      <c r="G528">
        <v>561</v>
      </c>
      <c r="H528">
        <v>35.54</v>
      </c>
      <c r="I528">
        <v>30.99</v>
      </c>
      <c r="J528">
        <v>68</v>
      </c>
      <c r="K528" t="s">
        <v>27</v>
      </c>
      <c r="L528">
        <f>Procurement_kpi_Analysis[[#This Row],[Quantity]]*Procurement_kpi_Analysis[[#This Row],[Negotiated_Price]]</f>
        <v>17385.39</v>
      </c>
      <c r="M528" t="str">
        <f>IF(Procurement_kpi_Analysis[[#This Row],[Delivery_Date]]="","",Procurement_kpi_Analysis[[#This Row],[Delivery_Date]]-Procurement_kpi_Analysis[[#This Row],[Order_Date]])</f>
        <v/>
      </c>
      <c r="N528" s="2">
        <f>Procurement_kpi_Analysis[[#This Row],[Defective_Units]]/Procurement_kpi_Analysis[[#This Row],[Quantity]]</f>
        <v>0.12121212121212122</v>
      </c>
      <c r="O528" s="2">
        <f>(Procurement_kpi_Analysis[[#This Row],[Unit_Price]]-Procurement_kpi_Analysis[[#This Row],[Negotiated_Price]])*Procurement_kpi_Analysis[[#This Row],[Quantity]]</f>
        <v>2552.5500000000002</v>
      </c>
      <c r="P528" s="2">
        <f>Procurement_kpi_Analysis[[#This Row],[Total Savings]]/Procurement_kpi_Analysis[[#This Row],[Total Spend]]</f>
        <v>0.14682155534043242</v>
      </c>
      <c r="Q528" s="2" t="str">
        <f>IF(Procurement_kpi_Analysis[[#This Row],[Lead Time]]&lt;=14,"On Time","Late")</f>
        <v>Late</v>
      </c>
      <c r="R528" s="2">
        <f>Procurement_kpi_Analysis[[#This Row],[Unit_Price]]*Procurement_kpi_Analysis[[#This Row],[Quantity]]</f>
        <v>19937.939999999999</v>
      </c>
      <c r="S528" s="2">
        <f>IF(Procurement_kpi_Analysis[[#This Row],[Compliance]]="Yes",1,0)</f>
        <v>0</v>
      </c>
      <c r="T528" s="2">
        <f>IF(Procurement_kpi_Analysis[[#This Row],[Compliance]]="No",1,0)</f>
        <v>1</v>
      </c>
    </row>
    <row r="529" spans="1:20" x14ac:dyDescent="0.3">
      <c r="A529" t="s">
        <v>554</v>
      </c>
      <c r="B529" t="s">
        <v>20</v>
      </c>
      <c r="C529" s="1">
        <v>44934</v>
      </c>
      <c r="D529" s="1">
        <v>44940</v>
      </c>
      <c r="E529" t="s">
        <v>39</v>
      </c>
      <c r="F529" t="s">
        <v>18</v>
      </c>
      <c r="G529">
        <v>449</v>
      </c>
      <c r="H529">
        <v>12.35</v>
      </c>
      <c r="I529">
        <v>10.67</v>
      </c>
      <c r="J529">
        <v>29</v>
      </c>
      <c r="K529" t="s">
        <v>15</v>
      </c>
      <c r="L529">
        <f>Procurement_kpi_Analysis[[#This Row],[Quantity]]*Procurement_kpi_Analysis[[#This Row],[Negotiated_Price]]</f>
        <v>4790.83</v>
      </c>
      <c r="M529">
        <f>IF(Procurement_kpi_Analysis[[#This Row],[Delivery_Date]]="","",Procurement_kpi_Analysis[[#This Row],[Delivery_Date]]-Procurement_kpi_Analysis[[#This Row],[Order_Date]])</f>
        <v>6</v>
      </c>
      <c r="N529" s="2">
        <f>Procurement_kpi_Analysis[[#This Row],[Defective_Units]]/Procurement_kpi_Analysis[[#This Row],[Quantity]]</f>
        <v>6.4587973273942098E-2</v>
      </c>
      <c r="O529" s="2">
        <f>(Procurement_kpi_Analysis[[#This Row],[Unit_Price]]-Procurement_kpi_Analysis[[#This Row],[Negotiated_Price]])*Procurement_kpi_Analysis[[#This Row],[Quantity]]</f>
        <v>754.31999999999982</v>
      </c>
      <c r="P529" s="2">
        <f>Procurement_kpi_Analysis[[#This Row],[Total Savings]]/Procurement_kpi_Analysis[[#This Row],[Total Spend]]</f>
        <v>0.15745079662605432</v>
      </c>
      <c r="Q529" s="2" t="str">
        <f>IF(Procurement_kpi_Analysis[[#This Row],[Lead Time]]&lt;=14,"On Time","Late")</f>
        <v>On Time</v>
      </c>
      <c r="R529" s="2">
        <f>Procurement_kpi_Analysis[[#This Row],[Unit_Price]]*Procurement_kpi_Analysis[[#This Row],[Quantity]]</f>
        <v>5545.15</v>
      </c>
      <c r="S529" s="2">
        <f>IF(Procurement_kpi_Analysis[[#This Row],[Compliance]]="Yes",1,0)</f>
        <v>1</v>
      </c>
      <c r="T529" s="2">
        <f>IF(Procurement_kpi_Analysis[[#This Row],[Compliance]]="No",1,0)</f>
        <v>0</v>
      </c>
    </row>
    <row r="530" spans="1:20" x14ac:dyDescent="0.3">
      <c r="A530" t="s">
        <v>555</v>
      </c>
      <c r="B530" t="s">
        <v>23</v>
      </c>
      <c r="C530" s="1">
        <v>45003</v>
      </c>
      <c r="D530" s="1">
        <v>45006</v>
      </c>
      <c r="E530" t="s">
        <v>13</v>
      </c>
      <c r="F530" t="s">
        <v>18</v>
      </c>
      <c r="G530">
        <v>703</v>
      </c>
      <c r="H530">
        <v>98.75</v>
      </c>
      <c r="I530">
        <v>86.78</v>
      </c>
      <c r="J530">
        <v>59</v>
      </c>
      <c r="K530" t="s">
        <v>15</v>
      </c>
      <c r="L530">
        <f>Procurement_kpi_Analysis[[#This Row],[Quantity]]*Procurement_kpi_Analysis[[#This Row],[Negotiated_Price]]</f>
        <v>61006.340000000004</v>
      </c>
      <c r="M530">
        <f>IF(Procurement_kpi_Analysis[[#This Row],[Delivery_Date]]="","",Procurement_kpi_Analysis[[#This Row],[Delivery_Date]]-Procurement_kpi_Analysis[[#This Row],[Order_Date]])</f>
        <v>3</v>
      </c>
      <c r="N530" s="2">
        <f>Procurement_kpi_Analysis[[#This Row],[Defective_Units]]/Procurement_kpi_Analysis[[#This Row],[Quantity]]</f>
        <v>8.392603129445235E-2</v>
      </c>
      <c r="O530" s="2">
        <f>(Procurement_kpi_Analysis[[#This Row],[Unit_Price]]-Procurement_kpi_Analysis[[#This Row],[Negotiated_Price]])*Procurement_kpi_Analysis[[#This Row],[Quantity]]</f>
        <v>8414.91</v>
      </c>
      <c r="P530" s="2">
        <f>Procurement_kpi_Analysis[[#This Row],[Total Savings]]/Procurement_kpi_Analysis[[#This Row],[Total Spend]]</f>
        <v>0.13793500806637474</v>
      </c>
      <c r="Q530" s="2" t="str">
        <f>IF(Procurement_kpi_Analysis[[#This Row],[Lead Time]]&lt;=14,"On Time","Late")</f>
        <v>On Time</v>
      </c>
      <c r="R530" s="2">
        <f>Procurement_kpi_Analysis[[#This Row],[Unit_Price]]*Procurement_kpi_Analysis[[#This Row],[Quantity]]</f>
        <v>69421.25</v>
      </c>
      <c r="S530" s="2">
        <f>IF(Procurement_kpi_Analysis[[#This Row],[Compliance]]="Yes",1,0)</f>
        <v>1</v>
      </c>
      <c r="T530" s="2">
        <f>IF(Procurement_kpi_Analysis[[#This Row],[Compliance]]="No",1,0)</f>
        <v>0</v>
      </c>
    </row>
    <row r="531" spans="1:20" x14ac:dyDescent="0.3">
      <c r="A531" t="s">
        <v>556</v>
      </c>
      <c r="B531" t="s">
        <v>20</v>
      </c>
      <c r="C531" s="1">
        <v>44633</v>
      </c>
      <c r="D531" s="1">
        <v>44648</v>
      </c>
      <c r="E531" t="s">
        <v>39</v>
      </c>
      <c r="F531" t="s">
        <v>18</v>
      </c>
      <c r="G531">
        <v>1021</v>
      </c>
      <c r="H531">
        <v>20.8</v>
      </c>
      <c r="I531">
        <v>18.23</v>
      </c>
      <c r="J531">
        <v>37</v>
      </c>
      <c r="K531" t="s">
        <v>15</v>
      </c>
      <c r="L531">
        <f>Procurement_kpi_Analysis[[#This Row],[Quantity]]*Procurement_kpi_Analysis[[#This Row],[Negotiated_Price]]</f>
        <v>18612.830000000002</v>
      </c>
      <c r="M531">
        <f>IF(Procurement_kpi_Analysis[[#This Row],[Delivery_Date]]="","",Procurement_kpi_Analysis[[#This Row],[Delivery_Date]]-Procurement_kpi_Analysis[[#This Row],[Order_Date]])</f>
        <v>15</v>
      </c>
      <c r="N531" s="2">
        <f>Procurement_kpi_Analysis[[#This Row],[Defective_Units]]/Procurement_kpi_Analysis[[#This Row],[Quantity]]</f>
        <v>3.6238981390793339E-2</v>
      </c>
      <c r="O531" s="2">
        <f>(Procurement_kpi_Analysis[[#This Row],[Unit_Price]]-Procurement_kpi_Analysis[[#This Row],[Negotiated_Price]])*Procurement_kpi_Analysis[[#This Row],[Quantity]]</f>
        <v>2623.9700000000003</v>
      </c>
      <c r="P531" s="2">
        <f>Procurement_kpi_Analysis[[#This Row],[Total Savings]]/Procurement_kpi_Analysis[[#This Row],[Total Spend]]</f>
        <v>0.14097641250685683</v>
      </c>
      <c r="Q531" s="2" t="str">
        <f>IF(Procurement_kpi_Analysis[[#This Row],[Lead Time]]&lt;=14,"On Time","Late")</f>
        <v>Late</v>
      </c>
      <c r="R531" s="2">
        <f>Procurement_kpi_Analysis[[#This Row],[Unit_Price]]*Procurement_kpi_Analysis[[#This Row],[Quantity]]</f>
        <v>21236.799999999999</v>
      </c>
      <c r="S531" s="2">
        <f>IF(Procurement_kpi_Analysis[[#This Row],[Compliance]]="Yes",1,0)</f>
        <v>1</v>
      </c>
      <c r="T531" s="2">
        <f>IF(Procurement_kpi_Analysis[[#This Row],[Compliance]]="No",1,0)</f>
        <v>0</v>
      </c>
    </row>
    <row r="532" spans="1:20" x14ac:dyDescent="0.3">
      <c r="A532" t="s">
        <v>557</v>
      </c>
      <c r="B532" t="s">
        <v>23</v>
      </c>
      <c r="C532" s="1">
        <v>45242</v>
      </c>
      <c r="D532" s="1">
        <v>45249</v>
      </c>
      <c r="E532" t="s">
        <v>13</v>
      </c>
      <c r="F532" t="s">
        <v>18</v>
      </c>
      <c r="G532">
        <v>1956</v>
      </c>
      <c r="H532">
        <v>68.69</v>
      </c>
      <c r="I532">
        <v>65.09</v>
      </c>
      <c r="J532">
        <v>0</v>
      </c>
      <c r="K532" t="s">
        <v>15</v>
      </c>
      <c r="L532">
        <f>Procurement_kpi_Analysis[[#This Row],[Quantity]]*Procurement_kpi_Analysis[[#This Row],[Negotiated_Price]]</f>
        <v>127316.04000000001</v>
      </c>
      <c r="M532">
        <f>IF(Procurement_kpi_Analysis[[#This Row],[Delivery_Date]]="","",Procurement_kpi_Analysis[[#This Row],[Delivery_Date]]-Procurement_kpi_Analysis[[#This Row],[Order_Date]])</f>
        <v>7</v>
      </c>
      <c r="N532" s="2">
        <f>Procurement_kpi_Analysis[[#This Row],[Defective_Units]]/Procurement_kpi_Analysis[[#This Row],[Quantity]]</f>
        <v>0</v>
      </c>
      <c r="O532" s="2">
        <f>(Procurement_kpi_Analysis[[#This Row],[Unit_Price]]-Procurement_kpi_Analysis[[#This Row],[Negotiated_Price]])*Procurement_kpi_Analysis[[#This Row],[Quantity]]</f>
        <v>7041.5999999999885</v>
      </c>
      <c r="P532" s="2">
        <f>Procurement_kpi_Analysis[[#This Row],[Total Savings]]/Procurement_kpi_Analysis[[#This Row],[Total Spend]]</f>
        <v>5.530803502842209E-2</v>
      </c>
      <c r="Q532" s="2" t="str">
        <f>IF(Procurement_kpi_Analysis[[#This Row],[Lead Time]]&lt;=14,"On Time","Late")</f>
        <v>On Time</v>
      </c>
      <c r="R532" s="2">
        <f>Procurement_kpi_Analysis[[#This Row],[Unit_Price]]*Procurement_kpi_Analysis[[#This Row],[Quantity]]</f>
        <v>134357.63999999998</v>
      </c>
      <c r="S532" s="2">
        <f>IF(Procurement_kpi_Analysis[[#This Row],[Compliance]]="Yes",1,0)</f>
        <v>1</v>
      </c>
      <c r="T532" s="2">
        <f>IF(Procurement_kpi_Analysis[[#This Row],[Compliance]]="No",1,0)</f>
        <v>0</v>
      </c>
    </row>
    <row r="533" spans="1:20" x14ac:dyDescent="0.3">
      <c r="A533" t="s">
        <v>558</v>
      </c>
      <c r="B533" t="s">
        <v>17</v>
      </c>
      <c r="C533" s="1">
        <v>44900</v>
      </c>
      <c r="D533" s="1">
        <v>44907</v>
      </c>
      <c r="E533" t="s">
        <v>13</v>
      </c>
      <c r="F533" t="s">
        <v>33</v>
      </c>
      <c r="G533">
        <v>520</v>
      </c>
      <c r="H533">
        <v>36.57</v>
      </c>
      <c r="I533">
        <v>34.78</v>
      </c>
      <c r="J533">
        <v>67</v>
      </c>
      <c r="K533" t="s">
        <v>27</v>
      </c>
      <c r="L533">
        <f>Procurement_kpi_Analysis[[#This Row],[Quantity]]*Procurement_kpi_Analysis[[#This Row],[Negotiated_Price]]</f>
        <v>18085.600000000002</v>
      </c>
      <c r="M533">
        <f>IF(Procurement_kpi_Analysis[[#This Row],[Delivery_Date]]="","",Procurement_kpi_Analysis[[#This Row],[Delivery_Date]]-Procurement_kpi_Analysis[[#This Row],[Order_Date]])</f>
        <v>7</v>
      </c>
      <c r="N533" s="2">
        <f>Procurement_kpi_Analysis[[#This Row],[Defective_Units]]/Procurement_kpi_Analysis[[#This Row],[Quantity]]</f>
        <v>0.12884615384615383</v>
      </c>
      <c r="O533" s="2">
        <f>(Procurement_kpi_Analysis[[#This Row],[Unit_Price]]-Procurement_kpi_Analysis[[#This Row],[Negotiated_Price]])*Procurement_kpi_Analysis[[#This Row],[Quantity]]</f>
        <v>930.7999999999995</v>
      </c>
      <c r="P533" s="2">
        <f>Procurement_kpi_Analysis[[#This Row],[Total Savings]]/Procurement_kpi_Analysis[[#This Row],[Total Spend]]</f>
        <v>5.1466359976998242E-2</v>
      </c>
      <c r="Q533" s="2" t="str">
        <f>IF(Procurement_kpi_Analysis[[#This Row],[Lead Time]]&lt;=14,"On Time","Late")</f>
        <v>On Time</v>
      </c>
      <c r="R533" s="2">
        <f>Procurement_kpi_Analysis[[#This Row],[Unit_Price]]*Procurement_kpi_Analysis[[#This Row],[Quantity]]</f>
        <v>19016.400000000001</v>
      </c>
      <c r="S533" s="2">
        <f>IF(Procurement_kpi_Analysis[[#This Row],[Compliance]]="Yes",1,0)</f>
        <v>0</v>
      </c>
      <c r="T533" s="2">
        <f>IF(Procurement_kpi_Analysis[[#This Row],[Compliance]]="No",1,0)</f>
        <v>1</v>
      </c>
    </row>
    <row r="534" spans="1:20" x14ac:dyDescent="0.3">
      <c r="A534" t="s">
        <v>559</v>
      </c>
      <c r="B534" t="s">
        <v>17</v>
      </c>
      <c r="C534" s="1">
        <v>45200</v>
      </c>
      <c r="D534" s="1">
        <v>45211</v>
      </c>
      <c r="E534" t="s">
        <v>21</v>
      </c>
      <c r="F534" t="s">
        <v>18</v>
      </c>
      <c r="G534">
        <v>1216</v>
      </c>
      <c r="H534">
        <v>66.16</v>
      </c>
      <c r="I534">
        <v>63</v>
      </c>
      <c r="J534">
        <v>179</v>
      </c>
      <c r="K534" t="s">
        <v>27</v>
      </c>
      <c r="L534">
        <f>Procurement_kpi_Analysis[[#This Row],[Quantity]]*Procurement_kpi_Analysis[[#This Row],[Negotiated_Price]]</f>
        <v>76608</v>
      </c>
      <c r="M534">
        <f>IF(Procurement_kpi_Analysis[[#This Row],[Delivery_Date]]="","",Procurement_kpi_Analysis[[#This Row],[Delivery_Date]]-Procurement_kpi_Analysis[[#This Row],[Order_Date]])</f>
        <v>11</v>
      </c>
      <c r="N534" s="2">
        <f>Procurement_kpi_Analysis[[#This Row],[Defective_Units]]/Procurement_kpi_Analysis[[#This Row],[Quantity]]</f>
        <v>0.14720394736842105</v>
      </c>
      <c r="O534" s="2">
        <f>(Procurement_kpi_Analysis[[#This Row],[Unit_Price]]-Procurement_kpi_Analysis[[#This Row],[Negotiated_Price]])*Procurement_kpi_Analysis[[#This Row],[Quantity]]</f>
        <v>3842.5599999999959</v>
      </c>
      <c r="P534" s="2">
        <f>Procurement_kpi_Analysis[[#This Row],[Total Savings]]/Procurement_kpi_Analysis[[#This Row],[Total Spend]]</f>
        <v>5.0158730158730104E-2</v>
      </c>
      <c r="Q534" s="2" t="str">
        <f>IF(Procurement_kpi_Analysis[[#This Row],[Lead Time]]&lt;=14,"On Time","Late")</f>
        <v>On Time</v>
      </c>
      <c r="R534" s="2">
        <f>Procurement_kpi_Analysis[[#This Row],[Unit_Price]]*Procurement_kpi_Analysis[[#This Row],[Quantity]]</f>
        <v>80450.559999999998</v>
      </c>
      <c r="S534" s="2">
        <f>IF(Procurement_kpi_Analysis[[#This Row],[Compliance]]="Yes",1,0)</f>
        <v>0</v>
      </c>
      <c r="T534" s="2">
        <f>IF(Procurement_kpi_Analysis[[#This Row],[Compliance]]="No",1,0)</f>
        <v>1</v>
      </c>
    </row>
    <row r="535" spans="1:20" x14ac:dyDescent="0.3">
      <c r="A535" t="s">
        <v>560</v>
      </c>
      <c r="B535" t="s">
        <v>12</v>
      </c>
      <c r="C535" s="1">
        <v>44883</v>
      </c>
      <c r="D535" s="1"/>
      <c r="E535" t="s">
        <v>26</v>
      </c>
      <c r="F535" t="s">
        <v>18</v>
      </c>
      <c r="G535">
        <v>1165</v>
      </c>
      <c r="H535">
        <v>72.06</v>
      </c>
      <c r="I535">
        <v>63.93</v>
      </c>
      <c r="J535">
        <v>0</v>
      </c>
      <c r="K535" t="s">
        <v>15</v>
      </c>
      <c r="L535">
        <f>Procurement_kpi_Analysis[[#This Row],[Quantity]]*Procurement_kpi_Analysis[[#This Row],[Negotiated_Price]]</f>
        <v>74478.45</v>
      </c>
      <c r="M535" t="str">
        <f>IF(Procurement_kpi_Analysis[[#This Row],[Delivery_Date]]="","",Procurement_kpi_Analysis[[#This Row],[Delivery_Date]]-Procurement_kpi_Analysis[[#This Row],[Order_Date]])</f>
        <v/>
      </c>
      <c r="N535" s="2">
        <f>Procurement_kpi_Analysis[[#This Row],[Defective_Units]]/Procurement_kpi_Analysis[[#This Row],[Quantity]]</f>
        <v>0</v>
      </c>
      <c r="O535" s="2">
        <f>(Procurement_kpi_Analysis[[#This Row],[Unit_Price]]-Procurement_kpi_Analysis[[#This Row],[Negotiated_Price]])*Procurement_kpi_Analysis[[#This Row],[Quantity]]</f>
        <v>9471.4500000000025</v>
      </c>
      <c r="P535" s="2">
        <f>Procurement_kpi_Analysis[[#This Row],[Total Savings]]/Procurement_kpi_Analysis[[#This Row],[Total Spend]]</f>
        <v>0.12717034256217741</v>
      </c>
      <c r="Q535" s="2" t="str">
        <f>IF(Procurement_kpi_Analysis[[#This Row],[Lead Time]]&lt;=14,"On Time","Late")</f>
        <v>Late</v>
      </c>
      <c r="R535" s="2">
        <f>Procurement_kpi_Analysis[[#This Row],[Unit_Price]]*Procurement_kpi_Analysis[[#This Row],[Quantity]]</f>
        <v>83949.900000000009</v>
      </c>
      <c r="S535" s="2">
        <f>IF(Procurement_kpi_Analysis[[#This Row],[Compliance]]="Yes",1,0)</f>
        <v>1</v>
      </c>
      <c r="T535" s="2">
        <f>IF(Procurement_kpi_Analysis[[#This Row],[Compliance]]="No",1,0)</f>
        <v>0</v>
      </c>
    </row>
    <row r="536" spans="1:20" x14ac:dyDescent="0.3">
      <c r="A536" t="s">
        <v>561</v>
      </c>
      <c r="B536" t="s">
        <v>17</v>
      </c>
      <c r="C536" s="1">
        <v>45241</v>
      </c>
      <c r="D536" s="1">
        <v>45259</v>
      </c>
      <c r="E536" t="s">
        <v>24</v>
      </c>
      <c r="F536" t="s">
        <v>35</v>
      </c>
      <c r="G536">
        <v>1427</v>
      </c>
      <c r="H536">
        <v>93.99</v>
      </c>
      <c r="I536">
        <v>83.6</v>
      </c>
      <c r="J536">
        <v>213</v>
      </c>
      <c r="K536" t="s">
        <v>15</v>
      </c>
      <c r="L536">
        <f>Procurement_kpi_Analysis[[#This Row],[Quantity]]*Procurement_kpi_Analysis[[#This Row],[Negotiated_Price]]</f>
        <v>119297.2</v>
      </c>
      <c r="M536">
        <f>IF(Procurement_kpi_Analysis[[#This Row],[Delivery_Date]]="","",Procurement_kpi_Analysis[[#This Row],[Delivery_Date]]-Procurement_kpi_Analysis[[#This Row],[Order_Date]])</f>
        <v>18</v>
      </c>
      <c r="N536" s="2">
        <f>Procurement_kpi_Analysis[[#This Row],[Defective_Units]]/Procurement_kpi_Analysis[[#This Row],[Quantity]]</f>
        <v>0.14926419060967064</v>
      </c>
      <c r="O536" s="2">
        <f>(Procurement_kpi_Analysis[[#This Row],[Unit_Price]]-Procurement_kpi_Analysis[[#This Row],[Negotiated_Price]])*Procurement_kpi_Analysis[[#This Row],[Quantity]]</f>
        <v>14826.53</v>
      </c>
      <c r="P536" s="2">
        <f>Procurement_kpi_Analysis[[#This Row],[Total Savings]]/Procurement_kpi_Analysis[[#This Row],[Total Spend]]</f>
        <v>0.12428229665071772</v>
      </c>
      <c r="Q536" s="2" t="str">
        <f>IF(Procurement_kpi_Analysis[[#This Row],[Lead Time]]&lt;=14,"On Time","Late")</f>
        <v>Late</v>
      </c>
      <c r="R536" s="2">
        <f>Procurement_kpi_Analysis[[#This Row],[Unit_Price]]*Procurement_kpi_Analysis[[#This Row],[Quantity]]</f>
        <v>134123.72999999998</v>
      </c>
      <c r="S536" s="2">
        <f>IF(Procurement_kpi_Analysis[[#This Row],[Compliance]]="Yes",1,0)</f>
        <v>1</v>
      </c>
      <c r="T536" s="2">
        <f>IF(Procurement_kpi_Analysis[[#This Row],[Compliance]]="No",1,0)</f>
        <v>0</v>
      </c>
    </row>
    <row r="537" spans="1:20" x14ac:dyDescent="0.3">
      <c r="A537" t="s">
        <v>562</v>
      </c>
      <c r="B537" t="s">
        <v>29</v>
      </c>
      <c r="C537" s="1">
        <v>44689</v>
      </c>
      <c r="D537" s="1">
        <v>44691</v>
      </c>
      <c r="E537" t="s">
        <v>39</v>
      </c>
      <c r="F537" t="s">
        <v>18</v>
      </c>
      <c r="G537">
        <v>883</v>
      </c>
      <c r="H537">
        <v>29.15</v>
      </c>
      <c r="I537">
        <v>25.75</v>
      </c>
      <c r="J537">
        <v>14</v>
      </c>
      <c r="K537" t="s">
        <v>15</v>
      </c>
      <c r="L537">
        <f>Procurement_kpi_Analysis[[#This Row],[Quantity]]*Procurement_kpi_Analysis[[#This Row],[Negotiated_Price]]</f>
        <v>22737.25</v>
      </c>
      <c r="M537">
        <f>IF(Procurement_kpi_Analysis[[#This Row],[Delivery_Date]]="","",Procurement_kpi_Analysis[[#This Row],[Delivery_Date]]-Procurement_kpi_Analysis[[#This Row],[Order_Date]])</f>
        <v>2</v>
      </c>
      <c r="N537" s="2">
        <f>Procurement_kpi_Analysis[[#This Row],[Defective_Units]]/Procurement_kpi_Analysis[[#This Row],[Quantity]]</f>
        <v>1.5855039637599093E-2</v>
      </c>
      <c r="O537" s="2">
        <f>(Procurement_kpi_Analysis[[#This Row],[Unit_Price]]-Procurement_kpi_Analysis[[#This Row],[Negotiated_Price]])*Procurement_kpi_Analysis[[#This Row],[Quantity]]</f>
        <v>3002.1999999999989</v>
      </c>
      <c r="P537" s="2">
        <f>Procurement_kpi_Analysis[[#This Row],[Total Savings]]/Procurement_kpi_Analysis[[#This Row],[Total Spend]]</f>
        <v>0.13203883495145627</v>
      </c>
      <c r="Q537" s="2" t="str">
        <f>IF(Procurement_kpi_Analysis[[#This Row],[Lead Time]]&lt;=14,"On Time","Late")</f>
        <v>On Time</v>
      </c>
      <c r="R537" s="2">
        <f>Procurement_kpi_Analysis[[#This Row],[Unit_Price]]*Procurement_kpi_Analysis[[#This Row],[Quantity]]</f>
        <v>25739.449999999997</v>
      </c>
      <c r="S537" s="2">
        <f>IF(Procurement_kpi_Analysis[[#This Row],[Compliance]]="Yes",1,0)</f>
        <v>1</v>
      </c>
      <c r="T537" s="2">
        <f>IF(Procurement_kpi_Analysis[[#This Row],[Compliance]]="No",1,0)</f>
        <v>0</v>
      </c>
    </row>
    <row r="538" spans="1:20" x14ac:dyDescent="0.3">
      <c r="A538" t="s">
        <v>563</v>
      </c>
      <c r="B538" t="s">
        <v>17</v>
      </c>
      <c r="C538" s="1">
        <v>44869</v>
      </c>
      <c r="D538" s="1">
        <v>44876</v>
      </c>
      <c r="E538" t="s">
        <v>24</v>
      </c>
      <c r="F538" t="s">
        <v>33</v>
      </c>
      <c r="G538">
        <v>1873</v>
      </c>
      <c r="H538">
        <v>11.54</v>
      </c>
      <c r="I538">
        <v>9.89</v>
      </c>
      <c r="J538">
        <v>284</v>
      </c>
      <c r="K538" t="s">
        <v>27</v>
      </c>
      <c r="L538">
        <f>Procurement_kpi_Analysis[[#This Row],[Quantity]]*Procurement_kpi_Analysis[[#This Row],[Negotiated_Price]]</f>
        <v>18523.97</v>
      </c>
      <c r="M538">
        <f>IF(Procurement_kpi_Analysis[[#This Row],[Delivery_Date]]="","",Procurement_kpi_Analysis[[#This Row],[Delivery_Date]]-Procurement_kpi_Analysis[[#This Row],[Order_Date]])</f>
        <v>7</v>
      </c>
      <c r="N538" s="2">
        <f>Procurement_kpi_Analysis[[#This Row],[Defective_Units]]/Procurement_kpi_Analysis[[#This Row],[Quantity]]</f>
        <v>0.15162840363053925</v>
      </c>
      <c r="O538" s="2">
        <f>(Procurement_kpi_Analysis[[#This Row],[Unit_Price]]-Procurement_kpi_Analysis[[#This Row],[Negotiated_Price]])*Procurement_kpi_Analysis[[#This Row],[Quantity]]</f>
        <v>3090.4499999999975</v>
      </c>
      <c r="P538" s="2">
        <f>Procurement_kpi_Analysis[[#This Row],[Total Savings]]/Procurement_kpi_Analysis[[#This Row],[Total Spend]]</f>
        <v>0.16683518705763384</v>
      </c>
      <c r="Q538" s="2" t="str">
        <f>IF(Procurement_kpi_Analysis[[#This Row],[Lead Time]]&lt;=14,"On Time","Late")</f>
        <v>On Time</v>
      </c>
      <c r="R538" s="2">
        <f>Procurement_kpi_Analysis[[#This Row],[Unit_Price]]*Procurement_kpi_Analysis[[#This Row],[Quantity]]</f>
        <v>21614.42</v>
      </c>
      <c r="S538" s="2">
        <f>IF(Procurement_kpi_Analysis[[#This Row],[Compliance]]="Yes",1,0)</f>
        <v>0</v>
      </c>
      <c r="T538" s="2">
        <f>IF(Procurement_kpi_Analysis[[#This Row],[Compliance]]="No",1,0)</f>
        <v>1</v>
      </c>
    </row>
    <row r="539" spans="1:20" x14ac:dyDescent="0.3">
      <c r="A539" t="s">
        <v>564</v>
      </c>
      <c r="B539" t="s">
        <v>29</v>
      </c>
      <c r="C539" s="1">
        <v>45081</v>
      </c>
      <c r="D539" s="1">
        <v>45083</v>
      </c>
      <c r="E539" t="s">
        <v>13</v>
      </c>
      <c r="F539" t="s">
        <v>18</v>
      </c>
      <c r="G539">
        <v>776</v>
      </c>
      <c r="H539">
        <v>24.22</v>
      </c>
      <c r="I539">
        <v>22.53</v>
      </c>
      <c r="J539">
        <v>27</v>
      </c>
      <c r="K539" t="s">
        <v>15</v>
      </c>
      <c r="L539">
        <f>Procurement_kpi_Analysis[[#This Row],[Quantity]]*Procurement_kpi_Analysis[[#This Row],[Negotiated_Price]]</f>
        <v>17483.280000000002</v>
      </c>
      <c r="M539">
        <f>IF(Procurement_kpi_Analysis[[#This Row],[Delivery_Date]]="","",Procurement_kpi_Analysis[[#This Row],[Delivery_Date]]-Procurement_kpi_Analysis[[#This Row],[Order_Date]])</f>
        <v>2</v>
      </c>
      <c r="N539" s="2">
        <f>Procurement_kpi_Analysis[[#This Row],[Defective_Units]]/Procurement_kpi_Analysis[[#This Row],[Quantity]]</f>
        <v>3.4793814432989692E-2</v>
      </c>
      <c r="O539" s="2">
        <f>(Procurement_kpi_Analysis[[#This Row],[Unit_Price]]-Procurement_kpi_Analysis[[#This Row],[Negotiated_Price]])*Procurement_kpi_Analysis[[#This Row],[Quantity]]</f>
        <v>1311.4399999999982</v>
      </c>
      <c r="P539" s="2">
        <f>Procurement_kpi_Analysis[[#This Row],[Total Savings]]/Procurement_kpi_Analysis[[#This Row],[Total Spend]]</f>
        <v>7.5011096316022971E-2</v>
      </c>
      <c r="Q539" s="2" t="str">
        <f>IF(Procurement_kpi_Analysis[[#This Row],[Lead Time]]&lt;=14,"On Time","Late")</f>
        <v>On Time</v>
      </c>
      <c r="R539" s="2">
        <f>Procurement_kpi_Analysis[[#This Row],[Unit_Price]]*Procurement_kpi_Analysis[[#This Row],[Quantity]]</f>
        <v>18794.719999999998</v>
      </c>
      <c r="S539" s="2">
        <f>IF(Procurement_kpi_Analysis[[#This Row],[Compliance]]="Yes",1,0)</f>
        <v>1</v>
      </c>
      <c r="T539" s="2">
        <f>IF(Procurement_kpi_Analysis[[#This Row],[Compliance]]="No",1,0)</f>
        <v>0</v>
      </c>
    </row>
    <row r="540" spans="1:20" x14ac:dyDescent="0.3">
      <c r="A540" t="s">
        <v>565</v>
      </c>
      <c r="B540" t="s">
        <v>17</v>
      </c>
      <c r="C540" s="1">
        <v>44878</v>
      </c>
      <c r="D540" s="1">
        <v>44889</v>
      </c>
      <c r="E540" t="s">
        <v>39</v>
      </c>
      <c r="F540" t="s">
        <v>18</v>
      </c>
      <c r="G540">
        <v>903</v>
      </c>
      <c r="H540">
        <v>95.55</v>
      </c>
      <c r="I540">
        <v>92.45</v>
      </c>
      <c r="J540">
        <v>149</v>
      </c>
      <c r="K540" t="s">
        <v>27</v>
      </c>
      <c r="L540">
        <f>Procurement_kpi_Analysis[[#This Row],[Quantity]]*Procurement_kpi_Analysis[[#This Row],[Negotiated_Price]]</f>
        <v>83482.350000000006</v>
      </c>
      <c r="M540">
        <f>IF(Procurement_kpi_Analysis[[#This Row],[Delivery_Date]]="","",Procurement_kpi_Analysis[[#This Row],[Delivery_Date]]-Procurement_kpi_Analysis[[#This Row],[Order_Date]])</f>
        <v>11</v>
      </c>
      <c r="N540" s="2">
        <f>Procurement_kpi_Analysis[[#This Row],[Defective_Units]]/Procurement_kpi_Analysis[[#This Row],[Quantity]]</f>
        <v>0.16500553709856036</v>
      </c>
      <c r="O540" s="2">
        <f>(Procurement_kpi_Analysis[[#This Row],[Unit_Price]]-Procurement_kpi_Analysis[[#This Row],[Negotiated_Price]])*Procurement_kpi_Analysis[[#This Row],[Quantity]]</f>
        <v>2799.2999999999947</v>
      </c>
      <c r="P540" s="2">
        <f>Procurement_kpi_Analysis[[#This Row],[Total Savings]]/Procurement_kpi_Analysis[[#This Row],[Total Spend]]</f>
        <v>3.3531638723634329E-2</v>
      </c>
      <c r="Q540" s="2" t="str">
        <f>IF(Procurement_kpi_Analysis[[#This Row],[Lead Time]]&lt;=14,"On Time","Late")</f>
        <v>On Time</v>
      </c>
      <c r="R540" s="2">
        <f>Procurement_kpi_Analysis[[#This Row],[Unit_Price]]*Procurement_kpi_Analysis[[#This Row],[Quantity]]</f>
        <v>86281.65</v>
      </c>
      <c r="S540" s="2">
        <f>IF(Procurement_kpi_Analysis[[#This Row],[Compliance]]="Yes",1,0)</f>
        <v>0</v>
      </c>
      <c r="T540" s="2">
        <f>IF(Procurement_kpi_Analysis[[#This Row],[Compliance]]="No",1,0)</f>
        <v>1</v>
      </c>
    </row>
    <row r="541" spans="1:20" x14ac:dyDescent="0.3">
      <c r="A541" t="s">
        <v>566</v>
      </c>
      <c r="B541" t="s">
        <v>29</v>
      </c>
      <c r="C541" s="1">
        <v>45244</v>
      </c>
      <c r="D541" s="1">
        <v>45256</v>
      </c>
      <c r="E541" t="s">
        <v>39</v>
      </c>
      <c r="F541" t="s">
        <v>18</v>
      </c>
      <c r="G541">
        <v>100</v>
      </c>
      <c r="H541">
        <v>98.4</v>
      </c>
      <c r="I541">
        <v>85.76</v>
      </c>
      <c r="J541">
        <v>3</v>
      </c>
      <c r="K541" t="s">
        <v>15</v>
      </c>
      <c r="L541">
        <f>Procurement_kpi_Analysis[[#This Row],[Quantity]]*Procurement_kpi_Analysis[[#This Row],[Negotiated_Price]]</f>
        <v>8576</v>
      </c>
      <c r="M541">
        <f>IF(Procurement_kpi_Analysis[[#This Row],[Delivery_Date]]="","",Procurement_kpi_Analysis[[#This Row],[Delivery_Date]]-Procurement_kpi_Analysis[[#This Row],[Order_Date]])</f>
        <v>12</v>
      </c>
      <c r="N541" s="2">
        <f>Procurement_kpi_Analysis[[#This Row],[Defective_Units]]/Procurement_kpi_Analysis[[#This Row],[Quantity]]</f>
        <v>0.03</v>
      </c>
      <c r="O541" s="2">
        <f>(Procurement_kpi_Analysis[[#This Row],[Unit_Price]]-Procurement_kpi_Analysis[[#This Row],[Negotiated_Price]])*Procurement_kpi_Analysis[[#This Row],[Quantity]]</f>
        <v>1264</v>
      </c>
      <c r="P541" s="2">
        <f>Procurement_kpi_Analysis[[#This Row],[Total Savings]]/Procurement_kpi_Analysis[[#This Row],[Total Spend]]</f>
        <v>0.14738805970149255</v>
      </c>
      <c r="Q541" s="2" t="str">
        <f>IF(Procurement_kpi_Analysis[[#This Row],[Lead Time]]&lt;=14,"On Time","Late")</f>
        <v>On Time</v>
      </c>
      <c r="R541" s="2">
        <f>Procurement_kpi_Analysis[[#This Row],[Unit_Price]]*Procurement_kpi_Analysis[[#This Row],[Quantity]]</f>
        <v>9840</v>
      </c>
      <c r="S541" s="2">
        <f>IF(Procurement_kpi_Analysis[[#This Row],[Compliance]]="Yes",1,0)</f>
        <v>1</v>
      </c>
      <c r="T541" s="2">
        <f>IF(Procurement_kpi_Analysis[[#This Row],[Compliance]]="No",1,0)</f>
        <v>0</v>
      </c>
    </row>
    <row r="542" spans="1:20" x14ac:dyDescent="0.3">
      <c r="A542" t="s">
        <v>567</v>
      </c>
      <c r="B542" t="s">
        <v>29</v>
      </c>
      <c r="C542" s="1">
        <v>44980</v>
      </c>
      <c r="D542" s="1">
        <v>44993</v>
      </c>
      <c r="E542" t="s">
        <v>13</v>
      </c>
      <c r="F542" t="s">
        <v>18</v>
      </c>
      <c r="G542">
        <v>1738</v>
      </c>
      <c r="H542">
        <v>67.91</v>
      </c>
      <c r="I542">
        <v>61.15</v>
      </c>
      <c r="J542">
        <v>0</v>
      </c>
      <c r="K542" t="s">
        <v>15</v>
      </c>
      <c r="L542">
        <f>Procurement_kpi_Analysis[[#This Row],[Quantity]]*Procurement_kpi_Analysis[[#This Row],[Negotiated_Price]]</f>
        <v>106278.7</v>
      </c>
      <c r="M542">
        <f>IF(Procurement_kpi_Analysis[[#This Row],[Delivery_Date]]="","",Procurement_kpi_Analysis[[#This Row],[Delivery_Date]]-Procurement_kpi_Analysis[[#This Row],[Order_Date]])</f>
        <v>13</v>
      </c>
      <c r="N542" s="2">
        <f>Procurement_kpi_Analysis[[#This Row],[Defective_Units]]/Procurement_kpi_Analysis[[#This Row],[Quantity]]</f>
        <v>0</v>
      </c>
      <c r="O542" s="2">
        <f>(Procurement_kpi_Analysis[[#This Row],[Unit_Price]]-Procurement_kpi_Analysis[[#This Row],[Negotiated_Price]])*Procurement_kpi_Analysis[[#This Row],[Quantity]]</f>
        <v>11748.879999999997</v>
      </c>
      <c r="P542" s="2">
        <f>Procurement_kpi_Analysis[[#This Row],[Total Savings]]/Procurement_kpi_Analysis[[#This Row],[Total Spend]]</f>
        <v>0.1105478331970564</v>
      </c>
      <c r="Q542" s="2" t="str">
        <f>IF(Procurement_kpi_Analysis[[#This Row],[Lead Time]]&lt;=14,"On Time","Late")</f>
        <v>On Time</v>
      </c>
      <c r="R542" s="2">
        <f>Procurement_kpi_Analysis[[#This Row],[Unit_Price]]*Procurement_kpi_Analysis[[#This Row],[Quantity]]</f>
        <v>118027.57999999999</v>
      </c>
      <c r="S542" s="2">
        <f>IF(Procurement_kpi_Analysis[[#This Row],[Compliance]]="Yes",1,0)</f>
        <v>1</v>
      </c>
      <c r="T542" s="2">
        <f>IF(Procurement_kpi_Analysis[[#This Row],[Compliance]]="No",1,0)</f>
        <v>0</v>
      </c>
    </row>
    <row r="543" spans="1:20" x14ac:dyDescent="0.3">
      <c r="A543" t="s">
        <v>568</v>
      </c>
      <c r="B543" t="s">
        <v>17</v>
      </c>
      <c r="C543" s="1">
        <v>44896</v>
      </c>
      <c r="D543" s="1">
        <v>44909</v>
      </c>
      <c r="E543" t="s">
        <v>24</v>
      </c>
      <c r="F543" t="s">
        <v>18</v>
      </c>
      <c r="G543">
        <v>1771</v>
      </c>
      <c r="H543">
        <v>67.569999999999993</v>
      </c>
      <c r="I543">
        <v>61.48</v>
      </c>
      <c r="J543">
        <v>280</v>
      </c>
      <c r="K543" t="s">
        <v>27</v>
      </c>
      <c r="L543">
        <f>Procurement_kpi_Analysis[[#This Row],[Quantity]]*Procurement_kpi_Analysis[[#This Row],[Negotiated_Price]]</f>
        <v>108881.07999999999</v>
      </c>
      <c r="M543">
        <f>IF(Procurement_kpi_Analysis[[#This Row],[Delivery_Date]]="","",Procurement_kpi_Analysis[[#This Row],[Delivery_Date]]-Procurement_kpi_Analysis[[#This Row],[Order_Date]])</f>
        <v>13</v>
      </c>
      <c r="N543" s="2">
        <f>Procurement_kpi_Analysis[[#This Row],[Defective_Units]]/Procurement_kpi_Analysis[[#This Row],[Quantity]]</f>
        <v>0.15810276679841898</v>
      </c>
      <c r="O543" s="2">
        <f>(Procurement_kpi_Analysis[[#This Row],[Unit_Price]]-Procurement_kpi_Analysis[[#This Row],[Negotiated_Price]])*Procurement_kpi_Analysis[[#This Row],[Quantity]]</f>
        <v>10785.389999999994</v>
      </c>
      <c r="P543" s="2">
        <f>Procurement_kpi_Analysis[[#This Row],[Total Savings]]/Procurement_kpi_Analysis[[#This Row],[Total Spend]]</f>
        <v>9.9056603773584856E-2</v>
      </c>
      <c r="Q543" s="2" t="str">
        <f>IF(Procurement_kpi_Analysis[[#This Row],[Lead Time]]&lt;=14,"On Time","Late")</f>
        <v>On Time</v>
      </c>
      <c r="R543" s="2">
        <f>Procurement_kpi_Analysis[[#This Row],[Unit_Price]]*Procurement_kpi_Analysis[[#This Row],[Quantity]]</f>
        <v>119666.46999999999</v>
      </c>
      <c r="S543" s="2">
        <f>IF(Procurement_kpi_Analysis[[#This Row],[Compliance]]="Yes",1,0)</f>
        <v>0</v>
      </c>
      <c r="T543" s="2">
        <f>IF(Procurement_kpi_Analysis[[#This Row],[Compliance]]="No",1,0)</f>
        <v>1</v>
      </c>
    </row>
    <row r="544" spans="1:20" x14ac:dyDescent="0.3">
      <c r="A544" t="s">
        <v>569</v>
      </c>
      <c r="B544" t="s">
        <v>29</v>
      </c>
      <c r="C544" s="1">
        <v>44974</v>
      </c>
      <c r="D544" s="1">
        <v>44980</v>
      </c>
      <c r="E544" t="s">
        <v>39</v>
      </c>
      <c r="F544" t="s">
        <v>18</v>
      </c>
      <c r="G544">
        <v>624</v>
      </c>
      <c r="H544">
        <v>74.39</v>
      </c>
      <c r="I544">
        <v>66.3</v>
      </c>
      <c r="J544">
        <v>18</v>
      </c>
      <c r="K544" t="s">
        <v>27</v>
      </c>
      <c r="L544">
        <f>Procurement_kpi_Analysis[[#This Row],[Quantity]]*Procurement_kpi_Analysis[[#This Row],[Negotiated_Price]]</f>
        <v>41371.199999999997</v>
      </c>
      <c r="M544">
        <f>IF(Procurement_kpi_Analysis[[#This Row],[Delivery_Date]]="","",Procurement_kpi_Analysis[[#This Row],[Delivery_Date]]-Procurement_kpi_Analysis[[#This Row],[Order_Date]])</f>
        <v>6</v>
      </c>
      <c r="N544" s="2">
        <f>Procurement_kpi_Analysis[[#This Row],[Defective_Units]]/Procurement_kpi_Analysis[[#This Row],[Quantity]]</f>
        <v>2.8846153846153848E-2</v>
      </c>
      <c r="O544" s="2">
        <f>(Procurement_kpi_Analysis[[#This Row],[Unit_Price]]-Procurement_kpi_Analysis[[#This Row],[Negotiated_Price]])*Procurement_kpi_Analysis[[#This Row],[Quantity]]</f>
        <v>5048.1600000000017</v>
      </c>
      <c r="P544" s="2">
        <f>Procurement_kpi_Analysis[[#This Row],[Total Savings]]/Procurement_kpi_Analysis[[#This Row],[Total Spend]]</f>
        <v>0.12202111613876325</v>
      </c>
      <c r="Q544" s="2" t="str">
        <f>IF(Procurement_kpi_Analysis[[#This Row],[Lead Time]]&lt;=14,"On Time","Late")</f>
        <v>On Time</v>
      </c>
      <c r="R544" s="2">
        <f>Procurement_kpi_Analysis[[#This Row],[Unit_Price]]*Procurement_kpi_Analysis[[#This Row],[Quantity]]</f>
        <v>46419.360000000001</v>
      </c>
      <c r="S544" s="2">
        <f>IF(Procurement_kpi_Analysis[[#This Row],[Compliance]]="Yes",1,0)</f>
        <v>0</v>
      </c>
      <c r="T544" s="2">
        <f>IF(Procurement_kpi_Analysis[[#This Row],[Compliance]]="No",1,0)</f>
        <v>1</v>
      </c>
    </row>
    <row r="545" spans="1:20" x14ac:dyDescent="0.3">
      <c r="A545" t="s">
        <v>570</v>
      </c>
      <c r="B545" t="s">
        <v>12</v>
      </c>
      <c r="C545" s="1">
        <v>45275</v>
      </c>
      <c r="D545" s="1">
        <v>45291</v>
      </c>
      <c r="E545" t="s">
        <v>24</v>
      </c>
      <c r="F545" t="s">
        <v>33</v>
      </c>
      <c r="G545">
        <v>1263</v>
      </c>
      <c r="H545">
        <v>28.75</v>
      </c>
      <c r="I545">
        <v>27.1</v>
      </c>
      <c r="J545">
        <v>26</v>
      </c>
      <c r="K545" t="s">
        <v>15</v>
      </c>
      <c r="L545">
        <f>Procurement_kpi_Analysis[[#This Row],[Quantity]]*Procurement_kpi_Analysis[[#This Row],[Negotiated_Price]]</f>
        <v>34227.300000000003</v>
      </c>
      <c r="M545">
        <f>IF(Procurement_kpi_Analysis[[#This Row],[Delivery_Date]]="","",Procurement_kpi_Analysis[[#This Row],[Delivery_Date]]-Procurement_kpi_Analysis[[#This Row],[Order_Date]])</f>
        <v>16</v>
      </c>
      <c r="N545" s="2">
        <f>Procurement_kpi_Analysis[[#This Row],[Defective_Units]]/Procurement_kpi_Analysis[[#This Row],[Quantity]]</f>
        <v>2.0585906571654791E-2</v>
      </c>
      <c r="O545" s="2">
        <f>(Procurement_kpi_Analysis[[#This Row],[Unit_Price]]-Procurement_kpi_Analysis[[#This Row],[Negotiated_Price]])*Procurement_kpi_Analysis[[#This Row],[Quantity]]</f>
        <v>2083.949999999998</v>
      </c>
      <c r="P545" s="2">
        <f>Procurement_kpi_Analysis[[#This Row],[Total Savings]]/Procurement_kpi_Analysis[[#This Row],[Total Spend]]</f>
        <v>6.0885608856088499E-2</v>
      </c>
      <c r="Q545" s="2" t="str">
        <f>IF(Procurement_kpi_Analysis[[#This Row],[Lead Time]]&lt;=14,"On Time","Late")</f>
        <v>Late</v>
      </c>
      <c r="R545" s="2">
        <f>Procurement_kpi_Analysis[[#This Row],[Unit_Price]]*Procurement_kpi_Analysis[[#This Row],[Quantity]]</f>
        <v>36311.25</v>
      </c>
      <c r="S545" s="2">
        <f>IF(Procurement_kpi_Analysis[[#This Row],[Compliance]]="Yes",1,0)</f>
        <v>1</v>
      </c>
      <c r="T545" s="2">
        <f>IF(Procurement_kpi_Analysis[[#This Row],[Compliance]]="No",1,0)</f>
        <v>0</v>
      </c>
    </row>
    <row r="546" spans="1:20" x14ac:dyDescent="0.3">
      <c r="A546" t="s">
        <v>571</v>
      </c>
      <c r="B546" t="s">
        <v>20</v>
      </c>
      <c r="C546" s="1">
        <v>44864</v>
      </c>
      <c r="D546" s="1">
        <v>44881</v>
      </c>
      <c r="E546" t="s">
        <v>39</v>
      </c>
      <c r="F546" t="s">
        <v>14</v>
      </c>
      <c r="G546">
        <v>1198</v>
      </c>
      <c r="H546">
        <v>96.45</v>
      </c>
      <c r="I546">
        <v>90.09</v>
      </c>
      <c r="J546">
        <v>0</v>
      </c>
      <c r="K546" t="s">
        <v>15</v>
      </c>
      <c r="L546">
        <f>Procurement_kpi_Analysis[[#This Row],[Quantity]]*Procurement_kpi_Analysis[[#This Row],[Negotiated_Price]]</f>
        <v>107927.82</v>
      </c>
      <c r="M546">
        <f>IF(Procurement_kpi_Analysis[[#This Row],[Delivery_Date]]="","",Procurement_kpi_Analysis[[#This Row],[Delivery_Date]]-Procurement_kpi_Analysis[[#This Row],[Order_Date]])</f>
        <v>17</v>
      </c>
      <c r="N546" s="2">
        <f>Procurement_kpi_Analysis[[#This Row],[Defective_Units]]/Procurement_kpi_Analysis[[#This Row],[Quantity]]</f>
        <v>0</v>
      </c>
      <c r="O546" s="2">
        <f>(Procurement_kpi_Analysis[[#This Row],[Unit_Price]]-Procurement_kpi_Analysis[[#This Row],[Negotiated_Price]])*Procurement_kpi_Analysis[[#This Row],[Quantity]]</f>
        <v>7619.28</v>
      </c>
      <c r="P546" s="2">
        <f>Procurement_kpi_Analysis[[#This Row],[Total Savings]]/Procurement_kpi_Analysis[[#This Row],[Total Spend]]</f>
        <v>7.0596070596070593E-2</v>
      </c>
      <c r="Q546" s="2" t="str">
        <f>IF(Procurement_kpi_Analysis[[#This Row],[Lead Time]]&lt;=14,"On Time","Late")</f>
        <v>Late</v>
      </c>
      <c r="R546" s="2">
        <f>Procurement_kpi_Analysis[[#This Row],[Unit_Price]]*Procurement_kpi_Analysis[[#This Row],[Quantity]]</f>
        <v>115547.1</v>
      </c>
      <c r="S546" s="2">
        <f>IF(Procurement_kpi_Analysis[[#This Row],[Compliance]]="Yes",1,0)</f>
        <v>1</v>
      </c>
      <c r="T546" s="2">
        <f>IF(Procurement_kpi_Analysis[[#This Row],[Compliance]]="No",1,0)</f>
        <v>0</v>
      </c>
    </row>
    <row r="547" spans="1:20" x14ac:dyDescent="0.3">
      <c r="A547" t="s">
        <v>572</v>
      </c>
      <c r="B547" t="s">
        <v>29</v>
      </c>
      <c r="C547" s="1">
        <v>45129</v>
      </c>
      <c r="D547" s="1">
        <v>45132</v>
      </c>
      <c r="E547" t="s">
        <v>26</v>
      </c>
      <c r="F547" t="s">
        <v>18</v>
      </c>
      <c r="G547">
        <v>199</v>
      </c>
      <c r="H547">
        <v>51.98</v>
      </c>
      <c r="I547">
        <v>45.64</v>
      </c>
      <c r="J547">
        <v>0</v>
      </c>
      <c r="K547" t="s">
        <v>27</v>
      </c>
      <c r="L547">
        <f>Procurement_kpi_Analysis[[#This Row],[Quantity]]*Procurement_kpi_Analysis[[#This Row],[Negotiated_Price]]</f>
        <v>9082.36</v>
      </c>
      <c r="M547">
        <f>IF(Procurement_kpi_Analysis[[#This Row],[Delivery_Date]]="","",Procurement_kpi_Analysis[[#This Row],[Delivery_Date]]-Procurement_kpi_Analysis[[#This Row],[Order_Date]])</f>
        <v>3</v>
      </c>
      <c r="N547" s="2">
        <f>Procurement_kpi_Analysis[[#This Row],[Defective_Units]]/Procurement_kpi_Analysis[[#This Row],[Quantity]]</f>
        <v>0</v>
      </c>
      <c r="O547" s="2">
        <f>(Procurement_kpi_Analysis[[#This Row],[Unit_Price]]-Procurement_kpi_Analysis[[#This Row],[Negotiated_Price]])*Procurement_kpi_Analysis[[#This Row],[Quantity]]</f>
        <v>1261.6599999999992</v>
      </c>
      <c r="P547" s="2">
        <f>Procurement_kpi_Analysis[[#This Row],[Total Savings]]/Procurement_kpi_Analysis[[#This Row],[Total Spend]]</f>
        <v>0.13891323400525846</v>
      </c>
      <c r="Q547" s="2" t="str">
        <f>IF(Procurement_kpi_Analysis[[#This Row],[Lead Time]]&lt;=14,"On Time","Late")</f>
        <v>On Time</v>
      </c>
      <c r="R547" s="2">
        <f>Procurement_kpi_Analysis[[#This Row],[Unit_Price]]*Procurement_kpi_Analysis[[#This Row],[Quantity]]</f>
        <v>10344.019999999999</v>
      </c>
      <c r="S547" s="2">
        <f>IF(Procurement_kpi_Analysis[[#This Row],[Compliance]]="Yes",1,0)</f>
        <v>0</v>
      </c>
      <c r="T547" s="2">
        <f>IF(Procurement_kpi_Analysis[[#This Row],[Compliance]]="No",1,0)</f>
        <v>1</v>
      </c>
    </row>
    <row r="548" spans="1:20" x14ac:dyDescent="0.3">
      <c r="A548" t="s">
        <v>573</v>
      </c>
      <c r="B548" t="s">
        <v>29</v>
      </c>
      <c r="C548" s="1">
        <v>44692</v>
      </c>
      <c r="D548" s="1">
        <v>44695</v>
      </c>
      <c r="E548" t="s">
        <v>21</v>
      </c>
      <c r="F548" t="s">
        <v>35</v>
      </c>
      <c r="G548">
        <v>363</v>
      </c>
      <c r="H548">
        <v>45.37</v>
      </c>
      <c r="I548">
        <v>38.729999999999997</v>
      </c>
      <c r="J548">
        <v>0</v>
      </c>
      <c r="K548" t="s">
        <v>15</v>
      </c>
      <c r="L548">
        <f>Procurement_kpi_Analysis[[#This Row],[Quantity]]*Procurement_kpi_Analysis[[#This Row],[Negotiated_Price]]</f>
        <v>14058.989999999998</v>
      </c>
      <c r="M548">
        <f>IF(Procurement_kpi_Analysis[[#This Row],[Delivery_Date]]="","",Procurement_kpi_Analysis[[#This Row],[Delivery_Date]]-Procurement_kpi_Analysis[[#This Row],[Order_Date]])</f>
        <v>3</v>
      </c>
      <c r="N548" s="2">
        <f>Procurement_kpi_Analysis[[#This Row],[Defective_Units]]/Procurement_kpi_Analysis[[#This Row],[Quantity]]</f>
        <v>0</v>
      </c>
      <c r="O548" s="2">
        <f>(Procurement_kpi_Analysis[[#This Row],[Unit_Price]]-Procurement_kpi_Analysis[[#This Row],[Negotiated_Price]])*Procurement_kpi_Analysis[[#This Row],[Quantity]]</f>
        <v>2410.3200000000002</v>
      </c>
      <c r="P548" s="2">
        <f>Procurement_kpi_Analysis[[#This Row],[Total Savings]]/Procurement_kpi_Analysis[[#This Row],[Total Spend]]</f>
        <v>0.1714433255874</v>
      </c>
      <c r="Q548" s="2" t="str">
        <f>IF(Procurement_kpi_Analysis[[#This Row],[Lead Time]]&lt;=14,"On Time","Late")</f>
        <v>On Time</v>
      </c>
      <c r="R548" s="2">
        <f>Procurement_kpi_Analysis[[#This Row],[Unit_Price]]*Procurement_kpi_Analysis[[#This Row],[Quantity]]</f>
        <v>16469.309999999998</v>
      </c>
      <c r="S548" s="2">
        <f>IF(Procurement_kpi_Analysis[[#This Row],[Compliance]]="Yes",1,0)</f>
        <v>1</v>
      </c>
      <c r="T548" s="2">
        <f>IF(Procurement_kpi_Analysis[[#This Row],[Compliance]]="No",1,0)</f>
        <v>0</v>
      </c>
    </row>
    <row r="549" spans="1:20" x14ac:dyDescent="0.3">
      <c r="A549" t="s">
        <v>574</v>
      </c>
      <c r="B549" t="s">
        <v>12</v>
      </c>
      <c r="C549" s="1">
        <v>44758</v>
      </c>
      <c r="D549" s="1">
        <v>44764</v>
      </c>
      <c r="E549" t="s">
        <v>13</v>
      </c>
      <c r="F549" t="s">
        <v>18</v>
      </c>
      <c r="G549">
        <v>619</v>
      </c>
      <c r="H549">
        <v>58.4</v>
      </c>
      <c r="I549">
        <v>51.04</v>
      </c>
      <c r="J549">
        <v>0</v>
      </c>
      <c r="K549" t="s">
        <v>15</v>
      </c>
      <c r="L549">
        <f>Procurement_kpi_Analysis[[#This Row],[Quantity]]*Procurement_kpi_Analysis[[#This Row],[Negotiated_Price]]</f>
        <v>31593.759999999998</v>
      </c>
      <c r="M549">
        <f>IF(Procurement_kpi_Analysis[[#This Row],[Delivery_Date]]="","",Procurement_kpi_Analysis[[#This Row],[Delivery_Date]]-Procurement_kpi_Analysis[[#This Row],[Order_Date]])</f>
        <v>6</v>
      </c>
      <c r="N549" s="2">
        <f>Procurement_kpi_Analysis[[#This Row],[Defective_Units]]/Procurement_kpi_Analysis[[#This Row],[Quantity]]</f>
        <v>0</v>
      </c>
      <c r="O549" s="2">
        <f>(Procurement_kpi_Analysis[[#This Row],[Unit_Price]]-Procurement_kpi_Analysis[[#This Row],[Negotiated_Price]])*Procurement_kpi_Analysis[[#This Row],[Quantity]]</f>
        <v>4555.8399999999992</v>
      </c>
      <c r="P549" s="2">
        <f>Procurement_kpi_Analysis[[#This Row],[Total Savings]]/Procurement_kpi_Analysis[[#This Row],[Total Spend]]</f>
        <v>0.14420062695924762</v>
      </c>
      <c r="Q549" s="2" t="str">
        <f>IF(Procurement_kpi_Analysis[[#This Row],[Lead Time]]&lt;=14,"On Time","Late")</f>
        <v>On Time</v>
      </c>
      <c r="R549" s="2">
        <f>Procurement_kpi_Analysis[[#This Row],[Unit_Price]]*Procurement_kpi_Analysis[[#This Row],[Quantity]]</f>
        <v>36149.599999999999</v>
      </c>
      <c r="S549" s="2">
        <f>IF(Procurement_kpi_Analysis[[#This Row],[Compliance]]="Yes",1,0)</f>
        <v>1</v>
      </c>
      <c r="T549" s="2">
        <f>IF(Procurement_kpi_Analysis[[#This Row],[Compliance]]="No",1,0)</f>
        <v>0</v>
      </c>
    </row>
    <row r="550" spans="1:20" x14ac:dyDescent="0.3">
      <c r="A550" t="s">
        <v>575</v>
      </c>
      <c r="B550" t="s">
        <v>12</v>
      </c>
      <c r="C550" s="1">
        <v>44992</v>
      </c>
      <c r="D550" s="1">
        <v>45003</v>
      </c>
      <c r="E550" t="s">
        <v>21</v>
      </c>
      <c r="F550" t="s">
        <v>18</v>
      </c>
      <c r="G550">
        <v>1415</v>
      </c>
      <c r="H550">
        <v>15.22</v>
      </c>
      <c r="I550">
        <v>13.56</v>
      </c>
      <c r="J550">
        <v>30</v>
      </c>
      <c r="K550" t="s">
        <v>15</v>
      </c>
      <c r="L550">
        <f>Procurement_kpi_Analysis[[#This Row],[Quantity]]*Procurement_kpi_Analysis[[#This Row],[Negotiated_Price]]</f>
        <v>19187.400000000001</v>
      </c>
      <c r="M550">
        <f>IF(Procurement_kpi_Analysis[[#This Row],[Delivery_Date]]="","",Procurement_kpi_Analysis[[#This Row],[Delivery_Date]]-Procurement_kpi_Analysis[[#This Row],[Order_Date]])</f>
        <v>11</v>
      </c>
      <c r="N550" s="2">
        <f>Procurement_kpi_Analysis[[#This Row],[Defective_Units]]/Procurement_kpi_Analysis[[#This Row],[Quantity]]</f>
        <v>2.1201413427561839E-2</v>
      </c>
      <c r="O550" s="2">
        <f>(Procurement_kpi_Analysis[[#This Row],[Unit_Price]]-Procurement_kpi_Analysis[[#This Row],[Negotiated_Price]])*Procurement_kpi_Analysis[[#This Row],[Quantity]]</f>
        <v>2348.9</v>
      </c>
      <c r="P550" s="2">
        <f>Procurement_kpi_Analysis[[#This Row],[Total Savings]]/Procurement_kpi_Analysis[[#This Row],[Total Spend]]</f>
        <v>0.12241887905604719</v>
      </c>
      <c r="Q550" s="2" t="str">
        <f>IF(Procurement_kpi_Analysis[[#This Row],[Lead Time]]&lt;=14,"On Time","Late")</f>
        <v>On Time</v>
      </c>
      <c r="R550" s="2">
        <f>Procurement_kpi_Analysis[[#This Row],[Unit_Price]]*Procurement_kpi_Analysis[[#This Row],[Quantity]]</f>
        <v>21536.3</v>
      </c>
      <c r="S550" s="2">
        <f>IF(Procurement_kpi_Analysis[[#This Row],[Compliance]]="Yes",1,0)</f>
        <v>1</v>
      </c>
      <c r="T550" s="2">
        <f>IF(Procurement_kpi_Analysis[[#This Row],[Compliance]]="No",1,0)</f>
        <v>0</v>
      </c>
    </row>
    <row r="551" spans="1:20" x14ac:dyDescent="0.3">
      <c r="A551" t="s">
        <v>576</v>
      </c>
      <c r="B551" t="s">
        <v>23</v>
      </c>
      <c r="C551" s="1">
        <v>45242</v>
      </c>
      <c r="D551" s="1">
        <v>45253</v>
      </c>
      <c r="E551" t="s">
        <v>24</v>
      </c>
      <c r="F551" t="s">
        <v>18</v>
      </c>
      <c r="G551">
        <v>354</v>
      </c>
      <c r="H551">
        <v>27.71</v>
      </c>
      <c r="I551">
        <v>23.87</v>
      </c>
      <c r="J551">
        <v>39</v>
      </c>
      <c r="K551" t="s">
        <v>27</v>
      </c>
      <c r="L551">
        <f>Procurement_kpi_Analysis[[#This Row],[Quantity]]*Procurement_kpi_Analysis[[#This Row],[Negotiated_Price]]</f>
        <v>8449.98</v>
      </c>
      <c r="M551">
        <f>IF(Procurement_kpi_Analysis[[#This Row],[Delivery_Date]]="","",Procurement_kpi_Analysis[[#This Row],[Delivery_Date]]-Procurement_kpi_Analysis[[#This Row],[Order_Date]])</f>
        <v>11</v>
      </c>
      <c r="N551" s="2">
        <f>Procurement_kpi_Analysis[[#This Row],[Defective_Units]]/Procurement_kpi_Analysis[[#This Row],[Quantity]]</f>
        <v>0.11016949152542373</v>
      </c>
      <c r="O551" s="2">
        <f>(Procurement_kpi_Analysis[[#This Row],[Unit_Price]]-Procurement_kpi_Analysis[[#This Row],[Negotiated_Price]])*Procurement_kpi_Analysis[[#This Row],[Quantity]]</f>
        <v>1359.36</v>
      </c>
      <c r="P551" s="2">
        <f>Procurement_kpi_Analysis[[#This Row],[Total Savings]]/Procurement_kpi_Analysis[[#This Row],[Total Spend]]</f>
        <v>0.16087138667783829</v>
      </c>
      <c r="Q551" s="2" t="str">
        <f>IF(Procurement_kpi_Analysis[[#This Row],[Lead Time]]&lt;=14,"On Time","Late")</f>
        <v>On Time</v>
      </c>
      <c r="R551" s="2">
        <f>Procurement_kpi_Analysis[[#This Row],[Unit_Price]]*Procurement_kpi_Analysis[[#This Row],[Quantity]]</f>
        <v>9809.34</v>
      </c>
      <c r="S551" s="2">
        <f>IF(Procurement_kpi_Analysis[[#This Row],[Compliance]]="Yes",1,0)</f>
        <v>0</v>
      </c>
      <c r="T551" s="2">
        <f>IF(Procurement_kpi_Analysis[[#This Row],[Compliance]]="No",1,0)</f>
        <v>1</v>
      </c>
    </row>
    <row r="552" spans="1:20" x14ac:dyDescent="0.3">
      <c r="A552" t="s">
        <v>577</v>
      </c>
      <c r="B552" t="s">
        <v>20</v>
      </c>
      <c r="C552" s="1">
        <v>44950</v>
      </c>
      <c r="D552" s="1">
        <v>44960</v>
      </c>
      <c r="E552" t="s">
        <v>21</v>
      </c>
      <c r="F552" t="s">
        <v>18</v>
      </c>
      <c r="G552">
        <v>1765</v>
      </c>
      <c r="H552">
        <v>81.010000000000005</v>
      </c>
      <c r="I552">
        <v>78.430000000000007</v>
      </c>
      <c r="J552">
        <v>78</v>
      </c>
      <c r="K552" t="s">
        <v>15</v>
      </c>
      <c r="L552">
        <f>Procurement_kpi_Analysis[[#This Row],[Quantity]]*Procurement_kpi_Analysis[[#This Row],[Negotiated_Price]]</f>
        <v>138428.95000000001</v>
      </c>
      <c r="M552">
        <f>IF(Procurement_kpi_Analysis[[#This Row],[Delivery_Date]]="","",Procurement_kpi_Analysis[[#This Row],[Delivery_Date]]-Procurement_kpi_Analysis[[#This Row],[Order_Date]])</f>
        <v>10</v>
      </c>
      <c r="N552" s="2">
        <f>Procurement_kpi_Analysis[[#This Row],[Defective_Units]]/Procurement_kpi_Analysis[[#This Row],[Quantity]]</f>
        <v>4.4192634560906517E-2</v>
      </c>
      <c r="O552" s="2">
        <f>(Procurement_kpi_Analysis[[#This Row],[Unit_Price]]-Procurement_kpi_Analysis[[#This Row],[Negotiated_Price]])*Procurement_kpi_Analysis[[#This Row],[Quantity]]</f>
        <v>4553.6999999999971</v>
      </c>
      <c r="P552" s="2">
        <f>Procurement_kpi_Analysis[[#This Row],[Total Savings]]/Procurement_kpi_Analysis[[#This Row],[Total Spend]]</f>
        <v>3.289557567257425E-2</v>
      </c>
      <c r="Q552" s="2" t="str">
        <f>IF(Procurement_kpi_Analysis[[#This Row],[Lead Time]]&lt;=14,"On Time","Late")</f>
        <v>On Time</v>
      </c>
      <c r="R552" s="2">
        <f>Procurement_kpi_Analysis[[#This Row],[Unit_Price]]*Procurement_kpi_Analysis[[#This Row],[Quantity]]</f>
        <v>142982.65000000002</v>
      </c>
      <c r="S552" s="2">
        <f>IF(Procurement_kpi_Analysis[[#This Row],[Compliance]]="Yes",1,0)</f>
        <v>1</v>
      </c>
      <c r="T552" s="2">
        <f>IF(Procurement_kpi_Analysis[[#This Row],[Compliance]]="No",1,0)</f>
        <v>0</v>
      </c>
    </row>
    <row r="553" spans="1:20" x14ac:dyDescent="0.3">
      <c r="A553" t="s">
        <v>578</v>
      </c>
      <c r="B553" t="s">
        <v>23</v>
      </c>
      <c r="C553" s="1">
        <v>45255</v>
      </c>
      <c r="D553" s="1">
        <v>45269</v>
      </c>
      <c r="E553" t="s">
        <v>21</v>
      </c>
      <c r="F553" t="s">
        <v>18</v>
      </c>
      <c r="G553">
        <v>731</v>
      </c>
      <c r="H553">
        <v>19.37</v>
      </c>
      <c r="I553">
        <v>17.3</v>
      </c>
      <c r="J553">
        <v>69</v>
      </c>
      <c r="K553" t="s">
        <v>27</v>
      </c>
      <c r="L553">
        <f>Procurement_kpi_Analysis[[#This Row],[Quantity]]*Procurement_kpi_Analysis[[#This Row],[Negotiated_Price]]</f>
        <v>12646.300000000001</v>
      </c>
      <c r="M553">
        <f>IF(Procurement_kpi_Analysis[[#This Row],[Delivery_Date]]="","",Procurement_kpi_Analysis[[#This Row],[Delivery_Date]]-Procurement_kpi_Analysis[[#This Row],[Order_Date]])</f>
        <v>14</v>
      </c>
      <c r="N553" s="2">
        <f>Procurement_kpi_Analysis[[#This Row],[Defective_Units]]/Procurement_kpi_Analysis[[#This Row],[Quantity]]</f>
        <v>9.4391244870041038E-2</v>
      </c>
      <c r="O553" s="2">
        <f>(Procurement_kpi_Analysis[[#This Row],[Unit_Price]]-Procurement_kpi_Analysis[[#This Row],[Negotiated_Price]])*Procurement_kpi_Analysis[[#This Row],[Quantity]]</f>
        <v>1513.1700000000003</v>
      </c>
      <c r="P553" s="2">
        <f>Procurement_kpi_Analysis[[#This Row],[Total Savings]]/Procurement_kpi_Analysis[[#This Row],[Total Spend]]</f>
        <v>0.11965317919075145</v>
      </c>
      <c r="Q553" s="2" t="str">
        <f>IF(Procurement_kpi_Analysis[[#This Row],[Lead Time]]&lt;=14,"On Time","Late")</f>
        <v>On Time</v>
      </c>
      <c r="R553" s="2">
        <f>Procurement_kpi_Analysis[[#This Row],[Unit_Price]]*Procurement_kpi_Analysis[[#This Row],[Quantity]]</f>
        <v>14159.470000000001</v>
      </c>
      <c r="S553" s="2">
        <f>IF(Procurement_kpi_Analysis[[#This Row],[Compliance]]="Yes",1,0)</f>
        <v>0</v>
      </c>
      <c r="T553" s="2">
        <f>IF(Procurement_kpi_Analysis[[#This Row],[Compliance]]="No",1,0)</f>
        <v>1</v>
      </c>
    </row>
    <row r="554" spans="1:20" x14ac:dyDescent="0.3">
      <c r="A554" t="s">
        <v>579</v>
      </c>
      <c r="B554" t="s">
        <v>29</v>
      </c>
      <c r="C554" s="1">
        <v>44740</v>
      </c>
      <c r="D554" s="1">
        <v>44755</v>
      </c>
      <c r="E554" t="s">
        <v>21</v>
      </c>
      <c r="F554" t="s">
        <v>18</v>
      </c>
      <c r="G554">
        <v>887</v>
      </c>
      <c r="H554">
        <v>65.89</v>
      </c>
      <c r="I554">
        <v>59.67</v>
      </c>
      <c r="J554">
        <v>29</v>
      </c>
      <c r="K554" t="s">
        <v>15</v>
      </c>
      <c r="L554">
        <f>Procurement_kpi_Analysis[[#This Row],[Quantity]]*Procurement_kpi_Analysis[[#This Row],[Negotiated_Price]]</f>
        <v>52927.29</v>
      </c>
      <c r="M554">
        <f>IF(Procurement_kpi_Analysis[[#This Row],[Delivery_Date]]="","",Procurement_kpi_Analysis[[#This Row],[Delivery_Date]]-Procurement_kpi_Analysis[[#This Row],[Order_Date]])</f>
        <v>15</v>
      </c>
      <c r="N554" s="2">
        <f>Procurement_kpi_Analysis[[#This Row],[Defective_Units]]/Procurement_kpi_Analysis[[#This Row],[Quantity]]</f>
        <v>3.269447576099211E-2</v>
      </c>
      <c r="O554" s="2">
        <f>(Procurement_kpi_Analysis[[#This Row],[Unit_Price]]-Procurement_kpi_Analysis[[#This Row],[Negotiated_Price]])*Procurement_kpi_Analysis[[#This Row],[Quantity]]</f>
        <v>5517.1399999999994</v>
      </c>
      <c r="P554" s="2">
        <f>Procurement_kpi_Analysis[[#This Row],[Total Savings]]/Procurement_kpi_Analysis[[#This Row],[Total Spend]]</f>
        <v>0.10423998659292776</v>
      </c>
      <c r="Q554" s="2" t="str">
        <f>IF(Procurement_kpi_Analysis[[#This Row],[Lead Time]]&lt;=14,"On Time","Late")</f>
        <v>Late</v>
      </c>
      <c r="R554" s="2">
        <f>Procurement_kpi_Analysis[[#This Row],[Unit_Price]]*Procurement_kpi_Analysis[[#This Row],[Quantity]]</f>
        <v>58444.43</v>
      </c>
      <c r="S554" s="2">
        <f>IF(Procurement_kpi_Analysis[[#This Row],[Compliance]]="Yes",1,0)</f>
        <v>1</v>
      </c>
      <c r="T554" s="2">
        <f>IF(Procurement_kpi_Analysis[[#This Row],[Compliance]]="No",1,0)</f>
        <v>0</v>
      </c>
    </row>
    <row r="555" spans="1:20" x14ac:dyDescent="0.3">
      <c r="A555" t="s">
        <v>580</v>
      </c>
      <c r="B555" t="s">
        <v>12</v>
      </c>
      <c r="C555" s="1">
        <v>45192</v>
      </c>
      <c r="D555" s="1">
        <v>45194</v>
      </c>
      <c r="E555" t="s">
        <v>21</v>
      </c>
      <c r="F555" t="s">
        <v>18</v>
      </c>
      <c r="G555">
        <v>1856</v>
      </c>
      <c r="H555">
        <v>35.29</v>
      </c>
      <c r="I555">
        <v>32.409999999999997</v>
      </c>
      <c r="J555">
        <v>26</v>
      </c>
      <c r="K555" t="s">
        <v>15</v>
      </c>
      <c r="L555">
        <f>Procurement_kpi_Analysis[[#This Row],[Quantity]]*Procurement_kpi_Analysis[[#This Row],[Negotiated_Price]]</f>
        <v>60152.959999999992</v>
      </c>
      <c r="M555">
        <f>IF(Procurement_kpi_Analysis[[#This Row],[Delivery_Date]]="","",Procurement_kpi_Analysis[[#This Row],[Delivery_Date]]-Procurement_kpi_Analysis[[#This Row],[Order_Date]])</f>
        <v>2</v>
      </c>
      <c r="N555" s="2">
        <f>Procurement_kpi_Analysis[[#This Row],[Defective_Units]]/Procurement_kpi_Analysis[[#This Row],[Quantity]]</f>
        <v>1.4008620689655173E-2</v>
      </c>
      <c r="O555" s="2">
        <f>(Procurement_kpi_Analysis[[#This Row],[Unit_Price]]-Procurement_kpi_Analysis[[#This Row],[Negotiated_Price]])*Procurement_kpi_Analysis[[#This Row],[Quantity]]</f>
        <v>5345.2800000000043</v>
      </c>
      <c r="P555" s="2">
        <f>Procurement_kpi_Analysis[[#This Row],[Total Savings]]/Procurement_kpi_Analysis[[#This Row],[Total Spend]]</f>
        <v>8.886146251157058E-2</v>
      </c>
      <c r="Q555" s="2" t="str">
        <f>IF(Procurement_kpi_Analysis[[#This Row],[Lead Time]]&lt;=14,"On Time","Late")</f>
        <v>On Time</v>
      </c>
      <c r="R555" s="2">
        <f>Procurement_kpi_Analysis[[#This Row],[Unit_Price]]*Procurement_kpi_Analysis[[#This Row],[Quantity]]</f>
        <v>65498.239999999998</v>
      </c>
      <c r="S555" s="2">
        <f>IF(Procurement_kpi_Analysis[[#This Row],[Compliance]]="Yes",1,0)</f>
        <v>1</v>
      </c>
      <c r="T555" s="2">
        <f>IF(Procurement_kpi_Analysis[[#This Row],[Compliance]]="No",1,0)</f>
        <v>0</v>
      </c>
    </row>
    <row r="556" spans="1:20" x14ac:dyDescent="0.3">
      <c r="A556" t="s">
        <v>581</v>
      </c>
      <c r="B556" t="s">
        <v>29</v>
      </c>
      <c r="C556" s="1">
        <v>45144</v>
      </c>
      <c r="D556" s="1">
        <v>45156</v>
      </c>
      <c r="E556" t="s">
        <v>13</v>
      </c>
      <c r="F556" t="s">
        <v>18</v>
      </c>
      <c r="G556">
        <v>1127</v>
      </c>
      <c r="H556">
        <v>49.32</v>
      </c>
      <c r="I556">
        <v>46.49</v>
      </c>
      <c r="J556">
        <v>30</v>
      </c>
      <c r="K556" t="s">
        <v>15</v>
      </c>
      <c r="L556">
        <f>Procurement_kpi_Analysis[[#This Row],[Quantity]]*Procurement_kpi_Analysis[[#This Row],[Negotiated_Price]]</f>
        <v>52394.23</v>
      </c>
      <c r="M556">
        <f>IF(Procurement_kpi_Analysis[[#This Row],[Delivery_Date]]="","",Procurement_kpi_Analysis[[#This Row],[Delivery_Date]]-Procurement_kpi_Analysis[[#This Row],[Order_Date]])</f>
        <v>12</v>
      </c>
      <c r="N556" s="2">
        <f>Procurement_kpi_Analysis[[#This Row],[Defective_Units]]/Procurement_kpi_Analysis[[#This Row],[Quantity]]</f>
        <v>2.6619343389529725E-2</v>
      </c>
      <c r="O556" s="2">
        <f>(Procurement_kpi_Analysis[[#This Row],[Unit_Price]]-Procurement_kpi_Analysis[[#This Row],[Negotiated_Price]])*Procurement_kpi_Analysis[[#This Row],[Quantity]]</f>
        <v>3189.409999999998</v>
      </c>
      <c r="P556" s="2">
        <f>Procurement_kpi_Analysis[[#This Row],[Total Savings]]/Procurement_kpi_Analysis[[#This Row],[Total Spend]]</f>
        <v>6.0873306087330568E-2</v>
      </c>
      <c r="Q556" s="2" t="str">
        <f>IF(Procurement_kpi_Analysis[[#This Row],[Lead Time]]&lt;=14,"On Time","Late")</f>
        <v>On Time</v>
      </c>
      <c r="R556" s="2">
        <f>Procurement_kpi_Analysis[[#This Row],[Unit_Price]]*Procurement_kpi_Analysis[[#This Row],[Quantity]]</f>
        <v>55583.64</v>
      </c>
      <c r="S556" s="2">
        <f>IF(Procurement_kpi_Analysis[[#This Row],[Compliance]]="Yes",1,0)</f>
        <v>1</v>
      </c>
      <c r="T556" s="2">
        <f>IF(Procurement_kpi_Analysis[[#This Row],[Compliance]]="No",1,0)</f>
        <v>0</v>
      </c>
    </row>
    <row r="557" spans="1:20" x14ac:dyDescent="0.3">
      <c r="A557" t="s">
        <v>582</v>
      </c>
      <c r="B557" t="s">
        <v>17</v>
      </c>
      <c r="C557" s="1">
        <v>44870</v>
      </c>
      <c r="D557" s="1">
        <v>44884</v>
      </c>
      <c r="E557" t="s">
        <v>26</v>
      </c>
      <c r="F557" t="s">
        <v>18</v>
      </c>
      <c r="G557">
        <v>1052</v>
      </c>
      <c r="H557">
        <v>37.78</v>
      </c>
      <c r="I557">
        <v>32.6</v>
      </c>
      <c r="J557">
        <v>162</v>
      </c>
      <c r="K557" t="s">
        <v>15</v>
      </c>
      <c r="L557">
        <f>Procurement_kpi_Analysis[[#This Row],[Quantity]]*Procurement_kpi_Analysis[[#This Row],[Negotiated_Price]]</f>
        <v>34295.200000000004</v>
      </c>
      <c r="M557">
        <f>IF(Procurement_kpi_Analysis[[#This Row],[Delivery_Date]]="","",Procurement_kpi_Analysis[[#This Row],[Delivery_Date]]-Procurement_kpi_Analysis[[#This Row],[Order_Date]])</f>
        <v>14</v>
      </c>
      <c r="N557" s="2">
        <f>Procurement_kpi_Analysis[[#This Row],[Defective_Units]]/Procurement_kpi_Analysis[[#This Row],[Quantity]]</f>
        <v>0.15399239543726237</v>
      </c>
      <c r="O557" s="2">
        <f>(Procurement_kpi_Analysis[[#This Row],[Unit_Price]]-Procurement_kpi_Analysis[[#This Row],[Negotiated_Price]])*Procurement_kpi_Analysis[[#This Row],[Quantity]]</f>
        <v>5449.36</v>
      </c>
      <c r="P557" s="2">
        <f>Procurement_kpi_Analysis[[#This Row],[Total Savings]]/Procurement_kpi_Analysis[[#This Row],[Total Spend]]</f>
        <v>0.15889570552147236</v>
      </c>
      <c r="Q557" s="2" t="str">
        <f>IF(Procurement_kpi_Analysis[[#This Row],[Lead Time]]&lt;=14,"On Time","Late")</f>
        <v>On Time</v>
      </c>
      <c r="R557" s="2">
        <f>Procurement_kpi_Analysis[[#This Row],[Unit_Price]]*Procurement_kpi_Analysis[[#This Row],[Quantity]]</f>
        <v>39744.559999999998</v>
      </c>
      <c r="S557" s="2">
        <f>IF(Procurement_kpi_Analysis[[#This Row],[Compliance]]="Yes",1,0)</f>
        <v>1</v>
      </c>
      <c r="T557" s="2">
        <f>IF(Procurement_kpi_Analysis[[#This Row],[Compliance]]="No",1,0)</f>
        <v>0</v>
      </c>
    </row>
    <row r="558" spans="1:20" x14ac:dyDescent="0.3">
      <c r="A558" t="s">
        <v>583</v>
      </c>
      <c r="B558" t="s">
        <v>20</v>
      </c>
      <c r="C558" s="1">
        <v>44977</v>
      </c>
      <c r="D558" s="1">
        <v>44979</v>
      </c>
      <c r="E558" t="s">
        <v>26</v>
      </c>
      <c r="F558" t="s">
        <v>18</v>
      </c>
      <c r="G558">
        <v>493</v>
      </c>
      <c r="H558">
        <v>44.74</v>
      </c>
      <c r="I558">
        <v>41.44</v>
      </c>
      <c r="J558">
        <v>24</v>
      </c>
      <c r="K558" t="s">
        <v>27</v>
      </c>
      <c r="L558">
        <f>Procurement_kpi_Analysis[[#This Row],[Quantity]]*Procurement_kpi_Analysis[[#This Row],[Negotiated_Price]]</f>
        <v>20429.919999999998</v>
      </c>
      <c r="M558">
        <f>IF(Procurement_kpi_Analysis[[#This Row],[Delivery_Date]]="","",Procurement_kpi_Analysis[[#This Row],[Delivery_Date]]-Procurement_kpi_Analysis[[#This Row],[Order_Date]])</f>
        <v>2</v>
      </c>
      <c r="N558" s="2">
        <f>Procurement_kpi_Analysis[[#This Row],[Defective_Units]]/Procurement_kpi_Analysis[[#This Row],[Quantity]]</f>
        <v>4.8681541582150101E-2</v>
      </c>
      <c r="O558" s="2">
        <f>(Procurement_kpi_Analysis[[#This Row],[Unit_Price]]-Procurement_kpi_Analysis[[#This Row],[Negotiated_Price]])*Procurement_kpi_Analysis[[#This Row],[Quantity]]</f>
        <v>1626.9000000000021</v>
      </c>
      <c r="P558" s="2">
        <f>Procurement_kpi_Analysis[[#This Row],[Total Savings]]/Procurement_kpi_Analysis[[#This Row],[Total Spend]]</f>
        <v>7.9633204633204738E-2</v>
      </c>
      <c r="Q558" s="2" t="str">
        <f>IF(Procurement_kpi_Analysis[[#This Row],[Lead Time]]&lt;=14,"On Time","Late")</f>
        <v>On Time</v>
      </c>
      <c r="R558" s="2">
        <f>Procurement_kpi_Analysis[[#This Row],[Unit_Price]]*Procurement_kpi_Analysis[[#This Row],[Quantity]]</f>
        <v>22056.82</v>
      </c>
      <c r="S558" s="2">
        <f>IF(Procurement_kpi_Analysis[[#This Row],[Compliance]]="Yes",1,0)</f>
        <v>0</v>
      </c>
      <c r="T558" s="2">
        <f>IF(Procurement_kpi_Analysis[[#This Row],[Compliance]]="No",1,0)</f>
        <v>1</v>
      </c>
    </row>
    <row r="559" spans="1:20" x14ac:dyDescent="0.3">
      <c r="A559" t="s">
        <v>584</v>
      </c>
      <c r="B559" t="s">
        <v>17</v>
      </c>
      <c r="C559" s="1">
        <v>45123</v>
      </c>
      <c r="D559" s="1">
        <v>45136</v>
      </c>
      <c r="E559" t="s">
        <v>21</v>
      </c>
      <c r="F559" t="s">
        <v>33</v>
      </c>
      <c r="G559">
        <v>662</v>
      </c>
      <c r="H559">
        <v>81.44</v>
      </c>
      <c r="I559">
        <v>71.33</v>
      </c>
      <c r="J559">
        <v>87</v>
      </c>
      <c r="K559" t="s">
        <v>15</v>
      </c>
      <c r="L559">
        <f>Procurement_kpi_Analysis[[#This Row],[Quantity]]*Procurement_kpi_Analysis[[#This Row],[Negotiated_Price]]</f>
        <v>47220.46</v>
      </c>
      <c r="M559">
        <f>IF(Procurement_kpi_Analysis[[#This Row],[Delivery_Date]]="","",Procurement_kpi_Analysis[[#This Row],[Delivery_Date]]-Procurement_kpi_Analysis[[#This Row],[Order_Date]])</f>
        <v>13</v>
      </c>
      <c r="N559" s="2">
        <f>Procurement_kpi_Analysis[[#This Row],[Defective_Units]]/Procurement_kpi_Analysis[[#This Row],[Quantity]]</f>
        <v>0.13141993957703926</v>
      </c>
      <c r="O559" s="2">
        <f>(Procurement_kpi_Analysis[[#This Row],[Unit_Price]]-Procurement_kpi_Analysis[[#This Row],[Negotiated_Price]])*Procurement_kpi_Analysis[[#This Row],[Quantity]]</f>
        <v>6692.82</v>
      </c>
      <c r="P559" s="2">
        <f>Procurement_kpi_Analysis[[#This Row],[Total Savings]]/Procurement_kpi_Analysis[[#This Row],[Total Spend]]</f>
        <v>0.14173559512126735</v>
      </c>
      <c r="Q559" s="2" t="str">
        <f>IF(Procurement_kpi_Analysis[[#This Row],[Lead Time]]&lt;=14,"On Time","Late")</f>
        <v>On Time</v>
      </c>
      <c r="R559" s="2">
        <f>Procurement_kpi_Analysis[[#This Row],[Unit_Price]]*Procurement_kpi_Analysis[[#This Row],[Quantity]]</f>
        <v>53913.279999999999</v>
      </c>
      <c r="S559" s="2">
        <f>IF(Procurement_kpi_Analysis[[#This Row],[Compliance]]="Yes",1,0)</f>
        <v>1</v>
      </c>
      <c r="T559" s="2">
        <f>IF(Procurement_kpi_Analysis[[#This Row],[Compliance]]="No",1,0)</f>
        <v>0</v>
      </c>
    </row>
    <row r="560" spans="1:20" x14ac:dyDescent="0.3">
      <c r="A560" t="s">
        <v>585</v>
      </c>
      <c r="B560" t="s">
        <v>12</v>
      </c>
      <c r="C560" s="1">
        <v>44562</v>
      </c>
      <c r="D560" s="1">
        <v>44568</v>
      </c>
      <c r="E560" t="s">
        <v>26</v>
      </c>
      <c r="F560" t="s">
        <v>18</v>
      </c>
      <c r="G560">
        <v>1042</v>
      </c>
      <c r="H560">
        <v>36.74</v>
      </c>
      <c r="I560">
        <v>35.78</v>
      </c>
      <c r="J560">
        <v>33</v>
      </c>
      <c r="K560" t="s">
        <v>15</v>
      </c>
      <c r="L560">
        <f>Procurement_kpi_Analysis[[#This Row],[Quantity]]*Procurement_kpi_Analysis[[#This Row],[Negotiated_Price]]</f>
        <v>37282.76</v>
      </c>
      <c r="M560">
        <f>IF(Procurement_kpi_Analysis[[#This Row],[Delivery_Date]]="","",Procurement_kpi_Analysis[[#This Row],[Delivery_Date]]-Procurement_kpi_Analysis[[#This Row],[Order_Date]])</f>
        <v>6</v>
      </c>
      <c r="N560" s="2">
        <f>Procurement_kpi_Analysis[[#This Row],[Defective_Units]]/Procurement_kpi_Analysis[[#This Row],[Quantity]]</f>
        <v>3.166986564299424E-2</v>
      </c>
      <c r="O560" s="2">
        <f>(Procurement_kpi_Analysis[[#This Row],[Unit_Price]]-Procurement_kpi_Analysis[[#This Row],[Negotiated_Price]])*Procurement_kpi_Analysis[[#This Row],[Quantity]]</f>
        <v>1000.3200000000008</v>
      </c>
      <c r="P560" s="2">
        <f>Procurement_kpi_Analysis[[#This Row],[Total Savings]]/Procurement_kpi_Analysis[[#This Row],[Total Spend]]</f>
        <v>2.6830631637786494E-2</v>
      </c>
      <c r="Q560" s="2" t="str">
        <f>IF(Procurement_kpi_Analysis[[#This Row],[Lead Time]]&lt;=14,"On Time","Late")</f>
        <v>On Time</v>
      </c>
      <c r="R560" s="2">
        <f>Procurement_kpi_Analysis[[#This Row],[Unit_Price]]*Procurement_kpi_Analysis[[#This Row],[Quantity]]</f>
        <v>38283.08</v>
      </c>
      <c r="S560" s="2">
        <f>IF(Procurement_kpi_Analysis[[#This Row],[Compliance]]="Yes",1,0)</f>
        <v>1</v>
      </c>
      <c r="T560" s="2">
        <f>IF(Procurement_kpi_Analysis[[#This Row],[Compliance]]="No",1,0)</f>
        <v>0</v>
      </c>
    </row>
    <row r="561" spans="1:20" x14ac:dyDescent="0.3">
      <c r="A561" t="s">
        <v>586</v>
      </c>
      <c r="B561" t="s">
        <v>12</v>
      </c>
      <c r="C561" s="1">
        <v>44873</v>
      </c>
      <c r="D561" s="1"/>
      <c r="E561" t="s">
        <v>26</v>
      </c>
      <c r="F561" t="s">
        <v>18</v>
      </c>
      <c r="G561">
        <v>313</v>
      </c>
      <c r="H561">
        <v>64.03</v>
      </c>
      <c r="I561">
        <v>57.74</v>
      </c>
      <c r="J561">
        <v>1</v>
      </c>
      <c r="K561" t="s">
        <v>15</v>
      </c>
      <c r="L561">
        <f>Procurement_kpi_Analysis[[#This Row],[Quantity]]*Procurement_kpi_Analysis[[#This Row],[Negotiated_Price]]</f>
        <v>18072.62</v>
      </c>
      <c r="M561" t="str">
        <f>IF(Procurement_kpi_Analysis[[#This Row],[Delivery_Date]]="","",Procurement_kpi_Analysis[[#This Row],[Delivery_Date]]-Procurement_kpi_Analysis[[#This Row],[Order_Date]])</f>
        <v/>
      </c>
      <c r="N561" s="2">
        <f>Procurement_kpi_Analysis[[#This Row],[Defective_Units]]/Procurement_kpi_Analysis[[#This Row],[Quantity]]</f>
        <v>3.1948881789137379E-3</v>
      </c>
      <c r="O561" s="2">
        <f>(Procurement_kpi_Analysis[[#This Row],[Unit_Price]]-Procurement_kpi_Analysis[[#This Row],[Negotiated_Price]])*Procurement_kpi_Analysis[[#This Row],[Quantity]]</f>
        <v>1968.7699999999998</v>
      </c>
      <c r="P561" s="2">
        <f>Procurement_kpi_Analysis[[#This Row],[Total Savings]]/Procurement_kpi_Analysis[[#This Row],[Total Spend]]</f>
        <v>0.10893661240041565</v>
      </c>
      <c r="Q561" s="2" t="str">
        <f>IF(Procurement_kpi_Analysis[[#This Row],[Lead Time]]&lt;=14,"On Time","Late")</f>
        <v>Late</v>
      </c>
      <c r="R561" s="2">
        <f>Procurement_kpi_Analysis[[#This Row],[Unit_Price]]*Procurement_kpi_Analysis[[#This Row],[Quantity]]</f>
        <v>20041.39</v>
      </c>
      <c r="S561" s="2">
        <f>IF(Procurement_kpi_Analysis[[#This Row],[Compliance]]="Yes",1,0)</f>
        <v>1</v>
      </c>
      <c r="T561" s="2">
        <f>IF(Procurement_kpi_Analysis[[#This Row],[Compliance]]="No",1,0)</f>
        <v>0</v>
      </c>
    </row>
    <row r="562" spans="1:20" x14ac:dyDescent="0.3">
      <c r="A562" t="s">
        <v>587</v>
      </c>
      <c r="B562" t="s">
        <v>12</v>
      </c>
      <c r="C562" s="1">
        <v>44855</v>
      </c>
      <c r="D562" s="1">
        <v>44875</v>
      </c>
      <c r="E562" t="s">
        <v>13</v>
      </c>
      <c r="F562" t="s">
        <v>18</v>
      </c>
      <c r="G562">
        <v>1126</v>
      </c>
      <c r="H562">
        <v>55.22</v>
      </c>
      <c r="I562">
        <v>50.38</v>
      </c>
      <c r="J562">
        <v>0</v>
      </c>
      <c r="K562" t="s">
        <v>15</v>
      </c>
      <c r="L562">
        <f>Procurement_kpi_Analysis[[#This Row],[Quantity]]*Procurement_kpi_Analysis[[#This Row],[Negotiated_Price]]</f>
        <v>56727.880000000005</v>
      </c>
      <c r="M562">
        <f>IF(Procurement_kpi_Analysis[[#This Row],[Delivery_Date]]="","",Procurement_kpi_Analysis[[#This Row],[Delivery_Date]]-Procurement_kpi_Analysis[[#This Row],[Order_Date]])</f>
        <v>20</v>
      </c>
      <c r="N562" s="2">
        <f>Procurement_kpi_Analysis[[#This Row],[Defective_Units]]/Procurement_kpi_Analysis[[#This Row],[Quantity]]</f>
        <v>0</v>
      </c>
      <c r="O562" s="2">
        <f>(Procurement_kpi_Analysis[[#This Row],[Unit_Price]]-Procurement_kpi_Analysis[[#This Row],[Negotiated_Price]])*Procurement_kpi_Analysis[[#This Row],[Quantity]]</f>
        <v>5449.8399999999956</v>
      </c>
      <c r="P562" s="2">
        <f>Procurement_kpi_Analysis[[#This Row],[Total Savings]]/Procurement_kpi_Analysis[[#This Row],[Total Spend]]</f>
        <v>9.6069868995633106E-2</v>
      </c>
      <c r="Q562" s="2" t="str">
        <f>IF(Procurement_kpi_Analysis[[#This Row],[Lead Time]]&lt;=14,"On Time","Late")</f>
        <v>Late</v>
      </c>
      <c r="R562" s="2">
        <f>Procurement_kpi_Analysis[[#This Row],[Unit_Price]]*Procurement_kpi_Analysis[[#This Row],[Quantity]]</f>
        <v>62177.72</v>
      </c>
      <c r="S562" s="2">
        <f>IF(Procurement_kpi_Analysis[[#This Row],[Compliance]]="Yes",1,0)</f>
        <v>1</v>
      </c>
      <c r="T562" s="2">
        <f>IF(Procurement_kpi_Analysis[[#This Row],[Compliance]]="No",1,0)</f>
        <v>0</v>
      </c>
    </row>
    <row r="563" spans="1:20" x14ac:dyDescent="0.3">
      <c r="A563" t="s">
        <v>588</v>
      </c>
      <c r="B563" t="s">
        <v>20</v>
      </c>
      <c r="C563" s="1">
        <v>44777</v>
      </c>
      <c r="D563" s="1">
        <v>44792</v>
      </c>
      <c r="E563" t="s">
        <v>21</v>
      </c>
      <c r="F563" t="s">
        <v>18</v>
      </c>
      <c r="G563">
        <v>1645</v>
      </c>
      <c r="H563">
        <v>72.17</v>
      </c>
      <c r="I563">
        <v>64</v>
      </c>
      <c r="J563">
        <v>79</v>
      </c>
      <c r="K563" t="s">
        <v>15</v>
      </c>
      <c r="L563">
        <f>Procurement_kpi_Analysis[[#This Row],[Quantity]]*Procurement_kpi_Analysis[[#This Row],[Negotiated_Price]]</f>
        <v>105280</v>
      </c>
      <c r="M563">
        <f>IF(Procurement_kpi_Analysis[[#This Row],[Delivery_Date]]="","",Procurement_kpi_Analysis[[#This Row],[Delivery_Date]]-Procurement_kpi_Analysis[[#This Row],[Order_Date]])</f>
        <v>15</v>
      </c>
      <c r="N563" s="2">
        <f>Procurement_kpi_Analysis[[#This Row],[Defective_Units]]/Procurement_kpi_Analysis[[#This Row],[Quantity]]</f>
        <v>4.8024316109422489E-2</v>
      </c>
      <c r="O563" s="2">
        <f>(Procurement_kpi_Analysis[[#This Row],[Unit_Price]]-Procurement_kpi_Analysis[[#This Row],[Negotiated_Price]])*Procurement_kpi_Analysis[[#This Row],[Quantity]]</f>
        <v>13439.650000000003</v>
      </c>
      <c r="P563" s="2">
        <f>Procurement_kpi_Analysis[[#This Row],[Total Savings]]/Procurement_kpi_Analysis[[#This Row],[Total Spend]]</f>
        <v>0.12765625000000003</v>
      </c>
      <c r="Q563" s="2" t="str">
        <f>IF(Procurement_kpi_Analysis[[#This Row],[Lead Time]]&lt;=14,"On Time","Late")</f>
        <v>Late</v>
      </c>
      <c r="R563" s="2">
        <f>Procurement_kpi_Analysis[[#This Row],[Unit_Price]]*Procurement_kpi_Analysis[[#This Row],[Quantity]]</f>
        <v>118719.65000000001</v>
      </c>
      <c r="S563" s="2">
        <f>IF(Procurement_kpi_Analysis[[#This Row],[Compliance]]="Yes",1,0)</f>
        <v>1</v>
      </c>
      <c r="T563" s="2">
        <f>IF(Procurement_kpi_Analysis[[#This Row],[Compliance]]="No",1,0)</f>
        <v>0</v>
      </c>
    </row>
    <row r="564" spans="1:20" x14ac:dyDescent="0.3">
      <c r="A564" t="s">
        <v>589</v>
      </c>
      <c r="B564" t="s">
        <v>23</v>
      </c>
      <c r="C564" s="1">
        <v>45002</v>
      </c>
      <c r="D564" s="1">
        <v>45005</v>
      </c>
      <c r="E564" t="s">
        <v>24</v>
      </c>
      <c r="F564" t="s">
        <v>18</v>
      </c>
      <c r="G564">
        <v>1053</v>
      </c>
      <c r="H564">
        <v>100.92</v>
      </c>
      <c r="I564">
        <v>92.35</v>
      </c>
      <c r="J564">
        <v>104</v>
      </c>
      <c r="K564" t="s">
        <v>15</v>
      </c>
      <c r="L564">
        <f>Procurement_kpi_Analysis[[#This Row],[Quantity]]*Procurement_kpi_Analysis[[#This Row],[Negotiated_Price]]</f>
        <v>97244.549999999988</v>
      </c>
      <c r="M564">
        <f>IF(Procurement_kpi_Analysis[[#This Row],[Delivery_Date]]="","",Procurement_kpi_Analysis[[#This Row],[Delivery_Date]]-Procurement_kpi_Analysis[[#This Row],[Order_Date]])</f>
        <v>3</v>
      </c>
      <c r="N564" s="2">
        <f>Procurement_kpi_Analysis[[#This Row],[Defective_Units]]/Procurement_kpi_Analysis[[#This Row],[Quantity]]</f>
        <v>9.8765432098765427E-2</v>
      </c>
      <c r="O564" s="2">
        <f>(Procurement_kpi_Analysis[[#This Row],[Unit_Price]]-Procurement_kpi_Analysis[[#This Row],[Negotiated_Price]])*Procurement_kpi_Analysis[[#This Row],[Quantity]]</f>
        <v>9024.2100000000082</v>
      </c>
      <c r="P564" s="2">
        <f>Procurement_kpi_Analysis[[#This Row],[Total Savings]]/Procurement_kpi_Analysis[[#This Row],[Total Spend]]</f>
        <v>9.279913373037367E-2</v>
      </c>
      <c r="Q564" s="2" t="str">
        <f>IF(Procurement_kpi_Analysis[[#This Row],[Lead Time]]&lt;=14,"On Time","Late")</f>
        <v>On Time</v>
      </c>
      <c r="R564" s="2">
        <f>Procurement_kpi_Analysis[[#This Row],[Unit_Price]]*Procurement_kpi_Analysis[[#This Row],[Quantity]]</f>
        <v>106268.76</v>
      </c>
      <c r="S564" s="2">
        <f>IF(Procurement_kpi_Analysis[[#This Row],[Compliance]]="Yes",1,0)</f>
        <v>1</v>
      </c>
      <c r="T564" s="2">
        <f>IF(Procurement_kpi_Analysis[[#This Row],[Compliance]]="No",1,0)</f>
        <v>0</v>
      </c>
    </row>
    <row r="565" spans="1:20" x14ac:dyDescent="0.3">
      <c r="A565" t="s">
        <v>590</v>
      </c>
      <c r="B565" t="s">
        <v>29</v>
      </c>
      <c r="C565" s="1">
        <v>45155</v>
      </c>
      <c r="D565" s="1">
        <v>45167</v>
      </c>
      <c r="E565" t="s">
        <v>21</v>
      </c>
      <c r="F565" t="s">
        <v>18</v>
      </c>
      <c r="G565">
        <v>1693</v>
      </c>
      <c r="H565">
        <v>83.14</v>
      </c>
      <c r="I565">
        <v>73.3</v>
      </c>
      <c r="J565">
        <v>62</v>
      </c>
      <c r="K565" t="s">
        <v>15</v>
      </c>
      <c r="L565">
        <f>Procurement_kpi_Analysis[[#This Row],[Quantity]]*Procurement_kpi_Analysis[[#This Row],[Negotiated_Price]]</f>
        <v>124096.9</v>
      </c>
      <c r="M565">
        <f>IF(Procurement_kpi_Analysis[[#This Row],[Delivery_Date]]="","",Procurement_kpi_Analysis[[#This Row],[Delivery_Date]]-Procurement_kpi_Analysis[[#This Row],[Order_Date]])</f>
        <v>12</v>
      </c>
      <c r="N565" s="2">
        <f>Procurement_kpi_Analysis[[#This Row],[Defective_Units]]/Procurement_kpi_Analysis[[#This Row],[Quantity]]</f>
        <v>3.662138216184288E-2</v>
      </c>
      <c r="O565" s="2">
        <f>(Procurement_kpi_Analysis[[#This Row],[Unit_Price]]-Procurement_kpi_Analysis[[#This Row],[Negotiated_Price]])*Procurement_kpi_Analysis[[#This Row],[Quantity]]</f>
        <v>16659.120000000006</v>
      </c>
      <c r="P565" s="2">
        <f>Procurement_kpi_Analysis[[#This Row],[Total Savings]]/Procurement_kpi_Analysis[[#This Row],[Total Spend]]</f>
        <v>0.13424283765347891</v>
      </c>
      <c r="Q565" s="2" t="str">
        <f>IF(Procurement_kpi_Analysis[[#This Row],[Lead Time]]&lt;=14,"On Time","Late")</f>
        <v>On Time</v>
      </c>
      <c r="R565" s="2">
        <f>Procurement_kpi_Analysis[[#This Row],[Unit_Price]]*Procurement_kpi_Analysis[[#This Row],[Quantity]]</f>
        <v>140756.01999999999</v>
      </c>
      <c r="S565" s="2">
        <f>IF(Procurement_kpi_Analysis[[#This Row],[Compliance]]="Yes",1,0)</f>
        <v>1</v>
      </c>
      <c r="T565" s="2">
        <f>IF(Procurement_kpi_Analysis[[#This Row],[Compliance]]="No",1,0)</f>
        <v>0</v>
      </c>
    </row>
    <row r="566" spans="1:20" x14ac:dyDescent="0.3">
      <c r="A566" t="s">
        <v>591</v>
      </c>
      <c r="B566" t="s">
        <v>29</v>
      </c>
      <c r="C566" s="1">
        <v>45183</v>
      </c>
      <c r="D566" s="1">
        <v>45202</v>
      </c>
      <c r="E566" t="s">
        <v>26</v>
      </c>
      <c r="F566" t="s">
        <v>35</v>
      </c>
      <c r="G566">
        <v>54</v>
      </c>
      <c r="H566">
        <v>32.28</v>
      </c>
      <c r="I566">
        <v>28.65</v>
      </c>
      <c r="J566">
        <v>3</v>
      </c>
      <c r="K566" t="s">
        <v>15</v>
      </c>
      <c r="L566">
        <f>Procurement_kpi_Analysis[[#This Row],[Quantity]]*Procurement_kpi_Analysis[[#This Row],[Negotiated_Price]]</f>
        <v>1547.1</v>
      </c>
      <c r="M566">
        <f>IF(Procurement_kpi_Analysis[[#This Row],[Delivery_Date]]="","",Procurement_kpi_Analysis[[#This Row],[Delivery_Date]]-Procurement_kpi_Analysis[[#This Row],[Order_Date]])</f>
        <v>19</v>
      </c>
      <c r="N566" s="2">
        <f>Procurement_kpi_Analysis[[#This Row],[Defective_Units]]/Procurement_kpi_Analysis[[#This Row],[Quantity]]</f>
        <v>5.5555555555555552E-2</v>
      </c>
      <c r="O566" s="2">
        <f>(Procurement_kpi_Analysis[[#This Row],[Unit_Price]]-Procurement_kpi_Analysis[[#This Row],[Negotiated_Price]])*Procurement_kpi_Analysis[[#This Row],[Quantity]]</f>
        <v>196.02000000000015</v>
      </c>
      <c r="P566" s="2">
        <f>Procurement_kpi_Analysis[[#This Row],[Total Savings]]/Procurement_kpi_Analysis[[#This Row],[Total Spend]]</f>
        <v>0.12670157068062837</v>
      </c>
      <c r="Q566" s="2" t="str">
        <f>IF(Procurement_kpi_Analysis[[#This Row],[Lead Time]]&lt;=14,"On Time","Late")</f>
        <v>Late</v>
      </c>
      <c r="R566" s="2">
        <f>Procurement_kpi_Analysis[[#This Row],[Unit_Price]]*Procurement_kpi_Analysis[[#This Row],[Quantity]]</f>
        <v>1743.1200000000001</v>
      </c>
      <c r="S566" s="2">
        <f>IF(Procurement_kpi_Analysis[[#This Row],[Compliance]]="Yes",1,0)</f>
        <v>1</v>
      </c>
      <c r="T566" s="2">
        <f>IF(Procurement_kpi_Analysis[[#This Row],[Compliance]]="No",1,0)</f>
        <v>0</v>
      </c>
    </row>
    <row r="567" spans="1:20" x14ac:dyDescent="0.3">
      <c r="A567" t="s">
        <v>592</v>
      </c>
      <c r="B567" t="s">
        <v>29</v>
      </c>
      <c r="C567" s="1">
        <v>45232</v>
      </c>
      <c r="D567" s="1">
        <v>45237</v>
      </c>
      <c r="E567" t="s">
        <v>24</v>
      </c>
      <c r="F567" t="s">
        <v>18</v>
      </c>
      <c r="G567">
        <v>1176</v>
      </c>
      <c r="H567">
        <v>14.22</v>
      </c>
      <c r="I567">
        <v>12.21</v>
      </c>
      <c r="J567">
        <v>33</v>
      </c>
      <c r="K567" t="s">
        <v>15</v>
      </c>
      <c r="L567">
        <f>Procurement_kpi_Analysis[[#This Row],[Quantity]]*Procurement_kpi_Analysis[[#This Row],[Negotiated_Price]]</f>
        <v>14358.960000000001</v>
      </c>
      <c r="M567">
        <f>IF(Procurement_kpi_Analysis[[#This Row],[Delivery_Date]]="","",Procurement_kpi_Analysis[[#This Row],[Delivery_Date]]-Procurement_kpi_Analysis[[#This Row],[Order_Date]])</f>
        <v>5</v>
      </c>
      <c r="N567" s="2">
        <f>Procurement_kpi_Analysis[[#This Row],[Defective_Units]]/Procurement_kpi_Analysis[[#This Row],[Quantity]]</f>
        <v>2.8061224489795918E-2</v>
      </c>
      <c r="O567" s="2">
        <f>(Procurement_kpi_Analysis[[#This Row],[Unit_Price]]-Procurement_kpi_Analysis[[#This Row],[Negotiated_Price]])*Procurement_kpi_Analysis[[#This Row],[Quantity]]</f>
        <v>2363.7599999999998</v>
      </c>
      <c r="P567" s="2">
        <f>Procurement_kpi_Analysis[[#This Row],[Total Savings]]/Procurement_kpi_Analysis[[#This Row],[Total Spend]]</f>
        <v>0.16461916461916459</v>
      </c>
      <c r="Q567" s="2" t="str">
        <f>IF(Procurement_kpi_Analysis[[#This Row],[Lead Time]]&lt;=14,"On Time","Late")</f>
        <v>On Time</v>
      </c>
      <c r="R567" s="2">
        <f>Procurement_kpi_Analysis[[#This Row],[Unit_Price]]*Procurement_kpi_Analysis[[#This Row],[Quantity]]</f>
        <v>16722.72</v>
      </c>
      <c r="S567" s="2">
        <f>IF(Procurement_kpi_Analysis[[#This Row],[Compliance]]="Yes",1,0)</f>
        <v>1</v>
      </c>
      <c r="T567" s="2">
        <f>IF(Procurement_kpi_Analysis[[#This Row],[Compliance]]="No",1,0)</f>
        <v>0</v>
      </c>
    </row>
    <row r="568" spans="1:20" x14ac:dyDescent="0.3">
      <c r="A568" t="s">
        <v>593</v>
      </c>
      <c r="B568" t="s">
        <v>29</v>
      </c>
      <c r="C568" s="1">
        <v>44891</v>
      </c>
      <c r="D568" s="1">
        <v>44903</v>
      </c>
      <c r="E568" t="s">
        <v>26</v>
      </c>
      <c r="F568" t="s">
        <v>18</v>
      </c>
      <c r="G568">
        <v>1269</v>
      </c>
      <c r="H568">
        <v>35.28</v>
      </c>
      <c r="I568">
        <v>33.700000000000003</v>
      </c>
      <c r="J568">
        <v>35</v>
      </c>
      <c r="K568" t="s">
        <v>15</v>
      </c>
      <c r="L568">
        <f>Procurement_kpi_Analysis[[#This Row],[Quantity]]*Procurement_kpi_Analysis[[#This Row],[Negotiated_Price]]</f>
        <v>42765.3</v>
      </c>
      <c r="M568">
        <f>IF(Procurement_kpi_Analysis[[#This Row],[Delivery_Date]]="","",Procurement_kpi_Analysis[[#This Row],[Delivery_Date]]-Procurement_kpi_Analysis[[#This Row],[Order_Date]])</f>
        <v>12</v>
      </c>
      <c r="N568" s="2">
        <f>Procurement_kpi_Analysis[[#This Row],[Defective_Units]]/Procurement_kpi_Analysis[[#This Row],[Quantity]]</f>
        <v>2.7580772261623327E-2</v>
      </c>
      <c r="O568" s="2">
        <f>(Procurement_kpi_Analysis[[#This Row],[Unit_Price]]-Procurement_kpi_Analysis[[#This Row],[Negotiated_Price]])*Procurement_kpi_Analysis[[#This Row],[Quantity]]</f>
        <v>2005.0199999999979</v>
      </c>
      <c r="P568" s="2">
        <f>Procurement_kpi_Analysis[[#This Row],[Total Savings]]/Procurement_kpi_Analysis[[#This Row],[Total Spend]]</f>
        <v>4.6884272997032586E-2</v>
      </c>
      <c r="Q568" s="2" t="str">
        <f>IF(Procurement_kpi_Analysis[[#This Row],[Lead Time]]&lt;=14,"On Time","Late")</f>
        <v>On Time</v>
      </c>
      <c r="R568" s="2">
        <f>Procurement_kpi_Analysis[[#This Row],[Unit_Price]]*Procurement_kpi_Analysis[[#This Row],[Quantity]]</f>
        <v>44770.32</v>
      </c>
      <c r="S568" s="2">
        <f>IF(Procurement_kpi_Analysis[[#This Row],[Compliance]]="Yes",1,0)</f>
        <v>1</v>
      </c>
      <c r="T568" s="2">
        <f>IF(Procurement_kpi_Analysis[[#This Row],[Compliance]]="No",1,0)</f>
        <v>0</v>
      </c>
    </row>
    <row r="569" spans="1:20" x14ac:dyDescent="0.3">
      <c r="A569" t="s">
        <v>594</v>
      </c>
      <c r="B569" t="s">
        <v>29</v>
      </c>
      <c r="C569" s="1">
        <v>45038</v>
      </c>
      <c r="D569" s="1">
        <v>45041</v>
      </c>
      <c r="E569" t="s">
        <v>26</v>
      </c>
      <c r="F569" t="s">
        <v>18</v>
      </c>
      <c r="G569">
        <v>823</v>
      </c>
      <c r="H569">
        <v>68.319999999999993</v>
      </c>
      <c r="I569">
        <v>64.459999999999994</v>
      </c>
      <c r="J569">
        <v>19</v>
      </c>
      <c r="K569" t="s">
        <v>15</v>
      </c>
      <c r="L569">
        <f>Procurement_kpi_Analysis[[#This Row],[Quantity]]*Procurement_kpi_Analysis[[#This Row],[Negotiated_Price]]</f>
        <v>53050.579999999994</v>
      </c>
      <c r="M569">
        <f>IF(Procurement_kpi_Analysis[[#This Row],[Delivery_Date]]="","",Procurement_kpi_Analysis[[#This Row],[Delivery_Date]]-Procurement_kpi_Analysis[[#This Row],[Order_Date]])</f>
        <v>3</v>
      </c>
      <c r="N569" s="2">
        <f>Procurement_kpi_Analysis[[#This Row],[Defective_Units]]/Procurement_kpi_Analysis[[#This Row],[Quantity]]</f>
        <v>2.3086269744835967E-2</v>
      </c>
      <c r="O569" s="2">
        <f>(Procurement_kpi_Analysis[[#This Row],[Unit_Price]]-Procurement_kpi_Analysis[[#This Row],[Negotiated_Price]])*Procurement_kpi_Analysis[[#This Row],[Quantity]]</f>
        <v>3176.7799999999997</v>
      </c>
      <c r="P569" s="2">
        <f>Procurement_kpi_Analysis[[#This Row],[Total Savings]]/Procurement_kpi_Analysis[[#This Row],[Total Spend]]</f>
        <v>5.9882097424759542E-2</v>
      </c>
      <c r="Q569" s="2" t="str">
        <f>IF(Procurement_kpi_Analysis[[#This Row],[Lead Time]]&lt;=14,"On Time","Late")</f>
        <v>On Time</v>
      </c>
      <c r="R569" s="2">
        <f>Procurement_kpi_Analysis[[#This Row],[Unit_Price]]*Procurement_kpi_Analysis[[#This Row],[Quantity]]</f>
        <v>56227.359999999993</v>
      </c>
      <c r="S569" s="2">
        <f>IF(Procurement_kpi_Analysis[[#This Row],[Compliance]]="Yes",1,0)</f>
        <v>1</v>
      </c>
      <c r="T569" s="2">
        <f>IF(Procurement_kpi_Analysis[[#This Row],[Compliance]]="No",1,0)</f>
        <v>0</v>
      </c>
    </row>
    <row r="570" spans="1:20" x14ac:dyDescent="0.3">
      <c r="A570" t="s">
        <v>595</v>
      </c>
      <c r="B570" t="s">
        <v>23</v>
      </c>
      <c r="C570" s="1">
        <v>45014</v>
      </c>
      <c r="D570" s="1">
        <v>45031</v>
      </c>
      <c r="E570" t="s">
        <v>39</v>
      </c>
      <c r="F570" t="s">
        <v>18</v>
      </c>
      <c r="G570">
        <v>926</v>
      </c>
      <c r="H570">
        <v>15.65</v>
      </c>
      <c r="I570">
        <v>13.49</v>
      </c>
      <c r="J570">
        <v>94</v>
      </c>
      <c r="K570" t="s">
        <v>27</v>
      </c>
      <c r="L570">
        <f>Procurement_kpi_Analysis[[#This Row],[Quantity]]*Procurement_kpi_Analysis[[#This Row],[Negotiated_Price]]</f>
        <v>12491.74</v>
      </c>
      <c r="M570">
        <f>IF(Procurement_kpi_Analysis[[#This Row],[Delivery_Date]]="","",Procurement_kpi_Analysis[[#This Row],[Delivery_Date]]-Procurement_kpi_Analysis[[#This Row],[Order_Date]])</f>
        <v>17</v>
      </c>
      <c r="N570" s="2">
        <f>Procurement_kpi_Analysis[[#This Row],[Defective_Units]]/Procurement_kpi_Analysis[[#This Row],[Quantity]]</f>
        <v>0.10151187904967603</v>
      </c>
      <c r="O570" s="2">
        <f>(Procurement_kpi_Analysis[[#This Row],[Unit_Price]]-Procurement_kpi_Analysis[[#This Row],[Negotiated_Price]])*Procurement_kpi_Analysis[[#This Row],[Quantity]]</f>
        <v>2000.16</v>
      </c>
      <c r="P570" s="2">
        <f>Procurement_kpi_Analysis[[#This Row],[Total Savings]]/Procurement_kpi_Analysis[[#This Row],[Total Spend]]</f>
        <v>0.16011860637509268</v>
      </c>
      <c r="Q570" s="2" t="str">
        <f>IF(Procurement_kpi_Analysis[[#This Row],[Lead Time]]&lt;=14,"On Time","Late")</f>
        <v>Late</v>
      </c>
      <c r="R570" s="2">
        <f>Procurement_kpi_Analysis[[#This Row],[Unit_Price]]*Procurement_kpi_Analysis[[#This Row],[Quantity]]</f>
        <v>14491.9</v>
      </c>
      <c r="S570" s="2">
        <f>IF(Procurement_kpi_Analysis[[#This Row],[Compliance]]="Yes",1,0)</f>
        <v>0</v>
      </c>
      <c r="T570" s="2">
        <f>IF(Procurement_kpi_Analysis[[#This Row],[Compliance]]="No",1,0)</f>
        <v>1</v>
      </c>
    </row>
    <row r="571" spans="1:20" x14ac:dyDescent="0.3">
      <c r="A571" t="s">
        <v>596</v>
      </c>
      <c r="B571" t="s">
        <v>17</v>
      </c>
      <c r="C571" s="1">
        <v>45014</v>
      </c>
      <c r="D571" s="1">
        <v>45025</v>
      </c>
      <c r="E571" t="s">
        <v>39</v>
      </c>
      <c r="F571" t="s">
        <v>14</v>
      </c>
      <c r="G571">
        <v>1041</v>
      </c>
      <c r="H571">
        <v>58.5</v>
      </c>
      <c r="I571">
        <v>52.54</v>
      </c>
      <c r="J571">
        <v>170</v>
      </c>
      <c r="K571" t="s">
        <v>27</v>
      </c>
      <c r="L571">
        <f>Procurement_kpi_Analysis[[#This Row],[Quantity]]*Procurement_kpi_Analysis[[#This Row],[Negotiated_Price]]</f>
        <v>54694.14</v>
      </c>
      <c r="M571">
        <f>IF(Procurement_kpi_Analysis[[#This Row],[Delivery_Date]]="","",Procurement_kpi_Analysis[[#This Row],[Delivery_Date]]-Procurement_kpi_Analysis[[#This Row],[Order_Date]])</f>
        <v>11</v>
      </c>
      <c r="N571" s="2">
        <f>Procurement_kpi_Analysis[[#This Row],[Defective_Units]]/Procurement_kpi_Analysis[[#This Row],[Quantity]]</f>
        <v>0.1633045148895293</v>
      </c>
      <c r="O571" s="2">
        <f>(Procurement_kpi_Analysis[[#This Row],[Unit_Price]]-Procurement_kpi_Analysis[[#This Row],[Negotiated_Price]])*Procurement_kpi_Analysis[[#This Row],[Quantity]]</f>
        <v>6204.3600000000006</v>
      </c>
      <c r="P571" s="2">
        <f>Procurement_kpi_Analysis[[#This Row],[Total Savings]]/Procurement_kpi_Analysis[[#This Row],[Total Spend]]</f>
        <v>0.11343738104301486</v>
      </c>
      <c r="Q571" s="2" t="str">
        <f>IF(Procurement_kpi_Analysis[[#This Row],[Lead Time]]&lt;=14,"On Time","Late")</f>
        <v>On Time</v>
      </c>
      <c r="R571" s="2">
        <f>Procurement_kpi_Analysis[[#This Row],[Unit_Price]]*Procurement_kpi_Analysis[[#This Row],[Quantity]]</f>
        <v>60898.5</v>
      </c>
      <c r="S571" s="2">
        <f>IF(Procurement_kpi_Analysis[[#This Row],[Compliance]]="Yes",1,0)</f>
        <v>0</v>
      </c>
      <c r="T571" s="2">
        <f>IF(Procurement_kpi_Analysis[[#This Row],[Compliance]]="No",1,0)</f>
        <v>1</v>
      </c>
    </row>
    <row r="572" spans="1:20" x14ac:dyDescent="0.3">
      <c r="A572" t="s">
        <v>597</v>
      </c>
      <c r="B572" t="s">
        <v>20</v>
      </c>
      <c r="C572" s="1">
        <v>45253</v>
      </c>
      <c r="D572" s="1">
        <v>45261</v>
      </c>
      <c r="E572" t="s">
        <v>39</v>
      </c>
      <c r="F572" t="s">
        <v>35</v>
      </c>
      <c r="G572">
        <v>933</v>
      </c>
      <c r="H572">
        <v>70.72</v>
      </c>
      <c r="I572">
        <v>65.47</v>
      </c>
      <c r="J572">
        <v>42</v>
      </c>
      <c r="K572" t="s">
        <v>15</v>
      </c>
      <c r="L572">
        <f>Procurement_kpi_Analysis[[#This Row],[Quantity]]*Procurement_kpi_Analysis[[#This Row],[Negotiated_Price]]</f>
        <v>61083.51</v>
      </c>
      <c r="M572">
        <f>IF(Procurement_kpi_Analysis[[#This Row],[Delivery_Date]]="","",Procurement_kpi_Analysis[[#This Row],[Delivery_Date]]-Procurement_kpi_Analysis[[#This Row],[Order_Date]])</f>
        <v>8</v>
      </c>
      <c r="N572" s="2">
        <f>Procurement_kpi_Analysis[[#This Row],[Defective_Units]]/Procurement_kpi_Analysis[[#This Row],[Quantity]]</f>
        <v>4.5016077170418008E-2</v>
      </c>
      <c r="O572" s="2">
        <f>(Procurement_kpi_Analysis[[#This Row],[Unit_Price]]-Procurement_kpi_Analysis[[#This Row],[Negotiated_Price]])*Procurement_kpi_Analysis[[#This Row],[Quantity]]</f>
        <v>4898.25</v>
      </c>
      <c r="P572" s="2">
        <f>Procurement_kpi_Analysis[[#This Row],[Total Savings]]/Procurement_kpi_Analysis[[#This Row],[Total Spend]]</f>
        <v>8.0189399725064919E-2</v>
      </c>
      <c r="Q572" s="2" t="str">
        <f>IF(Procurement_kpi_Analysis[[#This Row],[Lead Time]]&lt;=14,"On Time","Late")</f>
        <v>On Time</v>
      </c>
      <c r="R572" s="2">
        <f>Procurement_kpi_Analysis[[#This Row],[Unit_Price]]*Procurement_kpi_Analysis[[#This Row],[Quantity]]</f>
        <v>65981.759999999995</v>
      </c>
      <c r="S572" s="2">
        <f>IF(Procurement_kpi_Analysis[[#This Row],[Compliance]]="Yes",1,0)</f>
        <v>1</v>
      </c>
      <c r="T572" s="2">
        <f>IF(Procurement_kpi_Analysis[[#This Row],[Compliance]]="No",1,0)</f>
        <v>0</v>
      </c>
    </row>
    <row r="573" spans="1:20" x14ac:dyDescent="0.3">
      <c r="A573" t="s">
        <v>598</v>
      </c>
      <c r="B573" t="s">
        <v>17</v>
      </c>
      <c r="C573" s="1">
        <v>44780</v>
      </c>
      <c r="D573" s="1"/>
      <c r="E573" t="s">
        <v>26</v>
      </c>
      <c r="F573" t="s">
        <v>18</v>
      </c>
      <c r="G573">
        <v>1423</v>
      </c>
      <c r="H573">
        <v>41.48</v>
      </c>
      <c r="I573">
        <v>40.9</v>
      </c>
      <c r="J573">
        <v>199</v>
      </c>
      <c r="K573" t="s">
        <v>15</v>
      </c>
      <c r="L573">
        <f>Procurement_kpi_Analysis[[#This Row],[Quantity]]*Procurement_kpi_Analysis[[#This Row],[Negotiated_Price]]</f>
        <v>58200.7</v>
      </c>
      <c r="M573" t="str">
        <f>IF(Procurement_kpi_Analysis[[#This Row],[Delivery_Date]]="","",Procurement_kpi_Analysis[[#This Row],[Delivery_Date]]-Procurement_kpi_Analysis[[#This Row],[Order_Date]])</f>
        <v/>
      </c>
      <c r="N573" s="2">
        <f>Procurement_kpi_Analysis[[#This Row],[Defective_Units]]/Procurement_kpi_Analysis[[#This Row],[Quantity]]</f>
        <v>0.13984539704848911</v>
      </c>
      <c r="O573" s="2">
        <f>(Procurement_kpi_Analysis[[#This Row],[Unit_Price]]-Procurement_kpi_Analysis[[#This Row],[Negotiated_Price]])*Procurement_kpi_Analysis[[#This Row],[Quantity]]</f>
        <v>825.33999999999753</v>
      </c>
      <c r="P573" s="2">
        <f>Procurement_kpi_Analysis[[#This Row],[Total Savings]]/Procurement_kpi_Analysis[[#This Row],[Total Spend]]</f>
        <v>1.4180929095354481E-2</v>
      </c>
      <c r="Q573" s="2" t="str">
        <f>IF(Procurement_kpi_Analysis[[#This Row],[Lead Time]]&lt;=14,"On Time","Late")</f>
        <v>Late</v>
      </c>
      <c r="R573" s="2">
        <f>Procurement_kpi_Analysis[[#This Row],[Unit_Price]]*Procurement_kpi_Analysis[[#This Row],[Quantity]]</f>
        <v>59026.039999999994</v>
      </c>
      <c r="S573" s="2">
        <f>IF(Procurement_kpi_Analysis[[#This Row],[Compliance]]="Yes",1,0)</f>
        <v>1</v>
      </c>
      <c r="T573" s="2">
        <f>IF(Procurement_kpi_Analysis[[#This Row],[Compliance]]="No",1,0)</f>
        <v>0</v>
      </c>
    </row>
    <row r="574" spans="1:20" x14ac:dyDescent="0.3">
      <c r="A574" t="s">
        <v>599</v>
      </c>
      <c r="B574" t="s">
        <v>17</v>
      </c>
      <c r="C574" s="1">
        <v>45085</v>
      </c>
      <c r="D574" s="1">
        <v>45091</v>
      </c>
      <c r="E574" t="s">
        <v>21</v>
      </c>
      <c r="F574" t="s">
        <v>18</v>
      </c>
      <c r="G574">
        <v>96</v>
      </c>
      <c r="H574">
        <v>86.13</v>
      </c>
      <c r="I574">
        <v>80.319999999999993</v>
      </c>
      <c r="J574">
        <v>12</v>
      </c>
      <c r="K574" t="s">
        <v>27</v>
      </c>
      <c r="L574">
        <f>Procurement_kpi_Analysis[[#This Row],[Quantity]]*Procurement_kpi_Analysis[[#This Row],[Negotiated_Price]]</f>
        <v>7710.7199999999993</v>
      </c>
      <c r="M574">
        <f>IF(Procurement_kpi_Analysis[[#This Row],[Delivery_Date]]="","",Procurement_kpi_Analysis[[#This Row],[Delivery_Date]]-Procurement_kpi_Analysis[[#This Row],[Order_Date]])</f>
        <v>6</v>
      </c>
      <c r="N574" s="2">
        <f>Procurement_kpi_Analysis[[#This Row],[Defective_Units]]/Procurement_kpi_Analysis[[#This Row],[Quantity]]</f>
        <v>0.125</v>
      </c>
      <c r="O574" s="2">
        <f>(Procurement_kpi_Analysis[[#This Row],[Unit_Price]]-Procurement_kpi_Analysis[[#This Row],[Negotiated_Price]])*Procurement_kpi_Analysis[[#This Row],[Quantity]]</f>
        <v>557.76000000000022</v>
      </c>
      <c r="P574" s="2">
        <f>Procurement_kpi_Analysis[[#This Row],[Total Savings]]/Procurement_kpi_Analysis[[#This Row],[Total Spend]]</f>
        <v>7.2335657370517961E-2</v>
      </c>
      <c r="Q574" s="2" t="str">
        <f>IF(Procurement_kpi_Analysis[[#This Row],[Lead Time]]&lt;=14,"On Time","Late")</f>
        <v>On Time</v>
      </c>
      <c r="R574" s="2">
        <f>Procurement_kpi_Analysis[[#This Row],[Unit_Price]]*Procurement_kpi_Analysis[[#This Row],[Quantity]]</f>
        <v>8268.48</v>
      </c>
      <c r="S574" s="2">
        <f>IF(Procurement_kpi_Analysis[[#This Row],[Compliance]]="Yes",1,0)</f>
        <v>0</v>
      </c>
      <c r="T574" s="2">
        <f>IF(Procurement_kpi_Analysis[[#This Row],[Compliance]]="No",1,0)</f>
        <v>1</v>
      </c>
    </row>
    <row r="575" spans="1:20" x14ac:dyDescent="0.3">
      <c r="A575" t="s">
        <v>600</v>
      </c>
      <c r="B575" t="s">
        <v>29</v>
      </c>
      <c r="C575" s="1">
        <v>45046</v>
      </c>
      <c r="D575" s="1">
        <v>45059</v>
      </c>
      <c r="E575" t="s">
        <v>21</v>
      </c>
      <c r="F575" t="s">
        <v>18</v>
      </c>
      <c r="G575">
        <v>916</v>
      </c>
      <c r="H575">
        <v>21.06</v>
      </c>
      <c r="I575">
        <v>19.53</v>
      </c>
      <c r="J575">
        <v>25</v>
      </c>
      <c r="K575" t="s">
        <v>15</v>
      </c>
      <c r="L575">
        <f>Procurement_kpi_Analysis[[#This Row],[Quantity]]*Procurement_kpi_Analysis[[#This Row],[Negotiated_Price]]</f>
        <v>17889.48</v>
      </c>
      <c r="M575">
        <f>IF(Procurement_kpi_Analysis[[#This Row],[Delivery_Date]]="","",Procurement_kpi_Analysis[[#This Row],[Delivery_Date]]-Procurement_kpi_Analysis[[#This Row],[Order_Date]])</f>
        <v>13</v>
      </c>
      <c r="N575" s="2">
        <f>Procurement_kpi_Analysis[[#This Row],[Defective_Units]]/Procurement_kpi_Analysis[[#This Row],[Quantity]]</f>
        <v>2.7292576419213975E-2</v>
      </c>
      <c r="O575" s="2">
        <f>(Procurement_kpi_Analysis[[#This Row],[Unit_Price]]-Procurement_kpi_Analysis[[#This Row],[Negotiated_Price]])*Procurement_kpi_Analysis[[#This Row],[Quantity]]</f>
        <v>1401.4799999999977</v>
      </c>
      <c r="P575" s="2">
        <f>Procurement_kpi_Analysis[[#This Row],[Total Savings]]/Procurement_kpi_Analysis[[#This Row],[Total Spend]]</f>
        <v>7.8341013824884662E-2</v>
      </c>
      <c r="Q575" s="2" t="str">
        <f>IF(Procurement_kpi_Analysis[[#This Row],[Lead Time]]&lt;=14,"On Time","Late")</f>
        <v>On Time</v>
      </c>
      <c r="R575" s="2">
        <f>Procurement_kpi_Analysis[[#This Row],[Unit_Price]]*Procurement_kpi_Analysis[[#This Row],[Quantity]]</f>
        <v>19290.96</v>
      </c>
      <c r="S575" s="2">
        <f>IF(Procurement_kpi_Analysis[[#This Row],[Compliance]]="Yes",1,0)</f>
        <v>1</v>
      </c>
      <c r="T575" s="2">
        <f>IF(Procurement_kpi_Analysis[[#This Row],[Compliance]]="No",1,0)</f>
        <v>0</v>
      </c>
    </row>
    <row r="576" spans="1:20" x14ac:dyDescent="0.3">
      <c r="A576" t="s">
        <v>601</v>
      </c>
      <c r="B576" t="s">
        <v>29</v>
      </c>
      <c r="C576" s="1">
        <v>44735</v>
      </c>
      <c r="D576" s="1"/>
      <c r="E576" t="s">
        <v>26</v>
      </c>
      <c r="F576" t="s">
        <v>18</v>
      </c>
      <c r="G576">
        <v>872</v>
      </c>
      <c r="H576">
        <v>17.18</v>
      </c>
      <c r="I576">
        <v>16.63</v>
      </c>
      <c r="J576">
        <v>20</v>
      </c>
      <c r="K576" t="s">
        <v>15</v>
      </c>
      <c r="L576">
        <f>Procurement_kpi_Analysis[[#This Row],[Quantity]]*Procurement_kpi_Analysis[[#This Row],[Negotiated_Price]]</f>
        <v>14501.359999999999</v>
      </c>
      <c r="M576" t="str">
        <f>IF(Procurement_kpi_Analysis[[#This Row],[Delivery_Date]]="","",Procurement_kpi_Analysis[[#This Row],[Delivery_Date]]-Procurement_kpi_Analysis[[#This Row],[Order_Date]])</f>
        <v/>
      </c>
      <c r="N576" s="2">
        <f>Procurement_kpi_Analysis[[#This Row],[Defective_Units]]/Procurement_kpi_Analysis[[#This Row],[Quantity]]</f>
        <v>2.2935779816513763E-2</v>
      </c>
      <c r="O576" s="2">
        <f>(Procurement_kpi_Analysis[[#This Row],[Unit_Price]]-Procurement_kpi_Analysis[[#This Row],[Negotiated_Price]])*Procurement_kpi_Analysis[[#This Row],[Quantity]]</f>
        <v>479.60000000000059</v>
      </c>
      <c r="P576" s="2">
        <f>Procurement_kpi_Analysis[[#This Row],[Total Savings]]/Procurement_kpi_Analysis[[#This Row],[Total Spend]]</f>
        <v>3.3072760072158792E-2</v>
      </c>
      <c r="Q576" s="2" t="str">
        <f>IF(Procurement_kpi_Analysis[[#This Row],[Lead Time]]&lt;=14,"On Time","Late")</f>
        <v>Late</v>
      </c>
      <c r="R576" s="2">
        <f>Procurement_kpi_Analysis[[#This Row],[Unit_Price]]*Procurement_kpi_Analysis[[#This Row],[Quantity]]</f>
        <v>14980.96</v>
      </c>
      <c r="S576" s="2">
        <f>IF(Procurement_kpi_Analysis[[#This Row],[Compliance]]="Yes",1,0)</f>
        <v>1</v>
      </c>
      <c r="T576" s="2">
        <f>IF(Procurement_kpi_Analysis[[#This Row],[Compliance]]="No",1,0)</f>
        <v>0</v>
      </c>
    </row>
    <row r="577" spans="1:20" x14ac:dyDescent="0.3">
      <c r="A577" t="s">
        <v>602</v>
      </c>
      <c r="B577" t="s">
        <v>23</v>
      </c>
      <c r="C577" s="1">
        <v>45236</v>
      </c>
      <c r="D577" s="1">
        <v>45245</v>
      </c>
      <c r="E577" t="s">
        <v>39</v>
      </c>
      <c r="F577" t="s">
        <v>18</v>
      </c>
      <c r="G577">
        <v>985</v>
      </c>
      <c r="H577">
        <v>83.85</v>
      </c>
      <c r="I577">
        <v>80.88</v>
      </c>
      <c r="J577">
        <v>0</v>
      </c>
      <c r="K577" t="s">
        <v>27</v>
      </c>
      <c r="L577">
        <f>Procurement_kpi_Analysis[[#This Row],[Quantity]]*Procurement_kpi_Analysis[[#This Row],[Negotiated_Price]]</f>
        <v>79666.799999999988</v>
      </c>
      <c r="M577">
        <f>IF(Procurement_kpi_Analysis[[#This Row],[Delivery_Date]]="","",Procurement_kpi_Analysis[[#This Row],[Delivery_Date]]-Procurement_kpi_Analysis[[#This Row],[Order_Date]])</f>
        <v>9</v>
      </c>
      <c r="N577" s="2">
        <f>Procurement_kpi_Analysis[[#This Row],[Defective_Units]]/Procurement_kpi_Analysis[[#This Row],[Quantity]]</f>
        <v>0</v>
      </c>
      <c r="O577" s="2">
        <f>(Procurement_kpi_Analysis[[#This Row],[Unit_Price]]-Procurement_kpi_Analysis[[#This Row],[Negotiated_Price]])*Procurement_kpi_Analysis[[#This Row],[Quantity]]</f>
        <v>2925.4499999999989</v>
      </c>
      <c r="P577" s="2">
        <f>Procurement_kpi_Analysis[[#This Row],[Total Savings]]/Procurement_kpi_Analysis[[#This Row],[Total Spend]]</f>
        <v>3.6721068249258151E-2</v>
      </c>
      <c r="Q577" s="2" t="str">
        <f>IF(Procurement_kpi_Analysis[[#This Row],[Lead Time]]&lt;=14,"On Time","Late")</f>
        <v>On Time</v>
      </c>
      <c r="R577" s="2">
        <f>Procurement_kpi_Analysis[[#This Row],[Unit_Price]]*Procurement_kpi_Analysis[[#This Row],[Quantity]]</f>
        <v>82592.25</v>
      </c>
      <c r="S577" s="2">
        <f>IF(Procurement_kpi_Analysis[[#This Row],[Compliance]]="Yes",1,0)</f>
        <v>0</v>
      </c>
      <c r="T577" s="2">
        <f>IF(Procurement_kpi_Analysis[[#This Row],[Compliance]]="No",1,0)</f>
        <v>1</v>
      </c>
    </row>
    <row r="578" spans="1:20" x14ac:dyDescent="0.3">
      <c r="A578" t="s">
        <v>603</v>
      </c>
      <c r="B578" t="s">
        <v>20</v>
      </c>
      <c r="C578" s="1">
        <v>44648</v>
      </c>
      <c r="D578" s="1">
        <v>44655</v>
      </c>
      <c r="E578" t="s">
        <v>26</v>
      </c>
      <c r="F578" t="s">
        <v>18</v>
      </c>
      <c r="G578">
        <v>1893</v>
      </c>
      <c r="H578">
        <v>55.14</v>
      </c>
      <c r="I578">
        <v>50.1</v>
      </c>
      <c r="J578">
        <v>98</v>
      </c>
      <c r="K578" t="s">
        <v>15</v>
      </c>
      <c r="L578">
        <f>Procurement_kpi_Analysis[[#This Row],[Quantity]]*Procurement_kpi_Analysis[[#This Row],[Negotiated_Price]]</f>
        <v>94839.3</v>
      </c>
      <c r="M578">
        <f>IF(Procurement_kpi_Analysis[[#This Row],[Delivery_Date]]="","",Procurement_kpi_Analysis[[#This Row],[Delivery_Date]]-Procurement_kpi_Analysis[[#This Row],[Order_Date]])</f>
        <v>7</v>
      </c>
      <c r="N578" s="2">
        <f>Procurement_kpi_Analysis[[#This Row],[Defective_Units]]/Procurement_kpi_Analysis[[#This Row],[Quantity]]</f>
        <v>5.1769677760169046E-2</v>
      </c>
      <c r="O578" s="2">
        <f>(Procurement_kpi_Analysis[[#This Row],[Unit_Price]]-Procurement_kpi_Analysis[[#This Row],[Negotiated_Price]])*Procurement_kpi_Analysis[[#This Row],[Quantity]]</f>
        <v>9540.7199999999975</v>
      </c>
      <c r="P578" s="2">
        <f>Procurement_kpi_Analysis[[#This Row],[Total Savings]]/Procurement_kpi_Analysis[[#This Row],[Total Spend]]</f>
        <v>0.10059880239520955</v>
      </c>
      <c r="Q578" s="2" t="str">
        <f>IF(Procurement_kpi_Analysis[[#This Row],[Lead Time]]&lt;=14,"On Time","Late")</f>
        <v>On Time</v>
      </c>
      <c r="R578" s="2">
        <f>Procurement_kpi_Analysis[[#This Row],[Unit_Price]]*Procurement_kpi_Analysis[[#This Row],[Quantity]]</f>
        <v>104380.02</v>
      </c>
      <c r="S578" s="2">
        <f>IF(Procurement_kpi_Analysis[[#This Row],[Compliance]]="Yes",1,0)</f>
        <v>1</v>
      </c>
      <c r="T578" s="2">
        <f>IF(Procurement_kpi_Analysis[[#This Row],[Compliance]]="No",1,0)</f>
        <v>0</v>
      </c>
    </row>
    <row r="579" spans="1:20" x14ac:dyDescent="0.3">
      <c r="A579" t="s">
        <v>604</v>
      </c>
      <c r="B579" t="s">
        <v>12</v>
      </c>
      <c r="C579" s="1">
        <v>44852</v>
      </c>
      <c r="D579" s="1"/>
      <c r="E579" t="s">
        <v>21</v>
      </c>
      <c r="F579" t="s">
        <v>18</v>
      </c>
      <c r="G579">
        <v>705</v>
      </c>
      <c r="H579">
        <v>75.19</v>
      </c>
      <c r="I579">
        <v>69.55</v>
      </c>
      <c r="J579">
        <v>19</v>
      </c>
      <c r="K579" t="s">
        <v>15</v>
      </c>
      <c r="L579">
        <f>Procurement_kpi_Analysis[[#This Row],[Quantity]]*Procurement_kpi_Analysis[[#This Row],[Negotiated_Price]]</f>
        <v>49032.75</v>
      </c>
      <c r="M579" t="str">
        <f>IF(Procurement_kpi_Analysis[[#This Row],[Delivery_Date]]="","",Procurement_kpi_Analysis[[#This Row],[Delivery_Date]]-Procurement_kpi_Analysis[[#This Row],[Order_Date]])</f>
        <v/>
      </c>
      <c r="N579" s="2">
        <f>Procurement_kpi_Analysis[[#This Row],[Defective_Units]]/Procurement_kpi_Analysis[[#This Row],[Quantity]]</f>
        <v>2.6950354609929079E-2</v>
      </c>
      <c r="O579" s="2">
        <f>(Procurement_kpi_Analysis[[#This Row],[Unit_Price]]-Procurement_kpi_Analysis[[#This Row],[Negotiated_Price]])*Procurement_kpi_Analysis[[#This Row],[Quantity]]</f>
        <v>3976.2000000000003</v>
      </c>
      <c r="P579" s="2">
        <f>Procurement_kpi_Analysis[[#This Row],[Total Savings]]/Procurement_kpi_Analysis[[#This Row],[Total Spend]]</f>
        <v>8.109273903666428E-2</v>
      </c>
      <c r="Q579" s="2" t="str">
        <f>IF(Procurement_kpi_Analysis[[#This Row],[Lead Time]]&lt;=14,"On Time","Late")</f>
        <v>Late</v>
      </c>
      <c r="R579" s="2">
        <f>Procurement_kpi_Analysis[[#This Row],[Unit_Price]]*Procurement_kpi_Analysis[[#This Row],[Quantity]]</f>
        <v>53008.95</v>
      </c>
      <c r="S579" s="2">
        <f>IF(Procurement_kpi_Analysis[[#This Row],[Compliance]]="Yes",1,0)</f>
        <v>1</v>
      </c>
      <c r="T579" s="2">
        <f>IF(Procurement_kpi_Analysis[[#This Row],[Compliance]]="No",1,0)</f>
        <v>0</v>
      </c>
    </row>
    <row r="580" spans="1:20" x14ac:dyDescent="0.3">
      <c r="A580" t="s">
        <v>605</v>
      </c>
      <c r="B580" t="s">
        <v>17</v>
      </c>
      <c r="C580" s="1">
        <v>45089</v>
      </c>
      <c r="D580" s="1">
        <v>45105</v>
      </c>
      <c r="E580" t="s">
        <v>21</v>
      </c>
      <c r="F580" t="s">
        <v>18</v>
      </c>
      <c r="G580">
        <v>318</v>
      </c>
      <c r="H580">
        <v>53.31</v>
      </c>
      <c r="I580">
        <v>51.78</v>
      </c>
      <c r="J580">
        <v>0</v>
      </c>
      <c r="K580" t="s">
        <v>27</v>
      </c>
      <c r="L580">
        <f>Procurement_kpi_Analysis[[#This Row],[Quantity]]*Procurement_kpi_Analysis[[#This Row],[Negotiated_Price]]</f>
        <v>16466.04</v>
      </c>
      <c r="M580">
        <f>IF(Procurement_kpi_Analysis[[#This Row],[Delivery_Date]]="","",Procurement_kpi_Analysis[[#This Row],[Delivery_Date]]-Procurement_kpi_Analysis[[#This Row],[Order_Date]])</f>
        <v>16</v>
      </c>
      <c r="N580" s="2">
        <f>Procurement_kpi_Analysis[[#This Row],[Defective_Units]]/Procurement_kpi_Analysis[[#This Row],[Quantity]]</f>
        <v>0</v>
      </c>
      <c r="O580" s="2">
        <f>(Procurement_kpi_Analysis[[#This Row],[Unit_Price]]-Procurement_kpi_Analysis[[#This Row],[Negotiated_Price]])*Procurement_kpi_Analysis[[#This Row],[Quantity]]</f>
        <v>486.54000000000036</v>
      </c>
      <c r="P580" s="2">
        <f>Procurement_kpi_Analysis[[#This Row],[Total Savings]]/Procurement_kpi_Analysis[[#This Row],[Total Spend]]</f>
        <v>2.9548088064889941E-2</v>
      </c>
      <c r="Q580" s="2" t="str">
        <f>IF(Procurement_kpi_Analysis[[#This Row],[Lead Time]]&lt;=14,"On Time","Late")</f>
        <v>Late</v>
      </c>
      <c r="R580" s="2">
        <f>Procurement_kpi_Analysis[[#This Row],[Unit_Price]]*Procurement_kpi_Analysis[[#This Row],[Quantity]]</f>
        <v>16952.580000000002</v>
      </c>
      <c r="S580" s="2">
        <f>IF(Procurement_kpi_Analysis[[#This Row],[Compliance]]="Yes",1,0)</f>
        <v>0</v>
      </c>
      <c r="T580" s="2">
        <f>IF(Procurement_kpi_Analysis[[#This Row],[Compliance]]="No",1,0)</f>
        <v>1</v>
      </c>
    </row>
    <row r="581" spans="1:20" x14ac:dyDescent="0.3">
      <c r="A581" t="s">
        <v>606</v>
      </c>
      <c r="B581" t="s">
        <v>12</v>
      </c>
      <c r="C581" s="1">
        <v>45241</v>
      </c>
      <c r="D581" s="1">
        <v>45246</v>
      </c>
      <c r="E581" t="s">
        <v>13</v>
      </c>
      <c r="F581" t="s">
        <v>35</v>
      </c>
      <c r="G581">
        <v>419</v>
      </c>
      <c r="H581">
        <v>35.72</v>
      </c>
      <c r="I581">
        <v>32.74</v>
      </c>
      <c r="J581">
        <v>7</v>
      </c>
      <c r="K581" t="s">
        <v>15</v>
      </c>
      <c r="L581">
        <f>Procurement_kpi_Analysis[[#This Row],[Quantity]]*Procurement_kpi_Analysis[[#This Row],[Negotiated_Price]]</f>
        <v>13718.060000000001</v>
      </c>
      <c r="M581">
        <f>IF(Procurement_kpi_Analysis[[#This Row],[Delivery_Date]]="","",Procurement_kpi_Analysis[[#This Row],[Delivery_Date]]-Procurement_kpi_Analysis[[#This Row],[Order_Date]])</f>
        <v>5</v>
      </c>
      <c r="N581" s="2">
        <f>Procurement_kpi_Analysis[[#This Row],[Defective_Units]]/Procurement_kpi_Analysis[[#This Row],[Quantity]]</f>
        <v>1.6706443914081145E-2</v>
      </c>
      <c r="O581" s="2">
        <f>(Procurement_kpi_Analysis[[#This Row],[Unit_Price]]-Procurement_kpi_Analysis[[#This Row],[Negotiated_Price]])*Procurement_kpi_Analysis[[#This Row],[Quantity]]</f>
        <v>1248.6199999999988</v>
      </c>
      <c r="P581" s="2">
        <f>Procurement_kpi_Analysis[[#This Row],[Total Savings]]/Procurement_kpi_Analysis[[#This Row],[Total Spend]]</f>
        <v>9.102015882712268E-2</v>
      </c>
      <c r="Q581" s="2" t="str">
        <f>IF(Procurement_kpi_Analysis[[#This Row],[Lead Time]]&lt;=14,"On Time","Late")</f>
        <v>On Time</v>
      </c>
      <c r="R581" s="2">
        <f>Procurement_kpi_Analysis[[#This Row],[Unit_Price]]*Procurement_kpi_Analysis[[#This Row],[Quantity]]</f>
        <v>14966.68</v>
      </c>
      <c r="S581" s="2">
        <f>IF(Procurement_kpi_Analysis[[#This Row],[Compliance]]="Yes",1,0)</f>
        <v>1</v>
      </c>
      <c r="T581" s="2">
        <f>IF(Procurement_kpi_Analysis[[#This Row],[Compliance]]="No",1,0)</f>
        <v>0</v>
      </c>
    </row>
    <row r="582" spans="1:20" x14ac:dyDescent="0.3">
      <c r="A582" t="s">
        <v>607</v>
      </c>
      <c r="B582" t="s">
        <v>20</v>
      </c>
      <c r="C582" s="1">
        <v>45210</v>
      </c>
      <c r="D582" s="1">
        <v>45225</v>
      </c>
      <c r="E582" t="s">
        <v>21</v>
      </c>
      <c r="F582" t="s">
        <v>18</v>
      </c>
      <c r="G582">
        <v>685</v>
      </c>
      <c r="H582">
        <v>92.51</v>
      </c>
      <c r="I582">
        <v>90.05</v>
      </c>
      <c r="J582">
        <v>38</v>
      </c>
      <c r="K582" t="s">
        <v>15</v>
      </c>
      <c r="L582">
        <f>Procurement_kpi_Analysis[[#This Row],[Quantity]]*Procurement_kpi_Analysis[[#This Row],[Negotiated_Price]]</f>
        <v>61684.25</v>
      </c>
      <c r="M582">
        <f>IF(Procurement_kpi_Analysis[[#This Row],[Delivery_Date]]="","",Procurement_kpi_Analysis[[#This Row],[Delivery_Date]]-Procurement_kpi_Analysis[[#This Row],[Order_Date]])</f>
        <v>15</v>
      </c>
      <c r="N582" s="2">
        <f>Procurement_kpi_Analysis[[#This Row],[Defective_Units]]/Procurement_kpi_Analysis[[#This Row],[Quantity]]</f>
        <v>5.5474452554744529E-2</v>
      </c>
      <c r="O582" s="2">
        <f>(Procurement_kpi_Analysis[[#This Row],[Unit_Price]]-Procurement_kpi_Analysis[[#This Row],[Negotiated_Price]])*Procurement_kpi_Analysis[[#This Row],[Quantity]]</f>
        <v>1685.1000000000054</v>
      </c>
      <c r="P582" s="2">
        <f>Procurement_kpi_Analysis[[#This Row],[Total Savings]]/Procurement_kpi_Analysis[[#This Row],[Total Spend]]</f>
        <v>2.7318156579678045E-2</v>
      </c>
      <c r="Q582" s="2" t="str">
        <f>IF(Procurement_kpi_Analysis[[#This Row],[Lead Time]]&lt;=14,"On Time","Late")</f>
        <v>Late</v>
      </c>
      <c r="R582" s="2">
        <f>Procurement_kpi_Analysis[[#This Row],[Unit_Price]]*Procurement_kpi_Analysis[[#This Row],[Quantity]]</f>
        <v>63369.350000000006</v>
      </c>
      <c r="S582" s="2">
        <f>IF(Procurement_kpi_Analysis[[#This Row],[Compliance]]="Yes",1,0)</f>
        <v>1</v>
      </c>
      <c r="T582" s="2">
        <f>IF(Procurement_kpi_Analysis[[#This Row],[Compliance]]="No",1,0)</f>
        <v>0</v>
      </c>
    </row>
    <row r="583" spans="1:20" x14ac:dyDescent="0.3">
      <c r="A583" t="s">
        <v>608</v>
      </c>
      <c r="B583" t="s">
        <v>17</v>
      </c>
      <c r="C583" s="1">
        <v>45196</v>
      </c>
      <c r="D583" s="1">
        <v>45211</v>
      </c>
      <c r="E583" t="s">
        <v>13</v>
      </c>
      <c r="F583" t="s">
        <v>33</v>
      </c>
      <c r="G583">
        <v>1179</v>
      </c>
      <c r="H583">
        <v>90.14</v>
      </c>
      <c r="I583">
        <v>82.63</v>
      </c>
      <c r="J583">
        <v>194</v>
      </c>
      <c r="K583" t="s">
        <v>15</v>
      </c>
      <c r="L583">
        <f>Procurement_kpi_Analysis[[#This Row],[Quantity]]*Procurement_kpi_Analysis[[#This Row],[Negotiated_Price]]</f>
        <v>97420.76999999999</v>
      </c>
      <c r="M583">
        <f>IF(Procurement_kpi_Analysis[[#This Row],[Delivery_Date]]="","",Procurement_kpi_Analysis[[#This Row],[Delivery_Date]]-Procurement_kpi_Analysis[[#This Row],[Order_Date]])</f>
        <v>15</v>
      </c>
      <c r="N583" s="2">
        <f>Procurement_kpi_Analysis[[#This Row],[Defective_Units]]/Procurement_kpi_Analysis[[#This Row],[Quantity]]</f>
        <v>0.1645462256149279</v>
      </c>
      <c r="O583" s="2">
        <f>(Procurement_kpi_Analysis[[#This Row],[Unit_Price]]-Procurement_kpi_Analysis[[#This Row],[Negotiated_Price]])*Procurement_kpi_Analysis[[#This Row],[Quantity]]</f>
        <v>8854.2900000000063</v>
      </c>
      <c r="P583" s="2">
        <f>Procurement_kpi_Analysis[[#This Row],[Total Savings]]/Procurement_kpi_Analysis[[#This Row],[Total Spend]]</f>
        <v>9.0887087014401624E-2</v>
      </c>
      <c r="Q583" s="2" t="str">
        <f>IF(Procurement_kpi_Analysis[[#This Row],[Lead Time]]&lt;=14,"On Time","Late")</f>
        <v>Late</v>
      </c>
      <c r="R583" s="2">
        <f>Procurement_kpi_Analysis[[#This Row],[Unit_Price]]*Procurement_kpi_Analysis[[#This Row],[Quantity]]</f>
        <v>106275.06</v>
      </c>
      <c r="S583" s="2">
        <f>IF(Procurement_kpi_Analysis[[#This Row],[Compliance]]="Yes",1,0)</f>
        <v>1</v>
      </c>
      <c r="T583" s="2">
        <f>IF(Procurement_kpi_Analysis[[#This Row],[Compliance]]="No",1,0)</f>
        <v>0</v>
      </c>
    </row>
    <row r="584" spans="1:20" x14ac:dyDescent="0.3">
      <c r="A584" t="s">
        <v>609</v>
      </c>
      <c r="B584" t="s">
        <v>12</v>
      </c>
      <c r="C584" s="1">
        <v>44905</v>
      </c>
      <c r="D584" s="1"/>
      <c r="E584" t="s">
        <v>26</v>
      </c>
      <c r="F584" t="s">
        <v>18</v>
      </c>
      <c r="G584">
        <v>1743</v>
      </c>
      <c r="H584">
        <v>76.510000000000005</v>
      </c>
      <c r="I584">
        <v>65.88</v>
      </c>
      <c r="J584">
        <v>40</v>
      </c>
      <c r="K584" t="s">
        <v>15</v>
      </c>
      <c r="L584">
        <f>Procurement_kpi_Analysis[[#This Row],[Quantity]]*Procurement_kpi_Analysis[[#This Row],[Negotiated_Price]]</f>
        <v>114828.84</v>
      </c>
      <c r="M584" t="str">
        <f>IF(Procurement_kpi_Analysis[[#This Row],[Delivery_Date]]="","",Procurement_kpi_Analysis[[#This Row],[Delivery_Date]]-Procurement_kpi_Analysis[[#This Row],[Order_Date]])</f>
        <v/>
      </c>
      <c r="N584" s="2">
        <f>Procurement_kpi_Analysis[[#This Row],[Defective_Units]]/Procurement_kpi_Analysis[[#This Row],[Quantity]]</f>
        <v>2.2948938611589215E-2</v>
      </c>
      <c r="O584" s="2">
        <f>(Procurement_kpi_Analysis[[#This Row],[Unit_Price]]-Procurement_kpi_Analysis[[#This Row],[Negotiated_Price]])*Procurement_kpi_Analysis[[#This Row],[Quantity]]</f>
        <v>18528.090000000018</v>
      </c>
      <c r="P584" s="2">
        <f>Procurement_kpi_Analysis[[#This Row],[Total Savings]]/Procurement_kpi_Analysis[[#This Row],[Total Spend]]</f>
        <v>0.16135397692774758</v>
      </c>
      <c r="Q584" s="2" t="str">
        <f>IF(Procurement_kpi_Analysis[[#This Row],[Lead Time]]&lt;=14,"On Time","Late")</f>
        <v>Late</v>
      </c>
      <c r="R584" s="2">
        <f>Procurement_kpi_Analysis[[#This Row],[Unit_Price]]*Procurement_kpi_Analysis[[#This Row],[Quantity]]</f>
        <v>133356.93000000002</v>
      </c>
      <c r="S584" s="2">
        <f>IF(Procurement_kpi_Analysis[[#This Row],[Compliance]]="Yes",1,0)</f>
        <v>1</v>
      </c>
      <c r="T584" s="2">
        <f>IF(Procurement_kpi_Analysis[[#This Row],[Compliance]]="No",1,0)</f>
        <v>0</v>
      </c>
    </row>
    <row r="585" spans="1:20" x14ac:dyDescent="0.3">
      <c r="A585" t="s">
        <v>610</v>
      </c>
      <c r="B585" t="s">
        <v>12</v>
      </c>
      <c r="C585" s="1">
        <v>44657</v>
      </c>
      <c r="D585" s="1">
        <v>44668</v>
      </c>
      <c r="E585" t="s">
        <v>21</v>
      </c>
      <c r="F585" t="s">
        <v>18</v>
      </c>
      <c r="G585">
        <v>1732</v>
      </c>
      <c r="H585">
        <v>35.01</v>
      </c>
      <c r="I585">
        <v>34.18</v>
      </c>
      <c r="J585">
        <v>40</v>
      </c>
      <c r="K585" t="s">
        <v>15</v>
      </c>
      <c r="L585">
        <f>Procurement_kpi_Analysis[[#This Row],[Quantity]]*Procurement_kpi_Analysis[[#This Row],[Negotiated_Price]]</f>
        <v>59199.76</v>
      </c>
      <c r="M585">
        <f>IF(Procurement_kpi_Analysis[[#This Row],[Delivery_Date]]="","",Procurement_kpi_Analysis[[#This Row],[Delivery_Date]]-Procurement_kpi_Analysis[[#This Row],[Order_Date]])</f>
        <v>11</v>
      </c>
      <c r="N585" s="2">
        <f>Procurement_kpi_Analysis[[#This Row],[Defective_Units]]/Procurement_kpi_Analysis[[#This Row],[Quantity]]</f>
        <v>2.3094688221709007E-2</v>
      </c>
      <c r="O585" s="2">
        <f>(Procurement_kpi_Analysis[[#This Row],[Unit_Price]]-Procurement_kpi_Analysis[[#This Row],[Negotiated_Price]])*Procurement_kpi_Analysis[[#This Row],[Quantity]]</f>
        <v>1437.559999999997</v>
      </c>
      <c r="P585" s="2">
        <f>Procurement_kpi_Analysis[[#This Row],[Total Savings]]/Procurement_kpi_Analysis[[#This Row],[Total Spend]]</f>
        <v>2.4283206553540031E-2</v>
      </c>
      <c r="Q585" s="2" t="str">
        <f>IF(Procurement_kpi_Analysis[[#This Row],[Lead Time]]&lt;=14,"On Time","Late")</f>
        <v>On Time</v>
      </c>
      <c r="R585" s="2">
        <f>Procurement_kpi_Analysis[[#This Row],[Unit_Price]]*Procurement_kpi_Analysis[[#This Row],[Quantity]]</f>
        <v>60637.32</v>
      </c>
      <c r="S585" s="2">
        <f>IF(Procurement_kpi_Analysis[[#This Row],[Compliance]]="Yes",1,0)</f>
        <v>1</v>
      </c>
      <c r="T585" s="2">
        <f>IF(Procurement_kpi_Analysis[[#This Row],[Compliance]]="No",1,0)</f>
        <v>0</v>
      </c>
    </row>
    <row r="586" spans="1:20" x14ac:dyDescent="0.3">
      <c r="A586" t="s">
        <v>611</v>
      </c>
      <c r="B586" t="s">
        <v>23</v>
      </c>
      <c r="C586" s="1">
        <v>44802</v>
      </c>
      <c r="D586" s="1">
        <v>44805</v>
      </c>
      <c r="E586" t="s">
        <v>13</v>
      </c>
      <c r="F586" t="s">
        <v>18</v>
      </c>
      <c r="G586">
        <v>706</v>
      </c>
      <c r="H586">
        <v>65.33</v>
      </c>
      <c r="I586">
        <v>62.06</v>
      </c>
      <c r="J586">
        <v>60</v>
      </c>
      <c r="K586" t="s">
        <v>27</v>
      </c>
      <c r="L586">
        <f>Procurement_kpi_Analysis[[#This Row],[Quantity]]*Procurement_kpi_Analysis[[#This Row],[Negotiated_Price]]</f>
        <v>43814.36</v>
      </c>
      <c r="M586">
        <f>IF(Procurement_kpi_Analysis[[#This Row],[Delivery_Date]]="","",Procurement_kpi_Analysis[[#This Row],[Delivery_Date]]-Procurement_kpi_Analysis[[#This Row],[Order_Date]])</f>
        <v>3</v>
      </c>
      <c r="N586" s="2">
        <f>Procurement_kpi_Analysis[[#This Row],[Defective_Units]]/Procurement_kpi_Analysis[[#This Row],[Quantity]]</f>
        <v>8.4985835694050993E-2</v>
      </c>
      <c r="O586" s="2">
        <f>(Procurement_kpi_Analysis[[#This Row],[Unit_Price]]-Procurement_kpi_Analysis[[#This Row],[Negotiated_Price]])*Procurement_kpi_Analysis[[#This Row],[Quantity]]</f>
        <v>2308.6199999999972</v>
      </c>
      <c r="P586" s="2">
        <f>Procurement_kpi_Analysis[[#This Row],[Total Savings]]/Procurement_kpi_Analysis[[#This Row],[Total Spend]]</f>
        <v>5.2690944247502348E-2</v>
      </c>
      <c r="Q586" s="2" t="str">
        <f>IF(Procurement_kpi_Analysis[[#This Row],[Lead Time]]&lt;=14,"On Time","Late")</f>
        <v>On Time</v>
      </c>
      <c r="R586" s="2">
        <f>Procurement_kpi_Analysis[[#This Row],[Unit_Price]]*Procurement_kpi_Analysis[[#This Row],[Quantity]]</f>
        <v>46122.979999999996</v>
      </c>
      <c r="S586" s="2">
        <f>IF(Procurement_kpi_Analysis[[#This Row],[Compliance]]="Yes",1,0)</f>
        <v>0</v>
      </c>
      <c r="T586" s="2">
        <f>IF(Procurement_kpi_Analysis[[#This Row],[Compliance]]="No",1,0)</f>
        <v>1</v>
      </c>
    </row>
    <row r="587" spans="1:20" x14ac:dyDescent="0.3">
      <c r="A587" t="s">
        <v>612</v>
      </c>
      <c r="B587" t="s">
        <v>20</v>
      </c>
      <c r="C587" s="1">
        <v>45250</v>
      </c>
      <c r="D587" s="1">
        <v>45260</v>
      </c>
      <c r="E587" t="s">
        <v>21</v>
      </c>
      <c r="F587" t="s">
        <v>14</v>
      </c>
      <c r="G587">
        <v>169</v>
      </c>
      <c r="H587">
        <v>47.16</v>
      </c>
      <c r="I587">
        <v>43.4</v>
      </c>
      <c r="J587">
        <v>0</v>
      </c>
      <c r="K587" t="s">
        <v>15</v>
      </c>
      <c r="L587">
        <f>Procurement_kpi_Analysis[[#This Row],[Quantity]]*Procurement_kpi_Analysis[[#This Row],[Negotiated_Price]]</f>
        <v>7334.5999999999995</v>
      </c>
      <c r="M587">
        <f>IF(Procurement_kpi_Analysis[[#This Row],[Delivery_Date]]="","",Procurement_kpi_Analysis[[#This Row],[Delivery_Date]]-Procurement_kpi_Analysis[[#This Row],[Order_Date]])</f>
        <v>10</v>
      </c>
      <c r="N587" s="2">
        <f>Procurement_kpi_Analysis[[#This Row],[Defective_Units]]/Procurement_kpi_Analysis[[#This Row],[Quantity]]</f>
        <v>0</v>
      </c>
      <c r="O587" s="2">
        <f>(Procurement_kpi_Analysis[[#This Row],[Unit_Price]]-Procurement_kpi_Analysis[[#This Row],[Negotiated_Price]])*Procurement_kpi_Analysis[[#This Row],[Quantity]]</f>
        <v>635.43999999999971</v>
      </c>
      <c r="P587" s="2">
        <f>Procurement_kpi_Analysis[[#This Row],[Total Savings]]/Procurement_kpi_Analysis[[#This Row],[Total Spend]]</f>
        <v>8.6635944700460793E-2</v>
      </c>
      <c r="Q587" s="2" t="str">
        <f>IF(Procurement_kpi_Analysis[[#This Row],[Lead Time]]&lt;=14,"On Time","Late")</f>
        <v>On Time</v>
      </c>
      <c r="R587" s="2">
        <f>Procurement_kpi_Analysis[[#This Row],[Unit_Price]]*Procurement_kpi_Analysis[[#This Row],[Quantity]]</f>
        <v>7970.0399999999991</v>
      </c>
      <c r="S587" s="2">
        <f>IF(Procurement_kpi_Analysis[[#This Row],[Compliance]]="Yes",1,0)</f>
        <v>1</v>
      </c>
      <c r="T587" s="2">
        <f>IF(Procurement_kpi_Analysis[[#This Row],[Compliance]]="No",1,0)</f>
        <v>0</v>
      </c>
    </row>
    <row r="588" spans="1:20" x14ac:dyDescent="0.3">
      <c r="A588" t="s">
        <v>613</v>
      </c>
      <c r="B588" t="s">
        <v>20</v>
      </c>
      <c r="C588" s="1">
        <v>44879</v>
      </c>
      <c r="D588" s="1">
        <v>44885</v>
      </c>
      <c r="E588" t="s">
        <v>13</v>
      </c>
      <c r="F588" t="s">
        <v>35</v>
      </c>
      <c r="G588">
        <v>880</v>
      </c>
      <c r="H588">
        <v>19.149999999999999</v>
      </c>
      <c r="I588">
        <v>18.690000000000001</v>
      </c>
      <c r="J588">
        <v>0</v>
      </c>
      <c r="K588" t="s">
        <v>27</v>
      </c>
      <c r="L588">
        <f>Procurement_kpi_Analysis[[#This Row],[Quantity]]*Procurement_kpi_Analysis[[#This Row],[Negotiated_Price]]</f>
        <v>16447.2</v>
      </c>
      <c r="M588">
        <f>IF(Procurement_kpi_Analysis[[#This Row],[Delivery_Date]]="","",Procurement_kpi_Analysis[[#This Row],[Delivery_Date]]-Procurement_kpi_Analysis[[#This Row],[Order_Date]])</f>
        <v>6</v>
      </c>
      <c r="N588" s="2">
        <f>Procurement_kpi_Analysis[[#This Row],[Defective_Units]]/Procurement_kpi_Analysis[[#This Row],[Quantity]]</f>
        <v>0</v>
      </c>
      <c r="O588" s="2">
        <f>(Procurement_kpi_Analysis[[#This Row],[Unit_Price]]-Procurement_kpi_Analysis[[#This Row],[Negotiated_Price]])*Procurement_kpi_Analysis[[#This Row],[Quantity]]</f>
        <v>404.79999999999762</v>
      </c>
      <c r="P588" s="2">
        <f>Procurement_kpi_Analysis[[#This Row],[Total Savings]]/Procurement_kpi_Analysis[[#This Row],[Total Spend]]</f>
        <v>2.4612092027822219E-2</v>
      </c>
      <c r="Q588" s="2" t="str">
        <f>IF(Procurement_kpi_Analysis[[#This Row],[Lead Time]]&lt;=14,"On Time","Late")</f>
        <v>On Time</v>
      </c>
      <c r="R588" s="2">
        <f>Procurement_kpi_Analysis[[#This Row],[Unit_Price]]*Procurement_kpi_Analysis[[#This Row],[Quantity]]</f>
        <v>16852</v>
      </c>
      <c r="S588" s="2">
        <f>IF(Procurement_kpi_Analysis[[#This Row],[Compliance]]="Yes",1,0)</f>
        <v>0</v>
      </c>
      <c r="T588" s="2">
        <f>IF(Procurement_kpi_Analysis[[#This Row],[Compliance]]="No",1,0)</f>
        <v>1</v>
      </c>
    </row>
    <row r="589" spans="1:20" x14ac:dyDescent="0.3">
      <c r="A589" t="s">
        <v>614</v>
      </c>
      <c r="B589" t="s">
        <v>20</v>
      </c>
      <c r="C589" s="1">
        <v>44792</v>
      </c>
      <c r="D589" s="1">
        <v>44798</v>
      </c>
      <c r="E589" t="s">
        <v>21</v>
      </c>
      <c r="F589" t="s">
        <v>18</v>
      </c>
      <c r="G589">
        <v>1860</v>
      </c>
      <c r="H589">
        <v>95.8</v>
      </c>
      <c r="I589">
        <v>92.17</v>
      </c>
      <c r="J589">
        <v>105</v>
      </c>
      <c r="K589" t="s">
        <v>27</v>
      </c>
      <c r="L589">
        <f>Procurement_kpi_Analysis[[#This Row],[Quantity]]*Procurement_kpi_Analysis[[#This Row],[Negotiated_Price]]</f>
        <v>171436.2</v>
      </c>
      <c r="M589">
        <f>IF(Procurement_kpi_Analysis[[#This Row],[Delivery_Date]]="","",Procurement_kpi_Analysis[[#This Row],[Delivery_Date]]-Procurement_kpi_Analysis[[#This Row],[Order_Date]])</f>
        <v>6</v>
      </c>
      <c r="N589" s="2">
        <f>Procurement_kpi_Analysis[[#This Row],[Defective_Units]]/Procurement_kpi_Analysis[[#This Row],[Quantity]]</f>
        <v>5.6451612903225805E-2</v>
      </c>
      <c r="O589" s="2">
        <f>(Procurement_kpi_Analysis[[#This Row],[Unit_Price]]-Procurement_kpi_Analysis[[#This Row],[Negotiated_Price]])*Procurement_kpi_Analysis[[#This Row],[Quantity]]</f>
        <v>6751.799999999992</v>
      </c>
      <c r="P589" s="2">
        <f>Procurement_kpi_Analysis[[#This Row],[Total Savings]]/Procurement_kpi_Analysis[[#This Row],[Total Spend]]</f>
        <v>3.9383747423239614E-2</v>
      </c>
      <c r="Q589" s="2" t="str">
        <f>IF(Procurement_kpi_Analysis[[#This Row],[Lead Time]]&lt;=14,"On Time","Late")</f>
        <v>On Time</v>
      </c>
      <c r="R589" s="2">
        <f>Procurement_kpi_Analysis[[#This Row],[Unit_Price]]*Procurement_kpi_Analysis[[#This Row],[Quantity]]</f>
        <v>178188</v>
      </c>
      <c r="S589" s="2">
        <f>IF(Procurement_kpi_Analysis[[#This Row],[Compliance]]="Yes",1,0)</f>
        <v>0</v>
      </c>
      <c r="T589" s="2">
        <f>IF(Procurement_kpi_Analysis[[#This Row],[Compliance]]="No",1,0)</f>
        <v>1</v>
      </c>
    </row>
    <row r="590" spans="1:20" x14ac:dyDescent="0.3">
      <c r="A590" t="s">
        <v>615</v>
      </c>
      <c r="B590" t="s">
        <v>17</v>
      </c>
      <c r="C590" s="1">
        <v>44765</v>
      </c>
      <c r="D590" s="1">
        <v>44782</v>
      </c>
      <c r="E590" t="s">
        <v>21</v>
      </c>
      <c r="F590" t="s">
        <v>18</v>
      </c>
      <c r="G590">
        <v>1677</v>
      </c>
      <c r="H590">
        <v>22.98</v>
      </c>
      <c r="I590">
        <v>21.71</v>
      </c>
      <c r="J590">
        <v>246</v>
      </c>
      <c r="K590" t="s">
        <v>15</v>
      </c>
      <c r="L590">
        <f>Procurement_kpi_Analysis[[#This Row],[Quantity]]*Procurement_kpi_Analysis[[#This Row],[Negotiated_Price]]</f>
        <v>36407.67</v>
      </c>
      <c r="M590">
        <f>IF(Procurement_kpi_Analysis[[#This Row],[Delivery_Date]]="","",Procurement_kpi_Analysis[[#This Row],[Delivery_Date]]-Procurement_kpi_Analysis[[#This Row],[Order_Date]])</f>
        <v>17</v>
      </c>
      <c r="N590" s="2">
        <f>Procurement_kpi_Analysis[[#This Row],[Defective_Units]]/Procurement_kpi_Analysis[[#This Row],[Quantity]]</f>
        <v>0.14669051878354203</v>
      </c>
      <c r="O590" s="2">
        <f>(Procurement_kpi_Analysis[[#This Row],[Unit_Price]]-Procurement_kpi_Analysis[[#This Row],[Negotiated_Price]])*Procurement_kpi_Analysis[[#This Row],[Quantity]]</f>
        <v>2129.7899999999995</v>
      </c>
      <c r="P590" s="2">
        <f>Procurement_kpi_Analysis[[#This Row],[Total Savings]]/Procurement_kpi_Analysis[[#This Row],[Total Spend]]</f>
        <v>5.8498387839705193E-2</v>
      </c>
      <c r="Q590" s="2" t="str">
        <f>IF(Procurement_kpi_Analysis[[#This Row],[Lead Time]]&lt;=14,"On Time","Late")</f>
        <v>Late</v>
      </c>
      <c r="R590" s="2">
        <f>Procurement_kpi_Analysis[[#This Row],[Unit_Price]]*Procurement_kpi_Analysis[[#This Row],[Quantity]]</f>
        <v>38537.46</v>
      </c>
      <c r="S590" s="2">
        <f>IF(Procurement_kpi_Analysis[[#This Row],[Compliance]]="Yes",1,0)</f>
        <v>1</v>
      </c>
      <c r="T590" s="2">
        <f>IF(Procurement_kpi_Analysis[[#This Row],[Compliance]]="No",1,0)</f>
        <v>0</v>
      </c>
    </row>
    <row r="591" spans="1:20" x14ac:dyDescent="0.3">
      <c r="A591" t="s">
        <v>616</v>
      </c>
      <c r="B591" t="s">
        <v>23</v>
      </c>
      <c r="C591" s="1">
        <v>44712</v>
      </c>
      <c r="D591" s="1">
        <v>44719</v>
      </c>
      <c r="E591" t="s">
        <v>24</v>
      </c>
      <c r="F591" t="s">
        <v>33</v>
      </c>
      <c r="G591">
        <v>1131</v>
      </c>
      <c r="H591">
        <v>97.43</v>
      </c>
      <c r="I591">
        <v>91.28</v>
      </c>
      <c r="J591">
        <v>103</v>
      </c>
      <c r="K591" t="s">
        <v>15</v>
      </c>
      <c r="L591">
        <f>Procurement_kpi_Analysis[[#This Row],[Quantity]]*Procurement_kpi_Analysis[[#This Row],[Negotiated_Price]]</f>
        <v>103237.68000000001</v>
      </c>
      <c r="M591">
        <f>IF(Procurement_kpi_Analysis[[#This Row],[Delivery_Date]]="","",Procurement_kpi_Analysis[[#This Row],[Delivery_Date]]-Procurement_kpi_Analysis[[#This Row],[Order_Date]])</f>
        <v>7</v>
      </c>
      <c r="N591" s="2">
        <f>Procurement_kpi_Analysis[[#This Row],[Defective_Units]]/Procurement_kpi_Analysis[[#This Row],[Quantity]]</f>
        <v>9.1069849690539342E-2</v>
      </c>
      <c r="O591" s="2">
        <f>(Procurement_kpi_Analysis[[#This Row],[Unit_Price]]-Procurement_kpi_Analysis[[#This Row],[Negotiated_Price]])*Procurement_kpi_Analysis[[#This Row],[Quantity]]</f>
        <v>6955.650000000006</v>
      </c>
      <c r="P591" s="2">
        <f>Procurement_kpi_Analysis[[#This Row],[Total Savings]]/Procurement_kpi_Analysis[[#This Row],[Total Spend]]</f>
        <v>6.7375109553023713E-2</v>
      </c>
      <c r="Q591" s="2" t="str">
        <f>IF(Procurement_kpi_Analysis[[#This Row],[Lead Time]]&lt;=14,"On Time","Late")</f>
        <v>On Time</v>
      </c>
      <c r="R591" s="2">
        <f>Procurement_kpi_Analysis[[#This Row],[Unit_Price]]*Procurement_kpi_Analysis[[#This Row],[Quantity]]</f>
        <v>110193.33</v>
      </c>
      <c r="S591" s="2">
        <f>IF(Procurement_kpi_Analysis[[#This Row],[Compliance]]="Yes",1,0)</f>
        <v>1</v>
      </c>
      <c r="T591" s="2">
        <f>IF(Procurement_kpi_Analysis[[#This Row],[Compliance]]="No",1,0)</f>
        <v>0</v>
      </c>
    </row>
    <row r="592" spans="1:20" x14ac:dyDescent="0.3">
      <c r="A592" t="s">
        <v>617</v>
      </c>
      <c r="B592" t="s">
        <v>29</v>
      </c>
      <c r="C592" s="1">
        <v>44587</v>
      </c>
      <c r="D592" s="1">
        <v>44595</v>
      </c>
      <c r="E592" t="s">
        <v>26</v>
      </c>
      <c r="F592" t="s">
        <v>14</v>
      </c>
      <c r="G592">
        <v>1419</v>
      </c>
      <c r="H592">
        <v>50.14</v>
      </c>
      <c r="I592">
        <v>43.46</v>
      </c>
      <c r="J592">
        <v>0</v>
      </c>
      <c r="K592" t="s">
        <v>15</v>
      </c>
      <c r="L592">
        <f>Procurement_kpi_Analysis[[#This Row],[Quantity]]*Procurement_kpi_Analysis[[#This Row],[Negotiated_Price]]</f>
        <v>61669.74</v>
      </c>
      <c r="M592">
        <f>IF(Procurement_kpi_Analysis[[#This Row],[Delivery_Date]]="","",Procurement_kpi_Analysis[[#This Row],[Delivery_Date]]-Procurement_kpi_Analysis[[#This Row],[Order_Date]])</f>
        <v>8</v>
      </c>
      <c r="N592" s="2">
        <f>Procurement_kpi_Analysis[[#This Row],[Defective_Units]]/Procurement_kpi_Analysis[[#This Row],[Quantity]]</f>
        <v>0</v>
      </c>
      <c r="O592" s="2">
        <f>(Procurement_kpi_Analysis[[#This Row],[Unit_Price]]-Procurement_kpi_Analysis[[#This Row],[Negotiated_Price]])*Procurement_kpi_Analysis[[#This Row],[Quantity]]</f>
        <v>9478.92</v>
      </c>
      <c r="P592" s="2">
        <f>Procurement_kpi_Analysis[[#This Row],[Total Savings]]/Procurement_kpi_Analysis[[#This Row],[Total Spend]]</f>
        <v>0.15370455591348367</v>
      </c>
      <c r="Q592" s="2" t="str">
        <f>IF(Procurement_kpi_Analysis[[#This Row],[Lead Time]]&lt;=14,"On Time","Late")</f>
        <v>On Time</v>
      </c>
      <c r="R592" s="2">
        <f>Procurement_kpi_Analysis[[#This Row],[Unit_Price]]*Procurement_kpi_Analysis[[#This Row],[Quantity]]</f>
        <v>71148.66</v>
      </c>
      <c r="S592" s="2">
        <f>IF(Procurement_kpi_Analysis[[#This Row],[Compliance]]="Yes",1,0)</f>
        <v>1</v>
      </c>
      <c r="T592" s="2">
        <f>IF(Procurement_kpi_Analysis[[#This Row],[Compliance]]="No",1,0)</f>
        <v>0</v>
      </c>
    </row>
    <row r="593" spans="1:20" x14ac:dyDescent="0.3">
      <c r="A593" t="s">
        <v>618</v>
      </c>
      <c r="B593" t="s">
        <v>17</v>
      </c>
      <c r="C593" s="1">
        <v>44609</v>
      </c>
      <c r="D593" s="1">
        <v>44610</v>
      </c>
      <c r="E593" t="s">
        <v>26</v>
      </c>
      <c r="F593" t="s">
        <v>35</v>
      </c>
      <c r="G593">
        <v>790</v>
      </c>
      <c r="H593">
        <v>26.8</v>
      </c>
      <c r="I593">
        <v>25.62</v>
      </c>
      <c r="J593">
        <v>115</v>
      </c>
      <c r="K593" t="s">
        <v>15</v>
      </c>
      <c r="L593">
        <f>Procurement_kpi_Analysis[[#This Row],[Quantity]]*Procurement_kpi_Analysis[[#This Row],[Negotiated_Price]]</f>
        <v>20239.8</v>
      </c>
      <c r="M593">
        <f>IF(Procurement_kpi_Analysis[[#This Row],[Delivery_Date]]="","",Procurement_kpi_Analysis[[#This Row],[Delivery_Date]]-Procurement_kpi_Analysis[[#This Row],[Order_Date]])</f>
        <v>1</v>
      </c>
      <c r="N593" s="2">
        <f>Procurement_kpi_Analysis[[#This Row],[Defective_Units]]/Procurement_kpi_Analysis[[#This Row],[Quantity]]</f>
        <v>0.14556962025316456</v>
      </c>
      <c r="O593" s="2">
        <f>(Procurement_kpi_Analysis[[#This Row],[Unit_Price]]-Procurement_kpi_Analysis[[#This Row],[Negotiated_Price]])*Procurement_kpi_Analysis[[#This Row],[Quantity]]</f>
        <v>932.19999999999982</v>
      </c>
      <c r="P593" s="2">
        <f>Procurement_kpi_Analysis[[#This Row],[Total Savings]]/Procurement_kpi_Analysis[[#This Row],[Total Spend]]</f>
        <v>4.6057767369242775E-2</v>
      </c>
      <c r="Q593" s="2" t="str">
        <f>IF(Procurement_kpi_Analysis[[#This Row],[Lead Time]]&lt;=14,"On Time","Late")</f>
        <v>On Time</v>
      </c>
      <c r="R593" s="2">
        <f>Procurement_kpi_Analysis[[#This Row],[Unit_Price]]*Procurement_kpi_Analysis[[#This Row],[Quantity]]</f>
        <v>21172</v>
      </c>
      <c r="S593" s="2">
        <f>IF(Procurement_kpi_Analysis[[#This Row],[Compliance]]="Yes",1,0)</f>
        <v>1</v>
      </c>
      <c r="T593" s="2">
        <f>IF(Procurement_kpi_Analysis[[#This Row],[Compliance]]="No",1,0)</f>
        <v>0</v>
      </c>
    </row>
    <row r="594" spans="1:20" x14ac:dyDescent="0.3">
      <c r="A594" t="s">
        <v>619</v>
      </c>
      <c r="B594" t="s">
        <v>20</v>
      </c>
      <c r="C594" s="1">
        <v>44812</v>
      </c>
      <c r="D594" s="1">
        <v>44831</v>
      </c>
      <c r="E594" t="s">
        <v>21</v>
      </c>
      <c r="F594" t="s">
        <v>35</v>
      </c>
      <c r="G594">
        <v>1547</v>
      </c>
      <c r="H594">
        <v>61.12</v>
      </c>
      <c r="I594">
        <v>53.43</v>
      </c>
      <c r="J594">
        <v>77</v>
      </c>
      <c r="K594" t="s">
        <v>15</v>
      </c>
      <c r="L594">
        <f>Procurement_kpi_Analysis[[#This Row],[Quantity]]*Procurement_kpi_Analysis[[#This Row],[Negotiated_Price]]</f>
        <v>82656.210000000006</v>
      </c>
      <c r="M594">
        <f>IF(Procurement_kpi_Analysis[[#This Row],[Delivery_Date]]="","",Procurement_kpi_Analysis[[#This Row],[Delivery_Date]]-Procurement_kpi_Analysis[[#This Row],[Order_Date]])</f>
        <v>19</v>
      </c>
      <c r="N594" s="2">
        <f>Procurement_kpi_Analysis[[#This Row],[Defective_Units]]/Procurement_kpi_Analysis[[#This Row],[Quantity]]</f>
        <v>4.9773755656108594E-2</v>
      </c>
      <c r="O594" s="2">
        <f>(Procurement_kpi_Analysis[[#This Row],[Unit_Price]]-Procurement_kpi_Analysis[[#This Row],[Negotiated_Price]])*Procurement_kpi_Analysis[[#This Row],[Quantity]]</f>
        <v>11896.429999999997</v>
      </c>
      <c r="P594" s="2">
        <f>Procurement_kpi_Analysis[[#This Row],[Total Savings]]/Procurement_kpi_Analysis[[#This Row],[Total Spend]]</f>
        <v>0.14392663297772781</v>
      </c>
      <c r="Q594" s="2" t="str">
        <f>IF(Procurement_kpi_Analysis[[#This Row],[Lead Time]]&lt;=14,"On Time","Late")</f>
        <v>Late</v>
      </c>
      <c r="R594" s="2">
        <f>Procurement_kpi_Analysis[[#This Row],[Unit_Price]]*Procurement_kpi_Analysis[[#This Row],[Quantity]]</f>
        <v>94552.639999999999</v>
      </c>
      <c r="S594" s="2">
        <f>IF(Procurement_kpi_Analysis[[#This Row],[Compliance]]="Yes",1,0)</f>
        <v>1</v>
      </c>
      <c r="T594" s="2">
        <f>IF(Procurement_kpi_Analysis[[#This Row],[Compliance]]="No",1,0)</f>
        <v>0</v>
      </c>
    </row>
    <row r="595" spans="1:20" x14ac:dyDescent="0.3">
      <c r="A595" t="s">
        <v>620</v>
      </c>
      <c r="B595" t="s">
        <v>17</v>
      </c>
      <c r="C595" s="1">
        <v>45048</v>
      </c>
      <c r="D595" s="1">
        <v>45066</v>
      </c>
      <c r="E595" t="s">
        <v>13</v>
      </c>
      <c r="F595" t="s">
        <v>14</v>
      </c>
      <c r="G595">
        <v>166</v>
      </c>
      <c r="H595">
        <v>95.65</v>
      </c>
      <c r="I595">
        <v>94.48</v>
      </c>
      <c r="J595">
        <v>23</v>
      </c>
      <c r="K595" t="s">
        <v>15</v>
      </c>
      <c r="L595">
        <f>Procurement_kpi_Analysis[[#This Row],[Quantity]]*Procurement_kpi_Analysis[[#This Row],[Negotiated_Price]]</f>
        <v>15683.68</v>
      </c>
      <c r="M595">
        <f>IF(Procurement_kpi_Analysis[[#This Row],[Delivery_Date]]="","",Procurement_kpi_Analysis[[#This Row],[Delivery_Date]]-Procurement_kpi_Analysis[[#This Row],[Order_Date]])</f>
        <v>18</v>
      </c>
      <c r="N595" s="2">
        <f>Procurement_kpi_Analysis[[#This Row],[Defective_Units]]/Procurement_kpi_Analysis[[#This Row],[Quantity]]</f>
        <v>0.13855421686746988</v>
      </c>
      <c r="O595" s="2">
        <f>(Procurement_kpi_Analysis[[#This Row],[Unit_Price]]-Procurement_kpi_Analysis[[#This Row],[Negotiated_Price]])*Procurement_kpi_Analysis[[#This Row],[Quantity]]</f>
        <v>194.22000000000028</v>
      </c>
      <c r="P595" s="2">
        <f>Procurement_kpi_Analysis[[#This Row],[Total Savings]]/Procurement_kpi_Analysis[[#This Row],[Total Spend]]</f>
        <v>1.2383573243014413E-2</v>
      </c>
      <c r="Q595" s="2" t="str">
        <f>IF(Procurement_kpi_Analysis[[#This Row],[Lead Time]]&lt;=14,"On Time","Late")</f>
        <v>Late</v>
      </c>
      <c r="R595" s="2">
        <f>Procurement_kpi_Analysis[[#This Row],[Unit_Price]]*Procurement_kpi_Analysis[[#This Row],[Quantity]]</f>
        <v>15877.900000000001</v>
      </c>
      <c r="S595" s="2">
        <f>IF(Procurement_kpi_Analysis[[#This Row],[Compliance]]="Yes",1,0)</f>
        <v>1</v>
      </c>
      <c r="T595" s="2">
        <f>IF(Procurement_kpi_Analysis[[#This Row],[Compliance]]="No",1,0)</f>
        <v>0</v>
      </c>
    </row>
    <row r="596" spans="1:20" x14ac:dyDescent="0.3">
      <c r="A596" t="s">
        <v>621</v>
      </c>
      <c r="B596" t="s">
        <v>12</v>
      </c>
      <c r="C596" s="1">
        <v>45187</v>
      </c>
      <c r="D596" s="1">
        <v>45190</v>
      </c>
      <c r="E596" t="s">
        <v>39</v>
      </c>
      <c r="F596" t="s">
        <v>18</v>
      </c>
      <c r="G596">
        <v>1903</v>
      </c>
      <c r="H596">
        <v>83.49</v>
      </c>
      <c r="I596">
        <v>82.33</v>
      </c>
      <c r="J596">
        <v>43</v>
      </c>
      <c r="K596" t="s">
        <v>15</v>
      </c>
      <c r="L596">
        <f>Procurement_kpi_Analysis[[#This Row],[Quantity]]*Procurement_kpi_Analysis[[#This Row],[Negotiated_Price]]</f>
        <v>156673.99</v>
      </c>
      <c r="M596">
        <f>IF(Procurement_kpi_Analysis[[#This Row],[Delivery_Date]]="","",Procurement_kpi_Analysis[[#This Row],[Delivery_Date]]-Procurement_kpi_Analysis[[#This Row],[Order_Date]])</f>
        <v>3</v>
      </c>
      <c r="N596" s="2">
        <f>Procurement_kpi_Analysis[[#This Row],[Defective_Units]]/Procurement_kpi_Analysis[[#This Row],[Quantity]]</f>
        <v>2.2595901208617972E-2</v>
      </c>
      <c r="O596" s="2">
        <f>(Procurement_kpi_Analysis[[#This Row],[Unit_Price]]-Procurement_kpi_Analysis[[#This Row],[Negotiated_Price]])*Procurement_kpi_Analysis[[#This Row],[Quantity]]</f>
        <v>2207.4799999999937</v>
      </c>
      <c r="P596" s="2">
        <f>Procurement_kpi_Analysis[[#This Row],[Total Savings]]/Procurement_kpi_Analysis[[#This Row],[Total Spend]]</f>
        <v>1.4089639256650027E-2</v>
      </c>
      <c r="Q596" s="2" t="str">
        <f>IF(Procurement_kpi_Analysis[[#This Row],[Lead Time]]&lt;=14,"On Time","Late")</f>
        <v>On Time</v>
      </c>
      <c r="R596" s="2">
        <f>Procurement_kpi_Analysis[[#This Row],[Unit_Price]]*Procurement_kpi_Analysis[[#This Row],[Quantity]]</f>
        <v>158881.47</v>
      </c>
      <c r="S596" s="2">
        <f>IF(Procurement_kpi_Analysis[[#This Row],[Compliance]]="Yes",1,0)</f>
        <v>1</v>
      </c>
      <c r="T596" s="2">
        <f>IF(Procurement_kpi_Analysis[[#This Row],[Compliance]]="No",1,0)</f>
        <v>0</v>
      </c>
    </row>
    <row r="597" spans="1:20" x14ac:dyDescent="0.3">
      <c r="A597" t="s">
        <v>622</v>
      </c>
      <c r="B597" t="s">
        <v>17</v>
      </c>
      <c r="C597" s="1">
        <v>44636</v>
      </c>
      <c r="D597" s="1">
        <v>44649</v>
      </c>
      <c r="E597" t="s">
        <v>13</v>
      </c>
      <c r="F597" t="s">
        <v>33</v>
      </c>
      <c r="G597">
        <v>840</v>
      </c>
      <c r="H597">
        <v>83.42</v>
      </c>
      <c r="I597">
        <v>80.349999999999994</v>
      </c>
      <c r="J597">
        <v>153</v>
      </c>
      <c r="K597" t="s">
        <v>15</v>
      </c>
      <c r="L597">
        <f>Procurement_kpi_Analysis[[#This Row],[Quantity]]*Procurement_kpi_Analysis[[#This Row],[Negotiated_Price]]</f>
        <v>67494</v>
      </c>
      <c r="M597">
        <f>IF(Procurement_kpi_Analysis[[#This Row],[Delivery_Date]]="","",Procurement_kpi_Analysis[[#This Row],[Delivery_Date]]-Procurement_kpi_Analysis[[#This Row],[Order_Date]])</f>
        <v>13</v>
      </c>
      <c r="N597" s="2">
        <f>Procurement_kpi_Analysis[[#This Row],[Defective_Units]]/Procurement_kpi_Analysis[[#This Row],[Quantity]]</f>
        <v>0.18214285714285713</v>
      </c>
      <c r="O597" s="2">
        <f>(Procurement_kpi_Analysis[[#This Row],[Unit_Price]]-Procurement_kpi_Analysis[[#This Row],[Negotiated_Price]])*Procurement_kpi_Analysis[[#This Row],[Quantity]]</f>
        <v>2578.8000000000061</v>
      </c>
      <c r="P597" s="2">
        <f>Procurement_kpi_Analysis[[#This Row],[Total Savings]]/Procurement_kpi_Analysis[[#This Row],[Total Spend]]</f>
        <v>3.8207840696950927E-2</v>
      </c>
      <c r="Q597" s="2" t="str">
        <f>IF(Procurement_kpi_Analysis[[#This Row],[Lead Time]]&lt;=14,"On Time","Late")</f>
        <v>On Time</v>
      </c>
      <c r="R597" s="2">
        <f>Procurement_kpi_Analysis[[#This Row],[Unit_Price]]*Procurement_kpi_Analysis[[#This Row],[Quantity]]</f>
        <v>70072.800000000003</v>
      </c>
      <c r="S597" s="2">
        <f>IF(Procurement_kpi_Analysis[[#This Row],[Compliance]]="Yes",1,0)</f>
        <v>1</v>
      </c>
      <c r="T597" s="2">
        <f>IF(Procurement_kpi_Analysis[[#This Row],[Compliance]]="No",1,0)</f>
        <v>0</v>
      </c>
    </row>
    <row r="598" spans="1:20" x14ac:dyDescent="0.3">
      <c r="A598" t="s">
        <v>623</v>
      </c>
      <c r="B598" t="s">
        <v>17</v>
      </c>
      <c r="C598" s="1">
        <v>45028</v>
      </c>
      <c r="D598" s="1"/>
      <c r="E598" t="s">
        <v>21</v>
      </c>
      <c r="F598" t="s">
        <v>18</v>
      </c>
      <c r="G598">
        <v>1200</v>
      </c>
      <c r="H598">
        <v>74.489999999999995</v>
      </c>
      <c r="I598">
        <v>64.63</v>
      </c>
      <c r="J598">
        <v>161</v>
      </c>
      <c r="K598" t="s">
        <v>15</v>
      </c>
      <c r="L598">
        <f>Procurement_kpi_Analysis[[#This Row],[Quantity]]*Procurement_kpi_Analysis[[#This Row],[Negotiated_Price]]</f>
        <v>77556</v>
      </c>
      <c r="M598" t="str">
        <f>IF(Procurement_kpi_Analysis[[#This Row],[Delivery_Date]]="","",Procurement_kpi_Analysis[[#This Row],[Delivery_Date]]-Procurement_kpi_Analysis[[#This Row],[Order_Date]])</f>
        <v/>
      </c>
      <c r="N598" s="2">
        <f>Procurement_kpi_Analysis[[#This Row],[Defective_Units]]/Procurement_kpi_Analysis[[#This Row],[Quantity]]</f>
        <v>0.13416666666666666</v>
      </c>
      <c r="O598" s="2">
        <f>(Procurement_kpi_Analysis[[#This Row],[Unit_Price]]-Procurement_kpi_Analysis[[#This Row],[Negotiated_Price]])*Procurement_kpi_Analysis[[#This Row],[Quantity]]</f>
        <v>11832</v>
      </c>
      <c r="P598" s="2">
        <f>Procurement_kpi_Analysis[[#This Row],[Total Savings]]/Procurement_kpi_Analysis[[#This Row],[Total Spend]]</f>
        <v>0.15256073031100109</v>
      </c>
      <c r="Q598" s="2" t="str">
        <f>IF(Procurement_kpi_Analysis[[#This Row],[Lead Time]]&lt;=14,"On Time","Late")</f>
        <v>Late</v>
      </c>
      <c r="R598" s="2">
        <f>Procurement_kpi_Analysis[[#This Row],[Unit_Price]]*Procurement_kpi_Analysis[[#This Row],[Quantity]]</f>
        <v>89388</v>
      </c>
      <c r="S598" s="2">
        <f>IF(Procurement_kpi_Analysis[[#This Row],[Compliance]]="Yes",1,0)</f>
        <v>1</v>
      </c>
      <c r="T598" s="2">
        <f>IF(Procurement_kpi_Analysis[[#This Row],[Compliance]]="No",1,0)</f>
        <v>0</v>
      </c>
    </row>
    <row r="599" spans="1:20" x14ac:dyDescent="0.3">
      <c r="A599" t="s">
        <v>624</v>
      </c>
      <c r="B599" t="s">
        <v>20</v>
      </c>
      <c r="C599" s="1">
        <v>44986</v>
      </c>
      <c r="D599" s="1">
        <v>45003</v>
      </c>
      <c r="E599" t="s">
        <v>26</v>
      </c>
      <c r="F599" t="s">
        <v>18</v>
      </c>
      <c r="G599">
        <v>1466</v>
      </c>
      <c r="H599">
        <v>77.37</v>
      </c>
      <c r="I599">
        <v>70.349999999999994</v>
      </c>
      <c r="J599">
        <v>72</v>
      </c>
      <c r="K599" t="s">
        <v>15</v>
      </c>
      <c r="L599">
        <f>Procurement_kpi_Analysis[[#This Row],[Quantity]]*Procurement_kpi_Analysis[[#This Row],[Negotiated_Price]]</f>
        <v>103133.09999999999</v>
      </c>
      <c r="M599">
        <f>IF(Procurement_kpi_Analysis[[#This Row],[Delivery_Date]]="","",Procurement_kpi_Analysis[[#This Row],[Delivery_Date]]-Procurement_kpi_Analysis[[#This Row],[Order_Date]])</f>
        <v>17</v>
      </c>
      <c r="N599" s="2">
        <f>Procurement_kpi_Analysis[[#This Row],[Defective_Units]]/Procurement_kpi_Analysis[[#This Row],[Quantity]]</f>
        <v>4.9113233287858118E-2</v>
      </c>
      <c r="O599" s="2">
        <f>(Procurement_kpi_Analysis[[#This Row],[Unit_Price]]-Procurement_kpi_Analysis[[#This Row],[Negotiated_Price]])*Procurement_kpi_Analysis[[#This Row],[Quantity]]</f>
        <v>10291.320000000014</v>
      </c>
      <c r="P599" s="2">
        <f>Procurement_kpi_Analysis[[#This Row],[Total Savings]]/Procurement_kpi_Analysis[[#This Row],[Total Spend]]</f>
        <v>9.9786780383795459E-2</v>
      </c>
      <c r="Q599" s="2" t="str">
        <f>IF(Procurement_kpi_Analysis[[#This Row],[Lead Time]]&lt;=14,"On Time","Late")</f>
        <v>Late</v>
      </c>
      <c r="R599" s="2">
        <f>Procurement_kpi_Analysis[[#This Row],[Unit_Price]]*Procurement_kpi_Analysis[[#This Row],[Quantity]]</f>
        <v>113424.42000000001</v>
      </c>
      <c r="S599" s="2">
        <f>IF(Procurement_kpi_Analysis[[#This Row],[Compliance]]="Yes",1,0)</f>
        <v>1</v>
      </c>
      <c r="T599" s="2">
        <f>IF(Procurement_kpi_Analysis[[#This Row],[Compliance]]="No",1,0)</f>
        <v>0</v>
      </c>
    </row>
    <row r="600" spans="1:20" x14ac:dyDescent="0.3">
      <c r="A600" t="s">
        <v>625</v>
      </c>
      <c r="B600" t="s">
        <v>12</v>
      </c>
      <c r="C600" s="1">
        <v>45206</v>
      </c>
      <c r="D600" s="1">
        <v>45220</v>
      </c>
      <c r="E600" t="s">
        <v>13</v>
      </c>
      <c r="F600" t="s">
        <v>18</v>
      </c>
      <c r="G600">
        <v>1981</v>
      </c>
      <c r="H600">
        <v>95.5</v>
      </c>
      <c r="I600">
        <v>94.39</v>
      </c>
      <c r="J600">
        <v>49</v>
      </c>
      <c r="K600" t="s">
        <v>15</v>
      </c>
      <c r="L600">
        <f>Procurement_kpi_Analysis[[#This Row],[Quantity]]*Procurement_kpi_Analysis[[#This Row],[Negotiated_Price]]</f>
        <v>186986.59</v>
      </c>
      <c r="M600">
        <f>IF(Procurement_kpi_Analysis[[#This Row],[Delivery_Date]]="","",Procurement_kpi_Analysis[[#This Row],[Delivery_Date]]-Procurement_kpi_Analysis[[#This Row],[Order_Date]])</f>
        <v>14</v>
      </c>
      <c r="N600" s="2">
        <f>Procurement_kpi_Analysis[[#This Row],[Defective_Units]]/Procurement_kpi_Analysis[[#This Row],[Quantity]]</f>
        <v>2.4734982332155476E-2</v>
      </c>
      <c r="O600" s="2">
        <f>(Procurement_kpi_Analysis[[#This Row],[Unit_Price]]-Procurement_kpi_Analysis[[#This Row],[Negotiated_Price]])*Procurement_kpi_Analysis[[#This Row],[Quantity]]</f>
        <v>2198.9099999999989</v>
      </c>
      <c r="P600" s="2">
        <f>Procurement_kpi_Analysis[[#This Row],[Total Savings]]/Procurement_kpi_Analysis[[#This Row],[Total Spend]]</f>
        <v>1.1759720309354798E-2</v>
      </c>
      <c r="Q600" s="2" t="str">
        <f>IF(Procurement_kpi_Analysis[[#This Row],[Lead Time]]&lt;=14,"On Time","Late")</f>
        <v>On Time</v>
      </c>
      <c r="R600" s="2">
        <f>Procurement_kpi_Analysis[[#This Row],[Unit_Price]]*Procurement_kpi_Analysis[[#This Row],[Quantity]]</f>
        <v>189185.5</v>
      </c>
      <c r="S600" s="2">
        <f>IF(Procurement_kpi_Analysis[[#This Row],[Compliance]]="Yes",1,0)</f>
        <v>1</v>
      </c>
      <c r="T600" s="2">
        <f>IF(Procurement_kpi_Analysis[[#This Row],[Compliance]]="No",1,0)</f>
        <v>0</v>
      </c>
    </row>
    <row r="601" spans="1:20" x14ac:dyDescent="0.3">
      <c r="A601" t="s">
        <v>626</v>
      </c>
      <c r="B601" t="s">
        <v>20</v>
      </c>
      <c r="C601" s="1">
        <v>45151</v>
      </c>
      <c r="D601" s="1">
        <v>45154</v>
      </c>
      <c r="E601" t="s">
        <v>24</v>
      </c>
      <c r="F601" t="s">
        <v>18</v>
      </c>
      <c r="G601">
        <v>1062</v>
      </c>
      <c r="H601">
        <v>35.549999999999997</v>
      </c>
      <c r="I601">
        <v>32.380000000000003</v>
      </c>
      <c r="J601">
        <v>0</v>
      </c>
      <c r="K601" t="s">
        <v>15</v>
      </c>
      <c r="L601">
        <f>Procurement_kpi_Analysis[[#This Row],[Quantity]]*Procurement_kpi_Analysis[[#This Row],[Negotiated_Price]]</f>
        <v>34387.560000000005</v>
      </c>
      <c r="M601">
        <f>IF(Procurement_kpi_Analysis[[#This Row],[Delivery_Date]]="","",Procurement_kpi_Analysis[[#This Row],[Delivery_Date]]-Procurement_kpi_Analysis[[#This Row],[Order_Date]])</f>
        <v>3</v>
      </c>
      <c r="N601" s="2">
        <f>Procurement_kpi_Analysis[[#This Row],[Defective_Units]]/Procurement_kpi_Analysis[[#This Row],[Quantity]]</f>
        <v>0</v>
      </c>
      <c r="O601" s="2">
        <f>(Procurement_kpi_Analysis[[#This Row],[Unit_Price]]-Procurement_kpi_Analysis[[#This Row],[Negotiated_Price]])*Procurement_kpi_Analysis[[#This Row],[Quantity]]</f>
        <v>3366.5399999999941</v>
      </c>
      <c r="P601" s="2">
        <f>Procurement_kpi_Analysis[[#This Row],[Total Savings]]/Procurement_kpi_Analysis[[#This Row],[Total Spend]]</f>
        <v>9.7899938233477271E-2</v>
      </c>
      <c r="Q601" s="2" t="str">
        <f>IF(Procurement_kpi_Analysis[[#This Row],[Lead Time]]&lt;=14,"On Time","Late")</f>
        <v>On Time</v>
      </c>
      <c r="R601" s="2">
        <f>Procurement_kpi_Analysis[[#This Row],[Unit_Price]]*Procurement_kpi_Analysis[[#This Row],[Quantity]]</f>
        <v>37754.1</v>
      </c>
      <c r="S601" s="2">
        <f>IF(Procurement_kpi_Analysis[[#This Row],[Compliance]]="Yes",1,0)</f>
        <v>1</v>
      </c>
      <c r="T601" s="2">
        <f>IF(Procurement_kpi_Analysis[[#This Row],[Compliance]]="No",1,0)</f>
        <v>0</v>
      </c>
    </row>
    <row r="602" spans="1:20" x14ac:dyDescent="0.3">
      <c r="A602" t="s">
        <v>627</v>
      </c>
      <c r="B602" t="s">
        <v>12</v>
      </c>
      <c r="C602" s="1">
        <v>44761</v>
      </c>
      <c r="D602" s="1">
        <v>44772</v>
      </c>
      <c r="E602" t="s">
        <v>21</v>
      </c>
      <c r="F602" t="s">
        <v>18</v>
      </c>
      <c r="G602">
        <v>1714</v>
      </c>
      <c r="H602">
        <v>55.67</v>
      </c>
      <c r="I602">
        <v>55.09</v>
      </c>
      <c r="J602">
        <v>42</v>
      </c>
      <c r="K602" t="s">
        <v>15</v>
      </c>
      <c r="L602">
        <f>Procurement_kpi_Analysis[[#This Row],[Quantity]]*Procurement_kpi_Analysis[[#This Row],[Negotiated_Price]]</f>
        <v>94424.260000000009</v>
      </c>
      <c r="M602">
        <f>IF(Procurement_kpi_Analysis[[#This Row],[Delivery_Date]]="","",Procurement_kpi_Analysis[[#This Row],[Delivery_Date]]-Procurement_kpi_Analysis[[#This Row],[Order_Date]])</f>
        <v>11</v>
      </c>
      <c r="N602" s="2">
        <f>Procurement_kpi_Analysis[[#This Row],[Defective_Units]]/Procurement_kpi_Analysis[[#This Row],[Quantity]]</f>
        <v>2.4504084014002333E-2</v>
      </c>
      <c r="O602" s="2">
        <f>(Procurement_kpi_Analysis[[#This Row],[Unit_Price]]-Procurement_kpi_Analysis[[#This Row],[Negotiated_Price]])*Procurement_kpi_Analysis[[#This Row],[Quantity]]</f>
        <v>994.11999999999705</v>
      </c>
      <c r="P602" s="2">
        <f>Procurement_kpi_Analysis[[#This Row],[Total Savings]]/Procurement_kpi_Analysis[[#This Row],[Total Spend]]</f>
        <v>1.0528226538391691E-2</v>
      </c>
      <c r="Q602" s="2" t="str">
        <f>IF(Procurement_kpi_Analysis[[#This Row],[Lead Time]]&lt;=14,"On Time","Late")</f>
        <v>On Time</v>
      </c>
      <c r="R602" s="2">
        <f>Procurement_kpi_Analysis[[#This Row],[Unit_Price]]*Procurement_kpi_Analysis[[#This Row],[Quantity]]</f>
        <v>95418.38</v>
      </c>
      <c r="S602" s="2">
        <f>IF(Procurement_kpi_Analysis[[#This Row],[Compliance]]="Yes",1,0)</f>
        <v>1</v>
      </c>
      <c r="T602" s="2">
        <f>IF(Procurement_kpi_Analysis[[#This Row],[Compliance]]="No",1,0)</f>
        <v>0</v>
      </c>
    </row>
    <row r="603" spans="1:20" x14ac:dyDescent="0.3">
      <c r="A603" t="s">
        <v>628</v>
      </c>
      <c r="B603" t="s">
        <v>12</v>
      </c>
      <c r="C603" s="1">
        <v>45275</v>
      </c>
      <c r="D603" s="1">
        <v>45290</v>
      </c>
      <c r="E603" t="s">
        <v>13</v>
      </c>
      <c r="F603" t="s">
        <v>18</v>
      </c>
      <c r="G603">
        <v>1131</v>
      </c>
      <c r="H603">
        <v>33.35</v>
      </c>
      <c r="I603">
        <v>31.28</v>
      </c>
      <c r="J603">
        <v>23</v>
      </c>
      <c r="K603" t="s">
        <v>15</v>
      </c>
      <c r="L603">
        <f>Procurement_kpi_Analysis[[#This Row],[Quantity]]*Procurement_kpi_Analysis[[#This Row],[Negotiated_Price]]</f>
        <v>35377.68</v>
      </c>
      <c r="M603">
        <f>IF(Procurement_kpi_Analysis[[#This Row],[Delivery_Date]]="","",Procurement_kpi_Analysis[[#This Row],[Delivery_Date]]-Procurement_kpi_Analysis[[#This Row],[Order_Date]])</f>
        <v>15</v>
      </c>
      <c r="N603" s="2">
        <f>Procurement_kpi_Analysis[[#This Row],[Defective_Units]]/Procurement_kpi_Analysis[[#This Row],[Quantity]]</f>
        <v>2.0335985853227233E-2</v>
      </c>
      <c r="O603" s="2">
        <f>(Procurement_kpi_Analysis[[#This Row],[Unit_Price]]-Procurement_kpi_Analysis[[#This Row],[Negotiated_Price]])*Procurement_kpi_Analysis[[#This Row],[Quantity]]</f>
        <v>2341.1700000000005</v>
      </c>
      <c r="P603" s="2">
        <f>Procurement_kpi_Analysis[[#This Row],[Total Savings]]/Procurement_kpi_Analysis[[#This Row],[Total Spend]]</f>
        <v>6.6176470588235309E-2</v>
      </c>
      <c r="Q603" s="2" t="str">
        <f>IF(Procurement_kpi_Analysis[[#This Row],[Lead Time]]&lt;=14,"On Time","Late")</f>
        <v>Late</v>
      </c>
      <c r="R603" s="2">
        <f>Procurement_kpi_Analysis[[#This Row],[Unit_Price]]*Procurement_kpi_Analysis[[#This Row],[Quantity]]</f>
        <v>37718.85</v>
      </c>
      <c r="S603" s="2">
        <f>IF(Procurement_kpi_Analysis[[#This Row],[Compliance]]="Yes",1,0)</f>
        <v>1</v>
      </c>
      <c r="T603" s="2">
        <f>IF(Procurement_kpi_Analysis[[#This Row],[Compliance]]="No",1,0)</f>
        <v>0</v>
      </c>
    </row>
    <row r="604" spans="1:20" x14ac:dyDescent="0.3">
      <c r="A604" t="s">
        <v>629</v>
      </c>
      <c r="B604" t="s">
        <v>12</v>
      </c>
      <c r="C604" s="1">
        <v>44955</v>
      </c>
      <c r="D604" s="1">
        <v>44972</v>
      </c>
      <c r="E604" t="s">
        <v>13</v>
      </c>
      <c r="F604" t="s">
        <v>18</v>
      </c>
      <c r="G604">
        <v>683</v>
      </c>
      <c r="H604">
        <v>104.82</v>
      </c>
      <c r="I604">
        <v>101.34</v>
      </c>
      <c r="J604">
        <v>0</v>
      </c>
      <c r="K604" t="s">
        <v>15</v>
      </c>
      <c r="L604">
        <f>Procurement_kpi_Analysis[[#This Row],[Quantity]]*Procurement_kpi_Analysis[[#This Row],[Negotiated_Price]]</f>
        <v>69215.22</v>
      </c>
      <c r="M604">
        <f>IF(Procurement_kpi_Analysis[[#This Row],[Delivery_Date]]="","",Procurement_kpi_Analysis[[#This Row],[Delivery_Date]]-Procurement_kpi_Analysis[[#This Row],[Order_Date]])</f>
        <v>17</v>
      </c>
      <c r="N604" s="2">
        <f>Procurement_kpi_Analysis[[#This Row],[Defective_Units]]/Procurement_kpi_Analysis[[#This Row],[Quantity]]</f>
        <v>0</v>
      </c>
      <c r="O604" s="2">
        <f>(Procurement_kpi_Analysis[[#This Row],[Unit_Price]]-Procurement_kpi_Analysis[[#This Row],[Negotiated_Price]])*Procurement_kpi_Analysis[[#This Row],[Quantity]]</f>
        <v>2376.8399999999929</v>
      </c>
      <c r="P604" s="2">
        <f>Procurement_kpi_Analysis[[#This Row],[Total Savings]]/Procurement_kpi_Analysis[[#This Row],[Total Spend]]</f>
        <v>3.4339846062758923E-2</v>
      </c>
      <c r="Q604" s="2" t="str">
        <f>IF(Procurement_kpi_Analysis[[#This Row],[Lead Time]]&lt;=14,"On Time","Late")</f>
        <v>Late</v>
      </c>
      <c r="R604" s="2">
        <f>Procurement_kpi_Analysis[[#This Row],[Unit_Price]]*Procurement_kpi_Analysis[[#This Row],[Quantity]]</f>
        <v>71592.06</v>
      </c>
      <c r="S604" s="2">
        <f>IF(Procurement_kpi_Analysis[[#This Row],[Compliance]]="Yes",1,0)</f>
        <v>1</v>
      </c>
      <c r="T604" s="2">
        <f>IF(Procurement_kpi_Analysis[[#This Row],[Compliance]]="No",1,0)</f>
        <v>0</v>
      </c>
    </row>
    <row r="605" spans="1:20" x14ac:dyDescent="0.3">
      <c r="A605" t="s">
        <v>630</v>
      </c>
      <c r="B605" t="s">
        <v>20</v>
      </c>
      <c r="C605" s="1">
        <v>45068</v>
      </c>
      <c r="D605" s="1">
        <v>45086</v>
      </c>
      <c r="E605" t="s">
        <v>24</v>
      </c>
      <c r="F605" t="s">
        <v>33</v>
      </c>
      <c r="G605">
        <v>562</v>
      </c>
      <c r="H605">
        <v>102.56</v>
      </c>
      <c r="I605">
        <v>90.88</v>
      </c>
      <c r="J605">
        <v>38</v>
      </c>
      <c r="K605" t="s">
        <v>15</v>
      </c>
      <c r="L605">
        <f>Procurement_kpi_Analysis[[#This Row],[Quantity]]*Procurement_kpi_Analysis[[#This Row],[Negotiated_Price]]</f>
        <v>51074.559999999998</v>
      </c>
      <c r="M605">
        <f>IF(Procurement_kpi_Analysis[[#This Row],[Delivery_Date]]="","",Procurement_kpi_Analysis[[#This Row],[Delivery_Date]]-Procurement_kpi_Analysis[[#This Row],[Order_Date]])</f>
        <v>18</v>
      </c>
      <c r="N605" s="2">
        <f>Procurement_kpi_Analysis[[#This Row],[Defective_Units]]/Procurement_kpi_Analysis[[#This Row],[Quantity]]</f>
        <v>6.7615658362989328E-2</v>
      </c>
      <c r="O605" s="2">
        <f>(Procurement_kpi_Analysis[[#This Row],[Unit_Price]]-Procurement_kpi_Analysis[[#This Row],[Negotiated_Price]])*Procurement_kpi_Analysis[[#This Row],[Quantity]]</f>
        <v>6564.1600000000035</v>
      </c>
      <c r="P605" s="2">
        <f>Procurement_kpi_Analysis[[#This Row],[Total Savings]]/Procurement_kpi_Analysis[[#This Row],[Total Spend]]</f>
        <v>0.12852112676056346</v>
      </c>
      <c r="Q605" s="2" t="str">
        <f>IF(Procurement_kpi_Analysis[[#This Row],[Lead Time]]&lt;=14,"On Time","Late")</f>
        <v>Late</v>
      </c>
      <c r="R605" s="2">
        <f>Procurement_kpi_Analysis[[#This Row],[Unit_Price]]*Procurement_kpi_Analysis[[#This Row],[Quantity]]</f>
        <v>57638.720000000001</v>
      </c>
      <c r="S605" s="2">
        <f>IF(Procurement_kpi_Analysis[[#This Row],[Compliance]]="Yes",1,0)</f>
        <v>1</v>
      </c>
      <c r="T605" s="2">
        <f>IF(Procurement_kpi_Analysis[[#This Row],[Compliance]]="No",1,0)</f>
        <v>0</v>
      </c>
    </row>
    <row r="606" spans="1:20" x14ac:dyDescent="0.3">
      <c r="A606" t="s">
        <v>631</v>
      </c>
      <c r="B606" t="s">
        <v>12</v>
      </c>
      <c r="C606" s="1">
        <v>44971</v>
      </c>
      <c r="D606" s="1">
        <v>44977</v>
      </c>
      <c r="E606" t="s">
        <v>39</v>
      </c>
      <c r="F606" t="s">
        <v>18</v>
      </c>
      <c r="G606">
        <v>1824</v>
      </c>
      <c r="H606">
        <v>14.43</v>
      </c>
      <c r="I606">
        <v>14.11</v>
      </c>
      <c r="J606">
        <v>36</v>
      </c>
      <c r="K606" t="s">
        <v>15</v>
      </c>
      <c r="L606">
        <f>Procurement_kpi_Analysis[[#This Row],[Quantity]]*Procurement_kpi_Analysis[[#This Row],[Negotiated_Price]]</f>
        <v>25736.639999999999</v>
      </c>
      <c r="M606">
        <f>IF(Procurement_kpi_Analysis[[#This Row],[Delivery_Date]]="","",Procurement_kpi_Analysis[[#This Row],[Delivery_Date]]-Procurement_kpi_Analysis[[#This Row],[Order_Date]])</f>
        <v>6</v>
      </c>
      <c r="N606" s="2">
        <f>Procurement_kpi_Analysis[[#This Row],[Defective_Units]]/Procurement_kpi_Analysis[[#This Row],[Quantity]]</f>
        <v>1.9736842105263157E-2</v>
      </c>
      <c r="O606" s="2">
        <f>(Procurement_kpi_Analysis[[#This Row],[Unit_Price]]-Procurement_kpi_Analysis[[#This Row],[Negotiated_Price]])*Procurement_kpi_Analysis[[#This Row],[Quantity]]</f>
        <v>583.68000000000052</v>
      </c>
      <c r="P606" s="2">
        <f>Procurement_kpi_Analysis[[#This Row],[Total Savings]]/Procurement_kpi_Analysis[[#This Row],[Total Spend]]</f>
        <v>2.2678951098511715E-2</v>
      </c>
      <c r="Q606" s="2" t="str">
        <f>IF(Procurement_kpi_Analysis[[#This Row],[Lead Time]]&lt;=14,"On Time","Late")</f>
        <v>On Time</v>
      </c>
      <c r="R606" s="2">
        <f>Procurement_kpi_Analysis[[#This Row],[Unit_Price]]*Procurement_kpi_Analysis[[#This Row],[Quantity]]</f>
        <v>26320.32</v>
      </c>
      <c r="S606" s="2">
        <f>IF(Procurement_kpi_Analysis[[#This Row],[Compliance]]="Yes",1,0)</f>
        <v>1</v>
      </c>
      <c r="T606" s="2">
        <f>IF(Procurement_kpi_Analysis[[#This Row],[Compliance]]="No",1,0)</f>
        <v>0</v>
      </c>
    </row>
    <row r="607" spans="1:20" x14ac:dyDescent="0.3">
      <c r="A607" t="s">
        <v>632</v>
      </c>
      <c r="B607" t="s">
        <v>23</v>
      </c>
      <c r="C607" s="1">
        <v>44811</v>
      </c>
      <c r="D607" s="1">
        <v>44816</v>
      </c>
      <c r="E607" t="s">
        <v>39</v>
      </c>
      <c r="F607" t="s">
        <v>33</v>
      </c>
      <c r="G607">
        <v>851</v>
      </c>
      <c r="H607">
        <v>76.44</v>
      </c>
      <c r="I607">
        <v>74.760000000000005</v>
      </c>
      <c r="J607">
        <v>91</v>
      </c>
      <c r="K607" t="s">
        <v>15</v>
      </c>
      <c r="L607">
        <f>Procurement_kpi_Analysis[[#This Row],[Quantity]]*Procurement_kpi_Analysis[[#This Row],[Negotiated_Price]]</f>
        <v>63620.76</v>
      </c>
      <c r="M607">
        <f>IF(Procurement_kpi_Analysis[[#This Row],[Delivery_Date]]="","",Procurement_kpi_Analysis[[#This Row],[Delivery_Date]]-Procurement_kpi_Analysis[[#This Row],[Order_Date]])</f>
        <v>5</v>
      </c>
      <c r="N607" s="2">
        <f>Procurement_kpi_Analysis[[#This Row],[Defective_Units]]/Procurement_kpi_Analysis[[#This Row],[Quantity]]</f>
        <v>0.10693301997649823</v>
      </c>
      <c r="O607" s="2">
        <f>(Procurement_kpi_Analysis[[#This Row],[Unit_Price]]-Procurement_kpi_Analysis[[#This Row],[Negotiated_Price]])*Procurement_kpi_Analysis[[#This Row],[Quantity]]</f>
        <v>1429.6799999999937</v>
      </c>
      <c r="P607" s="2">
        <f>Procurement_kpi_Analysis[[#This Row],[Total Savings]]/Procurement_kpi_Analysis[[#This Row],[Total Spend]]</f>
        <v>2.2471910112359449E-2</v>
      </c>
      <c r="Q607" s="2" t="str">
        <f>IF(Procurement_kpi_Analysis[[#This Row],[Lead Time]]&lt;=14,"On Time","Late")</f>
        <v>On Time</v>
      </c>
      <c r="R607" s="2">
        <f>Procurement_kpi_Analysis[[#This Row],[Unit_Price]]*Procurement_kpi_Analysis[[#This Row],[Quantity]]</f>
        <v>65050.439999999995</v>
      </c>
      <c r="S607" s="2">
        <f>IF(Procurement_kpi_Analysis[[#This Row],[Compliance]]="Yes",1,0)</f>
        <v>1</v>
      </c>
      <c r="T607" s="2">
        <f>IF(Procurement_kpi_Analysis[[#This Row],[Compliance]]="No",1,0)</f>
        <v>0</v>
      </c>
    </row>
    <row r="608" spans="1:20" x14ac:dyDescent="0.3">
      <c r="A608" t="s">
        <v>633</v>
      </c>
      <c r="B608" t="s">
        <v>23</v>
      </c>
      <c r="C608" s="1">
        <v>44713</v>
      </c>
      <c r="D608" s="1">
        <v>44715</v>
      </c>
      <c r="E608" t="s">
        <v>13</v>
      </c>
      <c r="F608" t="s">
        <v>18</v>
      </c>
      <c r="G608">
        <v>1169</v>
      </c>
      <c r="H608">
        <v>95.6</v>
      </c>
      <c r="I608">
        <v>82.16</v>
      </c>
      <c r="J608">
        <v>103</v>
      </c>
      <c r="K608" t="s">
        <v>15</v>
      </c>
      <c r="L608">
        <f>Procurement_kpi_Analysis[[#This Row],[Quantity]]*Procurement_kpi_Analysis[[#This Row],[Negotiated_Price]]</f>
        <v>96045.04</v>
      </c>
      <c r="M608">
        <f>IF(Procurement_kpi_Analysis[[#This Row],[Delivery_Date]]="","",Procurement_kpi_Analysis[[#This Row],[Delivery_Date]]-Procurement_kpi_Analysis[[#This Row],[Order_Date]])</f>
        <v>2</v>
      </c>
      <c r="N608" s="2">
        <f>Procurement_kpi_Analysis[[#This Row],[Defective_Units]]/Procurement_kpi_Analysis[[#This Row],[Quantity]]</f>
        <v>8.8109495295124032E-2</v>
      </c>
      <c r="O608" s="2">
        <f>(Procurement_kpi_Analysis[[#This Row],[Unit_Price]]-Procurement_kpi_Analysis[[#This Row],[Negotiated_Price]])*Procurement_kpi_Analysis[[#This Row],[Quantity]]</f>
        <v>15711.359999999997</v>
      </c>
      <c r="P608" s="2">
        <f>Procurement_kpi_Analysis[[#This Row],[Total Savings]]/Procurement_kpi_Analysis[[#This Row],[Total Spend]]</f>
        <v>0.1635832521908471</v>
      </c>
      <c r="Q608" s="2" t="str">
        <f>IF(Procurement_kpi_Analysis[[#This Row],[Lead Time]]&lt;=14,"On Time","Late")</f>
        <v>On Time</v>
      </c>
      <c r="R608" s="2">
        <f>Procurement_kpi_Analysis[[#This Row],[Unit_Price]]*Procurement_kpi_Analysis[[#This Row],[Quantity]]</f>
        <v>111756.4</v>
      </c>
      <c r="S608" s="2">
        <f>IF(Procurement_kpi_Analysis[[#This Row],[Compliance]]="Yes",1,0)</f>
        <v>1</v>
      </c>
      <c r="T608" s="2">
        <f>IF(Procurement_kpi_Analysis[[#This Row],[Compliance]]="No",1,0)</f>
        <v>0</v>
      </c>
    </row>
    <row r="609" spans="1:20" x14ac:dyDescent="0.3">
      <c r="A609" t="s">
        <v>634</v>
      </c>
      <c r="B609" t="s">
        <v>29</v>
      </c>
      <c r="C609" s="1">
        <v>45233</v>
      </c>
      <c r="D609" s="1">
        <v>45250</v>
      </c>
      <c r="E609" t="s">
        <v>21</v>
      </c>
      <c r="F609" t="s">
        <v>18</v>
      </c>
      <c r="G609">
        <v>1711</v>
      </c>
      <c r="H609">
        <v>29.14</v>
      </c>
      <c r="I609">
        <v>26.35</v>
      </c>
      <c r="J609">
        <v>48</v>
      </c>
      <c r="K609" t="s">
        <v>15</v>
      </c>
      <c r="L609">
        <f>Procurement_kpi_Analysis[[#This Row],[Quantity]]*Procurement_kpi_Analysis[[#This Row],[Negotiated_Price]]</f>
        <v>45084.850000000006</v>
      </c>
      <c r="M609">
        <f>IF(Procurement_kpi_Analysis[[#This Row],[Delivery_Date]]="","",Procurement_kpi_Analysis[[#This Row],[Delivery_Date]]-Procurement_kpi_Analysis[[#This Row],[Order_Date]])</f>
        <v>17</v>
      </c>
      <c r="N609" s="2">
        <f>Procurement_kpi_Analysis[[#This Row],[Defective_Units]]/Procurement_kpi_Analysis[[#This Row],[Quantity]]</f>
        <v>2.8053769725306838E-2</v>
      </c>
      <c r="O609" s="2">
        <f>(Procurement_kpi_Analysis[[#This Row],[Unit_Price]]-Procurement_kpi_Analysis[[#This Row],[Negotiated_Price]])*Procurement_kpi_Analysis[[#This Row],[Quantity]]</f>
        <v>4773.6899999999987</v>
      </c>
      <c r="P609" s="2">
        <f>Procurement_kpi_Analysis[[#This Row],[Total Savings]]/Procurement_kpi_Analysis[[#This Row],[Total Spend]]</f>
        <v>0.10588235294117643</v>
      </c>
      <c r="Q609" s="2" t="str">
        <f>IF(Procurement_kpi_Analysis[[#This Row],[Lead Time]]&lt;=14,"On Time","Late")</f>
        <v>Late</v>
      </c>
      <c r="R609" s="2">
        <f>Procurement_kpi_Analysis[[#This Row],[Unit_Price]]*Procurement_kpi_Analysis[[#This Row],[Quantity]]</f>
        <v>49858.54</v>
      </c>
      <c r="S609" s="2">
        <f>IF(Procurement_kpi_Analysis[[#This Row],[Compliance]]="Yes",1,0)</f>
        <v>1</v>
      </c>
      <c r="T609" s="2">
        <f>IF(Procurement_kpi_Analysis[[#This Row],[Compliance]]="No",1,0)</f>
        <v>0</v>
      </c>
    </row>
    <row r="610" spans="1:20" x14ac:dyDescent="0.3">
      <c r="A610" t="s">
        <v>635</v>
      </c>
      <c r="B610" t="s">
        <v>23</v>
      </c>
      <c r="C610" s="1">
        <v>45266</v>
      </c>
      <c r="D610" s="1">
        <v>45272</v>
      </c>
      <c r="E610" t="s">
        <v>24</v>
      </c>
      <c r="F610" t="s">
        <v>35</v>
      </c>
      <c r="G610">
        <v>1191</v>
      </c>
      <c r="H610">
        <v>68.14</v>
      </c>
      <c r="I610">
        <v>61.71</v>
      </c>
      <c r="J610">
        <v>112</v>
      </c>
      <c r="K610" t="s">
        <v>15</v>
      </c>
      <c r="L610">
        <f>Procurement_kpi_Analysis[[#This Row],[Quantity]]*Procurement_kpi_Analysis[[#This Row],[Negotiated_Price]]</f>
        <v>73496.61</v>
      </c>
      <c r="M610">
        <f>IF(Procurement_kpi_Analysis[[#This Row],[Delivery_Date]]="","",Procurement_kpi_Analysis[[#This Row],[Delivery_Date]]-Procurement_kpi_Analysis[[#This Row],[Order_Date]])</f>
        <v>6</v>
      </c>
      <c r="N610" s="2">
        <f>Procurement_kpi_Analysis[[#This Row],[Defective_Units]]/Procurement_kpi_Analysis[[#This Row],[Quantity]]</f>
        <v>9.4038623005877411E-2</v>
      </c>
      <c r="O610" s="2">
        <f>(Procurement_kpi_Analysis[[#This Row],[Unit_Price]]-Procurement_kpi_Analysis[[#This Row],[Negotiated_Price]])*Procurement_kpi_Analysis[[#This Row],[Quantity]]</f>
        <v>7658.13</v>
      </c>
      <c r="P610" s="2">
        <f>Procurement_kpi_Analysis[[#This Row],[Total Savings]]/Procurement_kpi_Analysis[[#This Row],[Total Spend]]</f>
        <v>0.10419705072111489</v>
      </c>
      <c r="Q610" s="2" t="str">
        <f>IF(Procurement_kpi_Analysis[[#This Row],[Lead Time]]&lt;=14,"On Time","Late")</f>
        <v>On Time</v>
      </c>
      <c r="R610" s="2">
        <f>Procurement_kpi_Analysis[[#This Row],[Unit_Price]]*Procurement_kpi_Analysis[[#This Row],[Quantity]]</f>
        <v>81154.740000000005</v>
      </c>
      <c r="S610" s="2">
        <f>IF(Procurement_kpi_Analysis[[#This Row],[Compliance]]="Yes",1,0)</f>
        <v>1</v>
      </c>
      <c r="T610" s="2">
        <f>IF(Procurement_kpi_Analysis[[#This Row],[Compliance]]="No",1,0)</f>
        <v>0</v>
      </c>
    </row>
    <row r="611" spans="1:20" x14ac:dyDescent="0.3">
      <c r="A611" t="s">
        <v>636</v>
      </c>
      <c r="B611" t="s">
        <v>29</v>
      </c>
      <c r="C611" s="1">
        <v>44567</v>
      </c>
      <c r="D611" s="1">
        <v>44575</v>
      </c>
      <c r="E611" t="s">
        <v>39</v>
      </c>
      <c r="F611" t="s">
        <v>18</v>
      </c>
      <c r="G611">
        <v>609</v>
      </c>
      <c r="H611">
        <v>92.39</v>
      </c>
      <c r="I611">
        <v>82.75</v>
      </c>
      <c r="J611">
        <v>29</v>
      </c>
      <c r="K611" t="s">
        <v>15</v>
      </c>
      <c r="L611">
        <f>Procurement_kpi_Analysis[[#This Row],[Quantity]]*Procurement_kpi_Analysis[[#This Row],[Negotiated_Price]]</f>
        <v>50394.75</v>
      </c>
      <c r="M611">
        <f>IF(Procurement_kpi_Analysis[[#This Row],[Delivery_Date]]="","",Procurement_kpi_Analysis[[#This Row],[Delivery_Date]]-Procurement_kpi_Analysis[[#This Row],[Order_Date]])</f>
        <v>8</v>
      </c>
      <c r="N611" s="2">
        <f>Procurement_kpi_Analysis[[#This Row],[Defective_Units]]/Procurement_kpi_Analysis[[#This Row],[Quantity]]</f>
        <v>4.7619047619047616E-2</v>
      </c>
      <c r="O611" s="2">
        <f>(Procurement_kpi_Analysis[[#This Row],[Unit_Price]]-Procurement_kpi_Analysis[[#This Row],[Negotiated_Price]])*Procurement_kpi_Analysis[[#This Row],[Quantity]]</f>
        <v>5870.76</v>
      </c>
      <c r="P611" s="2">
        <f>Procurement_kpi_Analysis[[#This Row],[Total Savings]]/Procurement_kpi_Analysis[[#This Row],[Total Spend]]</f>
        <v>0.11649546827794563</v>
      </c>
      <c r="Q611" s="2" t="str">
        <f>IF(Procurement_kpi_Analysis[[#This Row],[Lead Time]]&lt;=14,"On Time","Late")</f>
        <v>On Time</v>
      </c>
      <c r="R611" s="2">
        <f>Procurement_kpi_Analysis[[#This Row],[Unit_Price]]*Procurement_kpi_Analysis[[#This Row],[Quantity]]</f>
        <v>56265.51</v>
      </c>
      <c r="S611" s="2">
        <f>IF(Procurement_kpi_Analysis[[#This Row],[Compliance]]="Yes",1,0)</f>
        <v>1</v>
      </c>
      <c r="T611" s="2">
        <f>IF(Procurement_kpi_Analysis[[#This Row],[Compliance]]="No",1,0)</f>
        <v>0</v>
      </c>
    </row>
    <row r="612" spans="1:20" x14ac:dyDescent="0.3">
      <c r="A612" t="s">
        <v>637</v>
      </c>
      <c r="B612" t="s">
        <v>23</v>
      </c>
      <c r="C612" s="1">
        <v>44671</v>
      </c>
      <c r="D612" s="1">
        <v>44688</v>
      </c>
      <c r="E612" t="s">
        <v>13</v>
      </c>
      <c r="F612" t="s">
        <v>18</v>
      </c>
      <c r="G612">
        <v>1674</v>
      </c>
      <c r="H612">
        <v>13.25</v>
      </c>
      <c r="I612">
        <v>11.77</v>
      </c>
      <c r="J612">
        <v>181</v>
      </c>
      <c r="K612" t="s">
        <v>15</v>
      </c>
      <c r="L612">
        <f>Procurement_kpi_Analysis[[#This Row],[Quantity]]*Procurement_kpi_Analysis[[#This Row],[Negotiated_Price]]</f>
        <v>19702.98</v>
      </c>
      <c r="M612">
        <f>IF(Procurement_kpi_Analysis[[#This Row],[Delivery_Date]]="","",Procurement_kpi_Analysis[[#This Row],[Delivery_Date]]-Procurement_kpi_Analysis[[#This Row],[Order_Date]])</f>
        <v>17</v>
      </c>
      <c r="N612" s="2">
        <f>Procurement_kpi_Analysis[[#This Row],[Defective_Units]]/Procurement_kpi_Analysis[[#This Row],[Quantity]]</f>
        <v>0.10812425328554361</v>
      </c>
      <c r="O612" s="2">
        <f>(Procurement_kpi_Analysis[[#This Row],[Unit_Price]]-Procurement_kpi_Analysis[[#This Row],[Negotiated_Price]])*Procurement_kpi_Analysis[[#This Row],[Quantity]]</f>
        <v>2477.5200000000009</v>
      </c>
      <c r="P612" s="2">
        <f>Procurement_kpi_Analysis[[#This Row],[Total Savings]]/Procurement_kpi_Analysis[[#This Row],[Total Spend]]</f>
        <v>0.12574341546304169</v>
      </c>
      <c r="Q612" s="2" t="str">
        <f>IF(Procurement_kpi_Analysis[[#This Row],[Lead Time]]&lt;=14,"On Time","Late")</f>
        <v>Late</v>
      </c>
      <c r="R612" s="2">
        <f>Procurement_kpi_Analysis[[#This Row],[Unit_Price]]*Procurement_kpi_Analysis[[#This Row],[Quantity]]</f>
        <v>22180.5</v>
      </c>
      <c r="S612" s="2">
        <f>IF(Procurement_kpi_Analysis[[#This Row],[Compliance]]="Yes",1,0)</f>
        <v>1</v>
      </c>
      <c r="T612" s="2">
        <f>IF(Procurement_kpi_Analysis[[#This Row],[Compliance]]="No",1,0)</f>
        <v>0</v>
      </c>
    </row>
    <row r="613" spans="1:20" x14ac:dyDescent="0.3">
      <c r="A613" t="s">
        <v>638</v>
      </c>
      <c r="B613" t="s">
        <v>20</v>
      </c>
      <c r="C613" s="1">
        <v>44997</v>
      </c>
      <c r="D613" s="1">
        <v>45000</v>
      </c>
      <c r="E613" t="s">
        <v>21</v>
      </c>
      <c r="F613" t="s">
        <v>18</v>
      </c>
      <c r="G613">
        <v>537</v>
      </c>
      <c r="H613">
        <v>77.86</v>
      </c>
      <c r="I613">
        <v>71.180000000000007</v>
      </c>
      <c r="J613">
        <v>20</v>
      </c>
      <c r="K613" t="s">
        <v>15</v>
      </c>
      <c r="L613">
        <f>Procurement_kpi_Analysis[[#This Row],[Quantity]]*Procurement_kpi_Analysis[[#This Row],[Negotiated_Price]]</f>
        <v>38223.660000000003</v>
      </c>
      <c r="M613">
        <f>IF(Procurement_kpi_Analysis[[#This Row],[Delivery_Date]]="","",Procurement_kpi_Analysis[[#This Row],[Delivery_Date]]-Procurement_kpi_Analysis[[#This Row],[Order_Date]])</f>
        <v>3</v>
      </c>
      <c r="N613" s="2">
        <f>Procurement_kpi_Analysis[[#This Row],[Defective_Units]]/Procurement_kpi_Analysis[[#This Row],[Quantity]]</f>
        <v>3.7243947858473E-2</v>
      </c>
      <c r="O613" s="2">
        <f>(Procurement_kpi_Analysis[[#This Row],[Unit_Price]]-Procurement_kpi_Analysis[[#This Row],[Negotiated_Price]])*Procurement_kpi_Analysis[[#This Row],[Quantity]]</f>
        <v>3587.1599999999962</v>
      </c>
      <c r="P613" s="2">
        <f>Procurement_kpi_Analysis[[#This Row],[Total Savings]]/Procurement_kpi_Analysis[[#This Row],[Total Spend]]</f>
        <v>9.3846586119696443E-2</v>
      </c>
      <c r="Q613" s="2" t="str">
        <f>IF(Procurement_kpi_Analysis[[#This Row],[Lead Time]]&lt;=14,"On Time","Late")</f>
        <v>On Time</v>
      </c>
      <c r="R613" s="2">
        <f>Procurement_kpi_Analysis[[#This Row],[Unit_Price]]*Procurement_kpi_Analysis[[#This Row],[Quantity]]</f>
        <v>41810.82</v>
      </c>
      <c r="S613" s="2">
        <f>IF(Procurement_kpi_Analysis[[#This Row],[Compliance]]="Yes",1,0)</f>
        <v>1</v>
      </c>
      <c r="T613" s="2">
        <f>IF(Procurement_kpi_Analysis[[#This Row],[Compliance]]="No",1,0)</f>
        <v>0</v>
      </c>
    </row>
    <row r="614" spans="1:20" x14ac:dyDescent="0.3">
      <c r="A614" t="s">
        <v>639</v>
      </c>
      <c r="B614" t="s">
        <v>29</v>
      </c>
      <c r="C614" s="1">
        <v>44786</v>
      </c>
      <c r="D614" s="1">
        <v>44804</v>
      </c>
      <c r="E614" t="s">
        <v>39</v>
      </c>
      <c r="F614" t="s">
        <v>18</v>
      </c>
      <c r="G614">
        <v>1310</v>
      </c>
      <c r="H614">
        <v>38.049999999999997</v>
      </c>
      <c r="I614">
        <v>37</v>
      </c>
      <c r="J614">
        <v>45</v>
      </c>
      <c r="K614" t="s">
        <v>15</v>
      </c>
      <c r="L614">
        <f>Procurement_kpi_Analysis[[#This Row],[Quantity]]*Procurement_kpi_Analysis[[#This Row],[Negotiated_Price]]</f>
        <v>48470</v>
      </c>
      <c r="M614">
        <f>IF(Procurement_kpi_Analysis[[#This Row],[Delivery_Date]]="","",Procurement_kpi_Analysis[[#This Row],[Delivery_Date]]-Procurement_kpi_Analysis[[#This Row],[Order_Date]])</f>
        <v>18</v>
      </c>
      <c r="N614" s="2">
        <f>Procurement_kpi_Analysis[[#This Row],[Defective_Units]]/Procurement_kpi_Analysis[[#This Row],[Quantity]]</f>
        <v>3.4351145038167941E-2</v>
      </c>
      <c r="O614" s="2">
        <f>(Procurement_kpi_Analysis[[#This Row],[Unit_Price]]-Procurement_kpi_Analysis[[#This Row],[Negotiated_Price]])*Procurement_kpi_Analysis[[#This Row],[Quantity]]</f>
        <v>1375.4999999999964</v>
      </c>
      <c r="P614" s="2">
        <f>Procurement_kpi_Analysis[[#This Row],[Total Savings]]/Procurement_kpi_Analysis[[#This Row],[Total Spend]]</f>
        <v>2.8378378378378304E-2</v>
      </c>
      <c r="Q614" s="2" t="str">
        <f>IF(Procurement_kpi_Analysis[[#This Row],[Lead Time]]&lt;=14,"On Time","Late")</f>
        <v>Late</v>
      </c>
      <c r="R614" s="2">
        <f>Procurement_kpi_Analysis[[#This Row],[Unit_Price]]*Procurement_kpi_Analysis[[#This Row],[Quantity]]</f>
        <v>49845.499999999993</v>
      </c>
      <c r="S614" s="2">
        <f>IF(Procurement_kpi_Analysis[[#This Row],[Compliance]]="Yes",1,0)</f>
        <v>1</v>
      </c>
      <c r="T614" s="2">
        <f>IF(Procurement_kpi_Analysis[[#This Row],[Compliance]]="No",1,0)</f>
        <v>0</v>
      </c>
    </row>
    <row r="615" spans="1:20" x14ac:dyDescent="0.3">
      <c r="A615" t="s">
        <v>640</v>
      </c>
      <c r="B615" t="s">
        <v>17</v>
      </c>
      <c r="C615" s="1">
        <v>44742</v>
      </c>
      <c r="D615" s="1">
        <v>44752</v>
      </c>
      <c r="E615" t="s">
        <v>26</v>
      </c>
      <c r="F615" t="s">
        <v>18</v>
      </c>
      <c r="G615">
        <v>1958</v>
      </c>
      <c r="H615">
        <v>95.53</v>
      </c>
      <c r="I615">
        <v>91.72</v>
      </c>
      <c r="J615">
        <v>308</v>
      </c>
      <c r="K615" t="s">
        <v>15</v>
      </c>
      <c r="L615">
        <f>Procurement_kpi_Analysis[[#This Row],[Quantity]]*Procurement_kpi_Analysis[[#This Row],[Negotiated_Price]]</f>
        <v>179587.76</v>
      </c>
      <c r="M615">
        <f>IF(Procurement_kpi_Analysis[[#This Row],[Delivery_Date]]="","",Procurement_kpi_Analysis[[#This Row],[Delivery_Date]]-Procurement_kpi_Analysis[[#This Row],[Order_Date]])</f>
        <v>10</v>
      </c>
      <c r="N615" s="2">
        <f>Procurement_kpi_Analysis[[#This Row],[Defective_Units]]/Procurement_kpi_Analysis[[#This Row],[Quantity]]</f>
        <v>0.15730337078651685</v>
      </c>
      <c r="O615" s="2">
        <f>(Procurement_kpi_Analysis[[#This Row],[Unit_Price]]-Procurement_kpi_Analysis[[#This Row],[Negotiated_Price]])*Procurement_kpi_Analysis[[#This Row],[Quantity]]</f>
        <v>7459.9800000000041</v>
      </c>
      <c r="P615" s="2">
        <f>Procurement_kpi_Analysis[[#This Row],[Total Savings]]/Procurement_kpi_Analysis[[#This Row],[Total Spend]]</f>
        <v>4.1539467945922393E-2</v>
      </c>
      <c r="Q615" s="2" t="str">
        <f>IF(Procurement_kpi_Analysis[[#This Row],[Lead Time]]&lt;=14,"On Time","Late")</f>
        <v>On Time</v>
      </c>
      <c r="R615" s="2">
        <f>Procurement_kpi_Analysis[[#This Row],[Unit_Price]]*Procurement_kpi_Analysis[[#This Row],[Quantity]]</f>
        <v>187047.74</v>
      </c>
      <c r="S615" s="2">
        <f>IF(Procurement_kpi_Analysis[[#This Row],[Compliance]]="Yes",1,0)</f>
        <v>1</v>
      </c>
      <c r="T615" s="2">
        <f>IF(Procurement_kpi_Analysis[[#This Row],[Compliance]]="No",1,0)</f>
        <v>0</v>
      </c>
    </row>
    <row r="616" spans="1:20" x14ac:dyDescent="0.3">
      <c r="A616" t="s">
        <v>641</v>
      </c>
      <c r="B616" t="s">
        <v>17</v>
      </c>
      <c r="C616" s="1">
        <v>45274</v>
      </c>
      <c r="D616" s="1">
        <v>45277</v>
      </c>
      <c r="E616" t="s">
        <v>13</v>
      </c>
      <c r="F616" t="s">
        <v>18</v>
      </c>
      <c r="G616">
        <v>946</v>
      </c>
      <c r="H616">
        <v>108.6</v>
      </c>
      <c r="I616">
        <v>101.78</v>
      </c>
      <c r="J616">
        <v>146</v>
      </c>
      <c r="K616" t="s">
        <v>15</v>
      </c>
      <c r="L616">
        <f>Procurement_kpi_Analysis[[#This Row],[Quantity]]*Procurement_kpi_Analysis[[#This Row],[Negotiated_Price]]</f>
        <v>96283.88</v>
      </c>
      <c r="M616">
        <f>IF(Procurement_kpi_Analysis[[#This Row],[Delivery_Date]]="","",Procurement_kpi_Analysis[[#This Row],[Delivery_Date]]-Procurement_kpi_Analysis[[#This Row],[Order_Date]])</f>
        <v>3</v>
      </c>
      <c r="N616" s="2">
        <f>Procurement_kpi_Analysis[[#This Row],[Defective_Units]]/Procurement_kpi_Analysis[[#This Row],[Quantity]]</f>
        <v>0.15433403805496829</v>
      </c>
      <c r="O616" s="2">
        <f>(Procurement_kpi_Analysis[[#This Row],[Unit_Price]]-Procurement_kpi_Analysis[[#This Row],[Negotiated_Price]])*Procurement_kpi_Analysis[[#This Row],[Quantity]]</f>
        <v>6451.7199999999939</v>
      </c>
      <c r="P616" s="2">
        <f>Procurement_kpi_Analysis[[#This Row],[Total Savings]]/Procurement_kpi_Analysis[[#This Row],[Total Spend]]</f>
        <v>6.7007270583611639E-2</v>
      </c>
      <c r="Q616" s="2" t="str">
        <f>IF(Procurement_kpi_Analysis[[#This Row],[Lead Time]]&lt;=14,"On Time","Late")</f>
        <v>On Time</v>
      </c>
      <c r="R616" s="2">
        <f>Procurement_kpi_Analysis[[#This Row],[Unit_Price]]*Procurement_kpi_Analysis[[#This Row],[Quantity]]</f>
        <v>102735.59999999999</v>
      </c>
      <c r="S616" s="2">
        <f>IF(Procurement_kpi_Analysis[[#This Row],[Compliance]]="Yes",1,0)</f>
        <v>1</v>
      </c>
      <c r="T616" s="2">
        <f>IF(Procurement_kpi_Analysis[[#This Row],[Compliance]]="No",1,0)</f>
        <v>0</v>
      </c>
    </row>
    <row r="617" spans="1:20" x14ac:dyDescent="0.3">
      <c r="A617" t="s">
        <v>642</v>
      </c>
      <c r="B617" t="s">
        <v>23</v>
      </c>
      <c r="C617" s="1">
        <v>45092</v>
      </c>
      <c r="D617" s="1">
        <v>45098</v>
      </c>
      <c r="E617" t="s">
        <v>24</v>
      </c>
      <c r="F617" t="s">
        <v>33</v>
      </c>
      <c r="G617">
        <v>1345</v>
      </c>
      <c r="H617">
        <v>103.06</v>
      </c>
      <c r="I617">
        <v>95.14</v>
      </c>
      <c r="J617">
        <v>0</v>
      </c>
      <c r="K617" t="s">
        <v>15</v>
      </c>
      <c r="L617">
        <f>Procurement_kpi_Analysis[[#This Row],[Quantity]]*Procurement_kpi_Analysis[[#This Row],[Negotiated_Price]]</f>
        <v>127963.3</v>
      </c>
      <c r="M617">
        <f>IF(Procurement_kpi_Analysis[[#This Row],[Delivery_Date]]="","",Procurement_kpi_Analysis[[#This Row],[Delivery_Date]]-Procurement_kpi_Analysis[[#This Row],[Order_Date]])</f>
        <v>6</v>
      </c>
      <c r="N617" s="2">
        <f>Procurement_kpi_Analysis[[#This Row],[Defective_Units]]/Procurement_kpi_Analysis[[#This Row],[Quantity]]</f>
        <v>0</v>
      </c>
      <c r="O617" s="2">
        <f>(Procurement_kpi_Analysis[[#This Row],[Unit_Price]]-Procurement_kpi_Analysis[[#This Row],[Negotiated_Price]])*Procurement_kpi_Analysis[[#This Row],[Quantity]]</f>
        <v>10652.400000000001</v>
      </c>
      <c r="P617" s="2">
        <f>Procurement_kpi_Analysis[[#This Row],[Total Savings]]/Procurement_kpi_Analysis[[#This Row],[Total Spend]]</f>
        <v>8.3245743115408874E-2</v>
      </c>
      <c r="Q617" s="2" t="str">
        <f>IF(Procurement_kpi_Analysis[[#This Row],[Lead Time]]&lt;=14,"On Time","Late")</f>
        <v>On Time</v>
      </c>
      <c r="R617" s="2">
        <f>Procurement_kpi_Analysis[[#This Row],[Unit_Price]]*Procurement_kpi_Analysis[[#This Row],[Quantity]]</f>
        <v>138615.70000000001</v>
      </c>
      <c r="S617" s="2">
        <f>IF(Procurement_kpi_Analysis[[#This Row],[Compliance]]="Yes",1,0)</f>
        <v>1</v>
      </c>
      <c r="T617" s="2">
        <f>IF(Procurement_kpi_Analysis[[#This Row],[Compliance]]="No",1,0)</f>
        <v>0</v>
      </c>
    </row>
    <row r="618" spans="1:20" x14ac:dyDescent="0.3">
      <c r="A618" t="s">
        <v>643</v>
      </c>
      <c r="B618" t="s">
        <v>17</v>
      </c>
      <c r="C618" s="1">
        <v>45037</v>
      </c>
      <c r="D618" s="1">
        <v>45056</v>
      </c>
      <c r="E618" t="s">
        <v>21</v>
      </c>
      <c r="F618" t="s">
        <v>18</v>
      </c>
      <c r="G618">
        <v>1262</v>
      </c>
      <c r="H618">
        <v>56.63</v>
      </c>
      <c r="I618">
        <v>51.46</v>
      </c>
      <c r="J618">
        <v>0</v>
      </c>
      <c r="K618" t="s">
        <v>27</v>
      </c>
      <c r="L618">
        <f>Procurement_kpi_Analysis[[#This Row],[Quantity]]*Procurement_kpi_Analysis[[#This Row],[Negotiated_Price]]</f>
        <v>64942.520000000004</v>
      </c>
      <c r="M618">
        <f>IF(Procurement_kpi_Analysis[[#This Row],[Delivery_Date]]="","",Procurement_kpi_Analysis[[#This Row],[Delivery_Date]]-Procurement_kpi_Analysis[[#This Row],[Order_Date]])</f>
        <v>19</v>
      </c>
      <c r="N618" s="2">
        <f>Procurement_kpi_Analysis[[#This Row],[Defective_Units]]/Procurement_kpi_Analysis[[#This Row],[Quantity]]</f>
        <v>0</v>
      </c>
      <c r="O618" s="2">
        <f>(Procurement_kpi_Analysis[[#This Row],[Unit_Price]]-Procurement_kpi_Analysis[[#This Row],[Negotiated_Price]])*Procurement_kpi_Analysis[[#This Row],[Quantity]]</f>
        <v>6524.5400000000018</v>
      </c>
      <c r="P618" s="2">
        <f>Procurement_kpi_Analysis[[#This Row],[Total Savings]]/Procurement_kpi_Analysis[[#This Row],[Total Spend]]</f>
        <v>0.1004663816556549</v>
      </c>
      <c r="Q618" s="2" t="str">
        <f>IF(Procurement_kpi_Analysis[[#This Row],[Lead Time]]&lt;=14,"On Time","Late")</f>
        <v>Late</v>
      </c>
      <c r="R618" s="2">
        <f>Procurement_kpi_Analysis[[#This Row],[Unit_Price]]*Procurement_kpi_Analysis[[#This Row],[Quantity]]</f>
        <v>71467.06</v>
      </c>
      <c r="S618" s="2">
        <f>IF(Procurement_kpi_Analysis[[#This Row],[Compliance]]="Yes",1,0)</f>
        <v>0</v>
      </c>
      <c r="T618" s="2">
        <f>IF(Procurement_kpi_Analysis[[#This Row],[Compliance]]="No",1,0)</f>
        <v>1</v>
      </c>
    </row>
    <row r="619" spans="1:20" x14ac:dyDescent="0.3">
      <c r="A619" t="s">
        <v>644</v>
      </c>
      <c r="B619" t="s">
        <v>23</v>
      </c>
      <c r="C619" s="1">
        <v>44613</v>
      </c>
      <c r="D619" s="1">
        <v>44633</v>
      </c>
      <c r="E619" t="s">
        <v>13</v>
      </c>
      <c r="F619" t="s">
        <v>35</v>
      </c>
      <c r="G619">
        <v>753</v>
      </c>
      <c r="H619">
        <v>88.02</v>
      </c>
      <c r="I619">
        <v>79.92</v>
      </c>
      <c r="J619">
        <v>75</v>
      </c>
      <c r="K619" t="s">
        <v>15</v>
      </c>
      <c r="L619">
        <f>Procurement_kpi_Analysis[[#This Row],[Quantity]]*Procurement_kpi_Analysis[[#This Row],[Negotiated_Price]]</f>
        <v>60179.76</v>
      </c>
      <c r="M619">
        <f>IF(Procurement_kpi_Analysis[[#This Row],[Delivery_Date]]="","",Procurement_kpi_Analysis[[#This Row],[Delivery_Date]]-Procurement_kpi_Analysis[[#This Row],[Order_Date]])</f>
        <v>20</v>
      </c>
      <c r="N619" s="2">
        <f>Procurement_kpi_Analysis[[#This Row],[Defective_Units]]/Procurement_kpi_Analysis[[#This Row],[Quantity]]</f>
        <v>9.9601593625498003E-2</v>
      </c>
      <c r="O619" s="2">
        <f>(Procurement_kpi_Analysis[[#This Row],[Unit_Price]]-Procurement_kpi_Analysis[[#This Row],[Negotiated_Price]])*Procurement_kpi_Analysis[[#This Row],[Quantity]]</f>
        <v>6099.2999999999956</v>
      </c>
      <c r="P619" s="2">
        <f>Procurement_kpi_Analysis[[#This Row],[Total Savings]]/Procurement_kpi_Analysis[[#This Row],[Total Spend]]</f>
        <v>0.10135135135135127</v>
      </c>
      <c r="Q619" s="2" t="str">
        <f>IF(Procurement_kpi_Analysis[[#This Row],[Lead Time]]&lt;=14,"On Time","Late")</f>
        <v>Late</v>
      </c>
      <c r="R619" s="2">
        <f>Procurement_kpi_Analysis[[#This Row],[Unit_Price]]*Procurement_kpi_Analysis[[#This Row],[Quantity]]</f>
        <v>66279.06</v>
      </c>
      <c r="S619" s="2">
        <f>IF(Procurement_kpi_Analysis[[#This Row],[Compliance]]="Yes",1,0)</f>
        <v>1</v>
      </c>
      <c r="T619" s="2">
        <f>IF(Procurement_kpi_Analysis[[#This Row],[Compliance]]="No",1,0)</f>
        <v>0</v>
      </c>
    </row>
    <row r="620" spans="1:20" x14ac:dyDescent="0.3">
      <c r="A620" t="s">
        <v>645</v>
      </c>
      <c r="B620" t="s">
        <v>23</v>
      </c>
      <c r="C620" s="1">
        <v>45132</v>
      </c>
      <c r="D620" s="1">
        <v>45152</v>
      </c>
      <c r="E620" t="s">
        <v>39</v>
      </c>
      <c r="F620" t="s">
        <v>18</v>
      </c>
      <c r="G620">
        <v>1520</v>
      </c>
      <c r="H620">
        <v>93.75</v>
      </c>
      <c r="I620">
        <v>81.63</v>
      </c>
      <c r="J620">
        <v>149</v>
      </c>
      <c r="K620" t="s">
        <v>15</v>
      </c>
      <c r="L620">
        <f>Procurement_kpi_Analysis[[#This Row],[Quantity]]*Procurement_kpi_Analysis[[#This Row],[Negotiated_Price]]</f>
        <v>124077.59999999999</v>
      </c>
      <c r="M620">
        <f>IF(Procurement_kpi_Analysis[[#This Row],[Delivery_Date]]="","",Procurement_kpi_Analysis[[#This Row],[Delivery_Date]]-Procurement_kpi_Analysis[[#This Row],[Order_Date]])</f>
        <v>20</v>
      </c>
      <c r="N620" s="2">
        <f>Procurement_kpi_Analysis[[#This Row],[Defective_Units]]/Procurement_kpi_Analysis[[#This Row],[Quantity]]</f>
        <v>9.8026315789473684E-2</v>
      </c>
      <c r="O620" s="2">
        <f>(Procurement_kpi_Analysis[[#This Row],[Unit_Price]]-Procurement_kpi_Analysis[[#This Row],[Negotiated_Price]])*Procurement_kpi_Analysis[[#This Row],[Quantity]]</f>
        <v>18422.400000000009</v>
      </c>
      <c r="P620" s="2">
        <f>Procurement_kpi_Analysis[[#This Row],[Total Savings]]/Procurement_kpi_Analysis[[#This Row],[Total Spend]]</f>
        <v>0.14847482543182661</v>
      </c>
      <c r="Q620" s="2" t="str">
        <f>IF(Procurement_kpi_Analysis[[#This Row],[Lead Time]]&lt;=14,"On Time","Late")</f>
        <v>Late</v>
      </c>
      <c r="R620" s="2">
        <f>Procurement_kpi_Analysis[[#This Row],[Unit_Price]]*Procurement_kpi_Analysis[[#This Row],[Quantity]]</f>
        <v>142500</v>
      </c>
      <c r="S620" s="2">
        <f>IF(Procurement_kpi_Analysis[[#This Row],[Compliance]]="Yes",1,0)</f>
        <v>1</v>
      </c>
      <c r="T620" s="2">
        <f>IF(Procurement_kpi_Analysis[[#This Row],[Compliance]]="No",1,0)</f>
        <v>0</v>
      </c>
    </row>
    <row r="621" spans="1:20" x14ac:dyDescent="0.3">
      <c r="A621" t="s">
        <v>646</v>
      </c>
      <c r="B621" t="s">
        <v>17</v>
      </c>
      <c r="C621" s="1">
        <v>44817</v>
      </c>
      <c r="D621" s="1">
        <v>44836</v>
      </c>
      <c r="E621" t="s">
        <v>13</v>
      </c>
      <c r="F621" t="s">
        <v>18</v>
      </c>
      <c r="G621">
        <v>630</v>
      </c>
      <c r="H621">
        <v>40.270000000000003</v>
      </c>
      <c r="I621">
        <v>37.54</v>
      </c>
      <c r="J621">
        <v>76</v>
      </c>
      <c r="K621" t="s">
        <v>15</v>
      </c>
      <c r="L621">
        <f>Procurement_kpi_Analysis[[#This Row],[Quantity]]*Procurement_kpi_Analysis[[#This Row],[Negotiated_Price]]</f>
        <v>23650.2</v>
      </c>
      <c r="M621">
        <f>IF(Procurement_kpi_Analysis[[#This Row],[Delivery_Date]]="","",Procurement_kpi_Analysis[[#This Row],[Delivery_Date]]-Procurement_kpi_Analysis[[#This Row],[Order_Date]])</f>
        <v>19</v>
      </c>
      <c r="N621" s="2">
        <f>Procurement_kpi_Analysis[[#This Row],[Defective_Units]]/Procurement_kpi_Analysis[[#This Row],[Quantity]]</f>
        <v>0.12063492063492064</v>
      </c>
      <c r="O621" s="2">
        <f>(Procurement_kpi_Analysis[[#This Row],[Unit_Price]]-Procurement_kpi_Analysis[[#This Row],[Negotiated_Price]])*Procurement_kpi_Analysis[[#This Row],[Quantity]]</f>
        <v>1719.9000000000026</v>
      </c>
      <c r="P621" s="2">
        <f>Procurement_kpi_Analysis[[#This Row],[Total Savings]]/Procurement_kpi_Analysis[[#This Row],[Total Spend]]</f>
        <v>7.2722429408630898E-2</v>
      </c>
      <c r="Q621" s="2" t="str">
        <f>IF(Procurement_kpi_Analysis[[#This Row],[Lead Time]]&lt;=14,"On Time","Late")</f>
        <v>Late</v>
      </c>
      <c r="R621" s="2">
        <f>Procurement_kpi_Analysis[[#This Row],[Unit_Price]]*Procurement_kpi_Analysis[[#This Row],[Quantity]]</f>
        <v>25370.100000000002</v>
      </c>
      <c r="S621" s="2">
        <f>IF(Procurement_kpi_Analysis[[#This Row],[Compliance]]="Yes",1,0)</f>
        <v>1</v>
      </c>
      <c r="T621" s="2">
        <f>IF(Procurement_kpi_Analysis[[#This Row],[Compliance]]="No",1,0)</f>
        <v>0</v>
      </c>
    </row>
    <row r="622" spans="1:20" x14ac:dyDescent="0.3">
      <c r="A622" t="s">
        <v>647</v>
      </c>
      <c r="B622" t="s">
        <v>17</v>
      </c>
      <c r="C622" s="1">
        <v>44686</v>
      </c>
      <c r="D622" s="1">
        <v>44687</v>
      </c>
      <c r="E622" t="s">
        <v>13</v>
      </c>
      <c r="F622" t="s">
        <v>18</v>
      </c>
      <c r="G622">
        <v>839</v>
      </c>
      <c r="H622">
        <v>86.29</v>
      </c>
      <c r="I622">
        <v>82.51</v>
      </c>
      <c r="J622">
        <v>110</v>
      </c>
      <c r="K622" t="s">
        <v>15</v>
      </c>
      <c r="L622">
        <f>Procurement_kpi_Analysis[[#This Row],[Quantity]]*Procurement_kpi_Analysis[[#This Row],[Negotiated_Price]]</f>
        <v>69225.89</v>
      </c>
      <c r="M622">
        <f>IF(Procurement_kpi_Analysis[[#This Row],[Delivery_Date]]="","",Procurement_kpi_Analysis[[#This Row],[Delivery_Date]]-Procurement_kpi_Analysis[[#This Row],[Order_Date]])</f>
        <v>1</v>
      </c>
      <c r="N622" s="2">
        <f>Procurement_kpi_Analysis[[#This Row],[Defective_Units]]/Procurement_kpi_Analysis[[#This Row],[Quantity]]</f>
        <v>0.13110846245530394</v>
      </c>
      <c r="O622" s="2">
        <f>(Procurement_kpi_Analysis[[#This Row],[Unit_Price]]-Procurement_kpi_Analysis[[#This Row],[Negotiated_Price]])*Procurement_kpi_Analysis[[#This Row],[Quantity]]</f>
        <v>3171.420000000001</v>
      </c>
      <c r="P622" s="2">
        <f>Procurement_kpi_Analysis[[#This Row],[Total Savings]]/Procurement_kpi_Analysis[[#This Row],[Total Spend]]</f>
        <v>4.5812628772270041E-2</v>
      </c>
      <c r="Q622" s="2" t="str">
        <f>IF(Procurement_kpi_Analysis[[#This Row],[Lead Time]]&lt;=14,"On Time","Late")</f>
        <v>On Time</v>
      </c>
      <c r="R622" s="2">
        <f>Procurement_kpi_Analysis[[#This Row],[Unit_Price]]*Procurement_kpi_Analysis[[#This Row],[Quantity]]</f>
        <v>72397.310000000012</v>
      </c>
      <c r="S622" s="2">
        <f>IF(Procurement_kpi_Analysis[[#This Row],[Compliance]]="Yes",1,0)</f>
        <v>1</v>
      </c>
      <c r="T622" s="2">
        <f>IF(Procurement_kpi_Analysis[[#This Row],[Compliance]]="No",1,0)</f>
        <v>0</v>
      </c>
    </row>
    <row r="623" spans="1:20" x14ac:dyDescent="0.3">
      <c r="A623" t="s">
        <v>648</v>
      </c>
      <c r="B623" t="s">
        <v>12</v>
      </c>
      <c r="C623" s="1">
        <v>45029</v>
      </c>
      <c r="D623" s="1">
        <v>45048</v>
      </c>
      <c r="E623" t="s">
        <v>39</v>
      </c>
      <c r="F623" t="s">
        <v>18</v>
      </c>
      <c r="G623">
        <v>910</v>
      </c>
      <c r="H623">
        <v>14.33</v>
      </c>
      <c r="I623">
        <v>14.07</v>
      </c>
      <c r="J623">
        <v>27</v>
      </c>
      <c r="K623" t="s">
        <v>15</v>
      </c>
      <c r="L623">
        <f>Procurement_kpi_Analysis[[#This Row],[Quantity]]*Procurement_kpi_Analysis[[#This Row],[Negotiated_Price]]</f>
        <v>12803.7</v>
      </c>
      <c r="M623">
        <f>IF(Procurement_kpi_Analysis[[#This Row],[Delivery_Date]]="","",Procurement_kpi_Analysis[[#This Row],[Delivery_Date]]-Procurement_kpi_Analysis[[#This Row],[Order_Date]])</f>
        <v>19</v>
      </c>
      <c r="N623" s="2">
        <f>Procurement_kpi_Analysis[[#This Row],[Defective_Units]]/Procurement_kpi_Analysis[[#This Row],[Quantity]]</f>
        <v>2.9670329670329669E-2</v>
      </c>
      <c r="O623" s="2">
        <f>(Procurement_kpi_Analysis[[#This Row],[Unit_Price]]-Procurement_kpi_Analysis[[#This Row],[Negotiated_Price]])*Procurement_kpi_Analysis[[#This Row],[Quantity]]</f>
        <v>236.5999999999998</v>
      </c>
      <c r="P623" s="2">
        <f>Procurement_kpi_Analysis[[#This Row],[Total Savings]]/Procurement_kpi_Analysis[[#This Row],[Total Spend]]</f>
        <v>1.8479033404406521E-2</v>
      </c>
      <c r="Q623" s="2" t="str">
        <f>IF(Procurement_kpi_Analysis[[#This Row],[Lead Time]]&lt;=14,"On Time","Late")</f>
        <v>Late</v>
      </c>
      <c r="R623" s="2">
        <f>Procurement_kpi_Analysis[[#This Row],[Unit_Price]]*Procurement_kpi_Analysis[[#This Row],[Quantity]]</f>
        <v>13040.3</v>
      </c>
      <c r="S623" s="2">
        <f>IF(Procurement_kpi_Analysis[[#This Row],[Compliance]]="Yes",1,0)</f>
        <v>1</v>
      </c>
      <c r="T623" s="2">
        <f>IF(Procurement_kpi_Analysis[[#This Row],[Compliance]]="No",1,0)</f>
        <v>0</v>
      </c>
    </row>
    <row r="624" spans="1:20" x14ac:dyDescent="0.3">
      <c r="A624" t="s">
        <v>649</v>
      </c>
      <c r="B624" t="s">
        <v>29</v>
      </c>
      <c r="C624" s="1">
        <v>44698</v>
      </c>
      <c r="D624" s="1">
        <v>44705</v>
      </c>
      <c r="E624" t="s">
        <v>26</v>
      </c>
      <c r="F624" t="s">
        <v>18</v>
      </c>
      <c r="G624">
        <v>296</v>
      </c>
      <c r="H624">
        <v>64.94</v>
      </c>
      <c r="I624">
        <v>63.61</v>
      </c>
      <c r="J624">
        <v>0</v>
      </c>
      <c r="K624" t="s">
        <v>15</v>
      </c>
      <c r="L624">
        <f>Procurement_kpi_Analysis[[#This Row],[Quantity]]*Procurement_kpi_Analysis[[#This Row],[Negotiated_Price]]</f>
        <v>18828.560000000001</v>
      </c>
      <c r="M624">
        <f>IF(Procurement_kpi_Analysis[[#This Row],[Delivery_Date]]="","",Procurement_kpi_Analysis[[#This Row],[Delivery_Date]]-Procurement_kpi_Analysis[[#This Row],[Order_Date]])</f>
        <v>7</v>
      </c>
      <c r="N624" s="2">
        <f>Procurement_kpi_Analysis[[#This Row],[Defective_Units]]/Procurement_kpi_Analysis[[#This Row],[Quantity]]</f>
        <v>0</v>
      </c>
      <c r="O624" s="2">
        <f>(Procurement_kpi_Analysis[[#This Row],[Unit_Price]]-Procurement_kpi_Analysis[[#This Row],[Negotiated_Price]])*Procurement_kpi_Analysis[[#This Row],[Quantity]]</f>
        <v>393.6799999999995</v>
      </c>
      <c r="P624" s="2">
        <f>Procurement_kpi_Analysis[[#This Row],[Total Savings]]/Procurement_kpi_Analysis[[#This Row],[Total Spend]]</f>
        <v>2.0908662160037703E-2</v>
      </c>
      <c r="Q624" s="2" t="str">
        <f>IF(Procurement_kpi_Analysis[[#This Row],[Lead Time]]&lt;=14,"On Time","Late")</f>
        <v>On Time</v>
      </c>
      <c r="R624" s="2">
        <f>Procurement_kpi_Analysis[[#This Row],[Unit_Price]]*Procurement_kpi_Analysis[[#This Row],[Quantity]]</f>
        <v>19222.239999999998</v>
      </c>
      <c r="S624" s="2">
        <f>IF(Procurement_kpi_Analysis[[#This Row],[Compliance]]="Yes",1,0)</f>
        <v>1</v>
      </c>
      <c r="T624" s="2">
        <f>IF(Procurement_kpi_Analysis[[#This Row],[Compliance]]="No",1,0)</f>
        <v>0</v>
      </c>
    </row>
    <row r="625" spans="1:20" x14ac:dyDescent="0.3">
      <c r="A625" t="s">
        <v>650</v>
      </c>
      <c r="B625" t="s">
        <v>23</v>
      </c>
      <c r="C625" s="1">
        <v>45037</v>
      </c>
      <c r="D625" s="1">
        <v>45051</v>
      </c>
      <c r="E625" t="s">
        <v>21</v>
      </c>
      <c r="F625" t="s">
        <v>18</v>
      </c>
      <c r="G625">
        <v>1149</v>
      </c>
      <c r="H625">
        <v>33</v>
      </c>
      <c r="I625">
        <v>30.65</v>
      </c>
      <c r="J625">
        <v>141</v>
      </c>
      <c r="K625" t="s">
        <v>15</v>
      </c>
      <c r="L625">
        <f>Procurement_kpi_Analysis[[#This Row],[Quantity]]*Procurement_kpi_Analysis[[#This Row],[Negotiated_Price]]</f>
        <v>35216.85</v>
      </c>
      <c r="M625">
        <f>IF(Procurement_kpi_Analysis[[#This Row],[Delivery_Date]]="","",Procurement_kpi_Analysis[[#This Row],[Delivery_Date]]-Procurement_kpi_Analysis[[#This Row],[Order_Date]])</f>
        <v>14</v>
      </c>
      <c r="N625" s="2">
        <f>Procurement_kpi_Analysis[[#This Row],[Defective_Units]]/Procurement_kpi_Analysis[[#This Row],[Quantity]]</f>
        <v>0.12271540469973891</v>
      </c>
      <c r="O625" s="2">
        <f>(Procurement_kpi_Analysis[[#This Row],[Unit_Price]]-Procurement_kpi_Analysis[[#This Row],[Negotiated_Price]])*Procurement_kpi_Analysis[[#This Row],[Quantity]]</f>
        <v>2700.1500000000015</v>
      </c>
      <c r="P625" s="2">
        <f>Procurement_kpi_Analysis[[#This Row],[Total Savings]]/Procurement_kpi_Analysis[[#This Row],[Total Spend]]</f>
        <v>7.6672104404567745E-2</v>
      </c>
      <c r="Q625" s="2" t="str">
        <f>IF(Procurement_kpi_Analysis[[#This Row],[Lead Time]]&lt;=14,"On Time","Late")</f>
        <v>On Time</v>
      </c>
      <c r="R625" s="2">
        <f>Procurement_kpi_Analysis[[#This Row],[Unit_Price]]*Procurement_kpi_Analysis[[#This Row],[Quantity]]</f>
        <v>37917</v>
      </c>
      <c r="S625" s="2">
        <f>IF(Procurement_kpi_Analysis[[#This Row],[Compliance]]="Yes",1,0)</f>
        <v>1</v>
      </c>
      <c r="T625" s="2">
        <f>IF(Procurement_kpi_Analysis[[#This Row],[Compliance]]="No",1,0)</f>
        <v>0</v>
      </c>
    </row>
    <row r="626" spans="1:20" x14ac:dyDescent="0.3">
      <c r="A626" t="s">
        <v>651</v>
      </c>
      <c r="B626" t="s">
        <v>17</v>
      </c>
      <c r="C626" s="1">
        <v>45245</v>
      </c>
      <c r="D626" s="1">
        <v>45246</v>
      </c>
      <c r="E626" t="s">
        <v>39</v>
      </c>
      <c r="F626" t="s">
        <v>18</v>
      </c>
      <c r="G626">
        <v>203</v>
      </c>
      <c r="H626">
        <v>23.14</v>
      </c>
      <c r="I626">
        <v>20</v>
      </c>
      <c r="J626">
        <v>0</v>
      </c>
      <c r="K626" t="s">
        <v>27</v>
      </c>
      <c r="L626">
        <f>Procurement_kpi_Analysis[[#This Row],[Quantity]]*Procurement_kpi_Analysis[[#This Row],[Negotiated_Price]]</f>
        <v>4060</v>
      </c>
      <c r="M626">
        <f>IF(Procurement_kpi_Analysis[[#This Row],[Delivery_Date]]="","",Procurement_kpi_Analysis[[#This Row],[Delivery_Date]]-Procurement_kpi_Analysis[[#This Row],[Order_Date]])</f>
        <v>1</v>
      </c>
      <c r="N626" s="2">
        <f>Procurement_kpi_Analysis[[#This Row],[Defective_Units]]/Procurement_kpi_Analysis[[#This Row],[Quantity]]</f>
        <v>0</v>
      </c>
      <c r="O626" s="2">
        <f>(Procurement_kpi_Analysis[[#This Row],[Unit_Price]]-Procurement_kpi_Analysis[[#This Row],[Negotiated_Price]])*Procurement_kpi_Analysis[[#This Row],[Quantity]]</f>
        <v>637.42000000000007</v>
      </c>
      <c r="P626" s="2">
        <f>Procurement_kpi_Analysis[[#This Row],[Total Savings]]/Procurement_kpi_Analysis[[#This Row],[Total Spend]]</f>
        <v>0.15700000000000003</v>
      </c>
      <c r="Q626" s="2" t="str">
        <f>IF(Procurement_kpi_Analysis[[#This Row],[Lead Time]]&lt;=14,"On Time","Late")</f>
        <v>On Time</v>
      </c>
      <c r="R626" s="2">
        <f>Procurement_kpi_Analysis[[#This Row],[Unit_Price]]*Procurement_kpi_Analysis[[#This Row],[Quantity]]</f>
        <v>4697.42</v>
      </c>
      <c r="S626" s="2">
        <f>IF(Procurement_kpi_Analysis[[#This Row],[Compliance]]="Yes",1,0)</f>
        <v>0</v>
      </c>
      <c r="T626" s="2">
        <f>IF(Procurement_kpi_Analysis[[#This Row],[Compliance]]="No",1,0)</f>
        <v>1</v>
      </c>
    </row>
    <row r="627" spans="1:20" x14ac:dyDescent="0.3">
      <c r="A627" t="s">
        <v>652</v>
      </c>
      <c r="B627" t="s">
        <v>29</v>
      </c>
      <c r="C627" s="1">
        <v>45105</v>
      </c>
      <c r="D627" s="1">
        <v>45123</v>
      </c>
      <c r="E627" t="s">
        <v>13</v>
      </c>
      <c r="F627" t="s">
        <v>18</v>
      </c>
      <c r="G627">
        <v>1729</v>
      </c>
      <c r="H627">
        <v>18.36</v>
      </c>
      <c r="I627">
        <v>16.34</v>
      </c>
      <c r="J627">
        <v>47</v>
      </c>
      <c r="K627" t="s">
        <v>15</v>
      </c>
      <c r="L627">
        <f>Procurement_kpi_Analysis[[#This Row],[Quantity]]*Procurement_kpi_Analysis[[#This Row],[Negotiated_Price]]</f>
        <v>28251.86</v>
      </c>
      <c r="M627">
        <f>IF(Procurement_kpi_Analysis[[#This Row],[Delivery_Date]]="","",Procurement_kpi_Analysis[[#This Row],[Delivery_Date]]-Procurement_kpi_Analysis[[#This Row],[Order_Date]])</f>
        <v>18</v>
      </c>
      <c r="N627" s="2">
        <f>Procurement_kpi_Analysis[[#This Row],[Defective_Units]]/Procurement_kpi_Analysis[[#This Row],[Quantity]]</f>
        <v>2.7183342972816656E-2</v>
      </c>
      <c r="O627" s="2">
        <f>(Procurement_kpi_Analysis[[#This Row],[Unit_Price]]-Procurement_kpi_Analysis[[#This Row],[Negotiated_Price]])*Procurement_kpi_Analysis[[#This Row],[Quantity]]</f>
        <v>3492.5799999999995</v>
      </c>
      <c r="P627" s="2">
        <f>Procurement_kpi_Analysis[[#This Row],[Total Savings]]/Procurement_kpi_Analysis[[#This Row],[Total Spend]]</f>
        <v>0.12362301101591185</v>
      </c>
      <c r="Q627" s="2" t="str">
        <f>IF(Procurement_kpi_Analysis[[#This Row],[Lead Time]]&lt;=14,"On Time","Late")</f>
        <v>Late</v>
      </c>
      <c r="R627" s="2">
        <f>Procurement_kpi_Analysis[[#This Row],[Unit_Price]]*Procurement_kpi_Analysis[[#This Row],[Quantity]]</f>
        <v>31744.44</v>
      </c>
      <c r="S627" s="2">
        <f>IF(Procurement_kpi_Analysis[[#This Row],[Compliance]]="Yes",1,0)</f>
        <v>1</v>
      </c>
      <c r="T627" s="2">
        <f>IF(Procurement_kpi_Analysis[[#This Row],[Compliance]]="No",1,0)</f>
        <v>0</v>
      </c>
    </row>
    <row r="628" spans="1:20" x14ac:dyDescent="0.3">
      <c r="A628" t="s">
        <v>653</v>
      </c>
      <c r="B628" t="s">
        <v>17</v>
      </c>
      <c r="C628" s="1">
        <v>45134</v>
      </c>
      <c r="D628" s="1">
        <v>45144</v>
      </c>
      <c r="E628" t="s">
        <v>13</v>
      </c>
      <c r="F628" t="s">
        <v>18</v>
      </c>
      <c r="G628">
        <v>1508</v>
      </c>
      <c r="H628">
        <v>79.209999999999994</v>
      </c>
      <c r="I628">
        <v>73.27</v>
      </c>
      <c r="J628">
        <v>226</v>
      </c>
      <c r="K628" t="s">
        <v>15</v>
      </c>
      <c r="L628">
        <f>Procurement_kpi_Analysis[[#This Row],[Quantity]]*Procurement_kpi_Analysis[[#This Row],[Negotiated_Price]]</f>
        <v>110491.15999999999</v>
      </c>
      <c r="M628">
        <f>IF(Procurement_kpi_Analysis[[#This Row],[Delivery_Date]]="","",Procurement_kpi_Analysis[[#This Row],[Delivery_Date]]-Procurement_kpi_Analysis[[#This Row],[Order_Date]])</f>
        <v>10</v>
      </c>
      <c r="N628" s="2">
        <f>Procurement_kpi_Analysis[[#This Row],[Defective_Units]]/Procurement_kpi_Analysis[[#This Row],[Quantity]]</f>
        <v>0.14986737400530503</v>
      </c>
      <c r="O628" s="2">
        <f>(Procurement_kpi_Analysis[[#This Row],[Unit_Price]]-Procurement_kpi_Analysis[[#This Row],[Negotiated_Price]])*Procurement_kpi_Analysis[[#This Row],[Quantity]]</f>
        <v>8957.5199999999968</v>
      </c>
      <c r="P628" s="2">
        <f>Procurement_kpi_Analysis[[#This Row],[Total Savings]]/Procurement_kpi_Analysis[[#This Row],[Total Spend]]</f>
        <v>8.1070015012965721E-2</v>
      </c>
      <c r="Q628" s="2" t="str">
        <f>IF(Procurement_kpi_Analysis[[#This Row],[Lead Time]]&lt;=14,"On Time","Late")</f>
        <v>On Time</v>
      </c>
      <c r="R628" s="2">
        <f>Procurement_kpi_Analysis[[#This Row],[Unit_Price]]*Procurement_kpi_Analysis[[#This Row],[Quantity]]</f>
        <v>119448.68</v>
      </c>
      <c r="S628" s="2">
        <f>IF(Procurement_kpi_Analysis[[#This Row],[Compliance]]="Yes",1,0)</f>
        <v>1</v>
      </c>
      <c r="T628" s="2">
        <f>IF(Procurement_kpi_Analysis[[#This Row],[Compliance]]="No",1,0)</f>
        <v>0</v>
      </c>
    </row>
    <row r="629" spans="1:20" x14ac:dyDescent="0.3">
      <c r="A629" t="s">
        <v>654</v>
      </c>
      <c r="B629" t="s">
        <v>17</v>
      </c>
      <c r="C629" s="1">
        <v>45171</v>
      </c>
      <c r="D629" s="1">
        <v>45184</v>
      </c>
      <c r="E629" t="s">
        <v>24</v>
      </c>
      <c r="F629" t="s">
        <v>33</v>
      </c>
      <c r="G629">
        <v>1046</v>
      </c>
      <c r="H629">
        <v>44.65</v>
      </c>
      <c r="I629">
        <v>40.1</v>
      </c>
      <c r="J629">
        <v>165</v>
      </c>
      <c r="K629" t="s">
        <v>27</v>
      </c>
      <c r="L629">
        <f>Procurement_kpi_Analysis[[#This Row],[Quantity]]*Procurement_kpi_Analysis[[#This Row],[Negotiated_Price]]</f>
        <v>41944.6</v>
      </c>
      <c r="M629">
        <f>IF(Procurement_kpi_Analysis[[#This Row],[Delivery_Date]]="","",Procurement_kpi_Analysis[[#This Row],[Delivery_Date]]-Procurement_kpi_Analysis[[#This Row],[Order_Date]])</f>
        <v>13</v>
      </c>
      <c r="N629" s="2">
        <f>Procurement_kpi_Analysis[[#This Row],[Defective_Units]]/Procurement_kpi_Analysis[[#This Row],[Quantity]]</f>
        <v>0.15774378585086041</v>
      </c>
      <c r="O629" s="2">
        <f>(Procurement_kpi_Analysis[[#This Row],[Unit_Price]]-Procurement_kpi_Analysis[[#This Row],[Negotiated_Price]])*Procurement_kpi_Analysis[[#This Row],[Quantity]]</f>
        <v>4759.2999999999975</v>
      </c>
      <c r="P629" s="2">
        <f>Procurement_kpi_Analysis[[#This Row],[Total Savings]]/Procurement_kpi_Analysis[[#This Row],[Total Spend]]</f>
        <v>0.11346633416458847</v>
      </c>
      <c r="Q629" s="2" t="str">
        <f>IF(Procurement_kpi_Analysis[[#This Row],[Lead Time]]&lt;=14,"On Time","Late")</f>
        <v>On Time</v>
      </c>
      <c r="R629" s="2">
        <f>Procurement_kpi_Analysis[[#This Row],[Unit_Price]]*Procurement_kpi_Analysis[[#This Row],[Quantity]]</f>
        <v>46703.9</v>
      </c>
      <c r="S629" s="2">
        <f>IF(Procurement_kpi_Analysis[[#This Row],[Compliance]]="Yes",1,0)</f>
        <v>0</v>
      </c>
      <c r="T629" s="2">
        <f>IF(Procurement_kpi_Analysis[[#This Row],[Compliance]]="No",1,0)</f>
        <v>1</v>
      </c>
    </row>
    <row r="630" spans="1:20" x14ac:dyDescent="0.3">
      <c r="A630" t="s">
        <v>655</v>
      </c>
      <c r="B630" t="s">
        <v>12</v>
      </c>
      <c r="C630" s="1">
        <v>44886</v>
      </c>
      <c r="D630" s="1">
        <v>44889</v>
      </c>
      <c r="E630" t="s">
        <v>13</v>
      </c>
      <c r="F630" t="s">
        <v>18</v>
      </c>
      <c r="G630">
        <v>1159</v>
      </c>
      <c r="H630">
        <v>78.989999999999995</v>
      </c>
      <c r="I630">
        <v>71.69</v>
      </c>
      <c r="J630">
        <v>14</v>
      </c>
      <c r="K630" t="s">
        <v>15</v>
      </c>
      <c r="L630">
        <f>Procurement_kpi_Analysis[[#This Row],[Quantity]]*Procurement_kpi_Analysis[[#This Row],[Negotiated_Price]]</f>
        <v>83088.709999999992</v>
      </c>
      <c r="M630">
        <f>IF(Procurement_kpi_Analysis[[#This Row],[Delivery_Date]]="","",Procurement_kpi_Analysis[[#This Row],[Delivery_Date]]-Procurement_kpi_Analysis[[#This Row],[Order_Date]])</f>
        <v>3</v>
      </c>
      <c r="N630" s="2">
        <f>Procurement_kpi_Analysis[[#This Row],[Defective_Units]]/Procurement_kpi_Analysis[[#This Row],[Quantity]]</f>
        <v>1.2079378774805867E-2</v>
      </c>
      <c r="O630" s="2">
        <f>(Procurement_kpi_Analysis[[#This Row],[Unit_Price]]-Procurement_kpi_Analysis[[#This Row],[Negotiated_Price]])*Procurement_kpi_Analysis[[#This Row],[Quantity]]</f>
        <v>8460.6999999999971</v>
      </c>
      <c r="P630" s="2">
        <f>Procurement_kpi_Analysis[[#This Row],[Total Savings]]/Procurement_kpi_Analysis[[#This Row],[Total Spend]]</f>
        <v>0.10182731203794111</v>
      </c>
      <c r="Q630" s="2" t="str">
        <f>IF(Procurement_kpi_Analysis[[#This Row],[Lead Time]]&lt;=14,"On Time","Late")</f>
        <v>On Time</v>
      </c>
      <c r="R630" s="2">
        <f>Procurement_kpi_Analysis[[#This Row],[Unit_Price]]*Procurement_kpi_Analysis[[#This Row],[Quantity]]</f>
        <v>91549.409999999989</v>
      </c>
      <c r="S630" s="2">
        <f>IF(Procurement_kpi_Analysis[[#This Row],[Compliance]]="Yes",1,0)</f>
        <v>1</v>
      </c>
      <c r="T630" s="2">
        <f>IF(Procurement_kpi_Analysis[[#This Row],[Compliance]]="No",1,0)</f>
        <v>0</v>
      </c>
    </row>
    <row r="631" spans="1:20" x14ac:dyDescent="0.3">
      <c r="A631" t="s">
        <v>656</v>
      </c>
      <c r="B631" t="s">
        <v>23</v>
      </c>
      <c r="C631" s="1">
        <v>45015</v>
      </c>
      <c r="D631" s="1">
        <v>45021</v>
      </c>
      <c r="E631" t="s">
        <v>39</v>
      </c>
      <c r="F631" t="s">
        <v>18</v>
      </c>
      <c r="G631">
        <v>746</v>
      </c>
      <c r="H631">
        <v>16.989999999999998</v>
      </c>
      <c r="I631">
        <v>15.35</v>
      </c>
      <c r="J631">
        <v>69</v>
      </c>
      <c r="K631" t="s">
        <v>27</v>
      </c>
      <c r="L631">
        <f>Procurement_kpi_Analysis[[#This Row],[Quantity]]*Procurement_kpi_Analysis[[#This Row],[Negotiated_Price]]</f>
        <v>11451.1</v>
      </c>
      <c r="M631">
        <f>IF(Procurement_kpi_Analysis[[#This Row],[Delivery_Date]]="","",Procurement_kpi_Analysis[[#This Row],[Delivery_Date]]-Procurement_kpi_Analysis[[#This Row],[Order_Date]])</f>
        <v>6</v>
      </c>
      <c r="N631" s="2">
        <f>Procurement_kpi_Analysis[[#This Row],[Defective_Units]]/Procurement_kpi_Analysis[[#This Row],[Quantity]]</f>
        <v>9.2493297587131373E-2</v>
      </c>
      <c r="O631" s="2">
        <f>(Procurement_kpi_Analysis[[#This Row],[Unit_Price]]-Procurement_kpi_Analysis[[#This Row],[Negotiated_Price]])*Procurement_kpi_Analysis[[#This Row],[Quantity]]</f>
        <v>1223.4399999999991</v>
      </c>
      <c r="P631" s="2">
        <f>Procurement_kpi_Analysis[[#This Row],[Total Savings]]/Procurement_kpi_Analysis[[#This Row],[Total Spend]]</f>
        <v>0.10684039087947875</v>
      </c>
      <c r="Q631" s="2" t="str">
        <f>IF(Procurement_kpi_Analysis[[#This Row],[Lead Time]]&lt;=14,"On Time","Late")</f>
        <v>On Time</v>
      </c>
      <c r="R631" s="2">
        <f>Procurement_kpi_Analysis[[#This Row],[Unit_Price]]*Procurement_kpi_Analysis[[#This Row],[Quantity]]</f>
        <v>12674.539999999999</v>
      </c>
      <c r="S631" s="2">
        <f>IF(Procurement_kpi_Analysis[[#This Row],[Compliance]]="Yes",1,0)</f>
        <v>0</v>
      </c>
      <c r="T631" s="2">
        <f>IF(Procurement_kpi_Analysis[[#This Row],[Compliance]]="No",1,0)</f>
        <v>1</v>
      </c>
    </row>
    <row r="632" spans="1:20" x14ac:dyDescent="0.3">
      <c r="A632" t="s">
        <v>657</v>
      </c>
      <c r="B632" t="s">
        <v>23</v>
      </c>
      <c r="C632" s="1">
        <v>45189</v>
      </c>
      <c r="D632" s="1">
        <v>45205</v>
      </c>
      <c r="E632" t="s">
        <v>24</v>
      </c>
      <c r="F632" t="s">
        <v>18</v>
      </c>
      <c r="G632">
        <v>1358</v>
      </c>
      <c r="H632">
        <v>42.21</v>
      </c>
      <c r="I632">
        <v>38.75</v>
      </c>
      <c r="J632">
        <v>128</v>
      </c>
      <c r="K632" t="s">
        <v>15</v>
      </c>
      <c r="L632">
        <f>Procurement_kpi_Analysis[[#This Row],[Quantity]]*Procurement_kpi_Analysis[[#This Row],[Negotiated_Price]]</f>
        <v>52622.5</v>
      </c>
      <c r="M632">
        <f>IF(Procurement_kpi_Analysis[[#This Row],[Delivery_Date]]="","",Procurement_kpi_Analysis[[#This Row],[Delivery_Date]]-Procurement_kpi_Analysis[[#This Row],[Order_Date]])</f>
        <v>16</v>
      </c>
      <c r="N632" s="2">
        <f>Procurement_kpi_Analysis[[#This Row],[Defective_Units]]/Procurement_kpi_Analysis[[#This Row],[Quantity]]</f>
        <v>9.4256259204712811E-2</v>
      </c>
      <c r="O632" s="2">
        <f>(Procurement_kpi_Analysis[[#This Row],[Unit_Price]]-Procurement_kpi_Analysis[[#This Row],[Negotiated_Price]])*Procurement_kpi_Analysis[[#This Row],[Quantity]]</f>
        <v>4698.6800000000012</v>
      </c>
      <c r="P632" s="2">
        <f>Procurement_kpi_Analysis[[#This Row],[Total Savings]]/Procurement_kpi_Analysis[[#This Row],[Total Spend]]</f>
        <v>8.929032258064519E-2</v>
      </c>
      <c r="Q632" s="2" t="str">
        <f>IF(Procurement_kpi_Analysis[[#This Row],[Lead Time]]&lt;=14,"On Time","Late")</f>
        <v>Late</v>
      </c>
      <c r="R632" s="2">
        <f>Procurement_kpi_Analysis[[#This Row],[Unit_Price]]*Procurement_kpi_Analysis[[#This Row],[Quantity]]</f>
        <v>57321.18</v>
      </c>
      <c r="S632" s="2">
        <f>IF(Procurement_kpi_Analysis[[#This Row],[Compliance]]="Yes",1,0)</f>
        <v>1</v>
      </c>
      <c r="T632" s="2">
        <f>IF(Procurement_kpi_Analysis[[#This Row],[Compliance]]="No",1,0)</f>
        <v>0</v>
      </c>
    </row>
    <row r="633" spans="1:20" x14ac:dyDescent="0.3">
      <c r="A633" t="s">
        <v>658</v>
      </c>
      <c r="B633" t="s">
        <v>20</v>
      </c>
      <c r="C633" s="1">
        <v>45078</v>
      </c>
      <c r="D633" s="1">
        <v>45089</v>
      </c>
      <c r="E633" t="s">
        <v>13</v>
      </c>
      <c r="F633" t="s">
        <v>18</v>
      </c>
      <c r="G633">
        <v>1293</v>
      </c>
      <c r="H633">
        <v>63.53</v>
      </c>
      <c r="I633">
        <v>59.42</v>
      </c>
      <c r="J633">
        <v>79</v>
      </c>
      <c r="K633" t="s">
        <v>15</v>
      </c>
      <c r="L633">
        <f>Procurement_kpi_Analysis[[#This Row],[Quantity]]*Procurement_kpi_Analysis[[#This Row],[Negotiated_Price]]</f>
        <v>76830.06</v>
      </c>
      <c r="M633">
        <f>IF(Procurement_kpi_Analysis[[#This Row],[Delivery_Date]]="","",Procurement_kpi_Analysis[[#This Row],[Delivery_Date]]-Procurement_kpi_Analysis[[#This Row],[Order_Date]])</f>
        <v>11</v>
      </c>
      <c r="N633" s="2">
        <f>Procurement_kpi_Analysis[[#This Row],[Defective_Units]]/Procurement_kpi_Analysis[[#This Row],[Quantity]]</f>
        <v>6.1098221191028618E-2</v>
      </c>
      <c r="O633" s="2">
        <f>(Procurement_kpi_Analysis[[#This Row],[Unit_Price]]-Procurement_kpi_Analysis[[#This Row],[Negotiated_Price]])*Procurement_kpi_Analysis[[#This Row],[Quantity]]</f>
        <v>5314.23</v>
      </c>
      <c r="P633" s="2">
        <f>Procurement_kpi_Analysis[[#This Row],[Total Savings]]/Procurement_kpi_Analysis[[#This Row],[Total Spend]]</f>
        <v>6.9168630090878494E-2</v>
      </c>
      <c r="Q633" s="2" t="str">
        <f>IF(Procurement_kpi_Analysis[[#This Row],[Lead Time]]&lt;=14,"On Time","Late")</f>
        <v>On Time</v>
      </c>
      <c r="R633" s="2">
        <f>Procurement_kpi_Analysis[[#This Row],[Unit_Price]]*Procurement_kpi_Analysis[[#This Row],[Quantity]]</f>
        <v>82144.290000000008</v>
      </c>
      <c r="S633" s="2">
        <f>IF(Procurement_kpi_Analysis[[#This Row],[Compliance]]="Yes",1,0)</f>
        <v>1</v>
      </c>
      <c r="T633" s="2">
        <f>IF(Procurement_kpi_Analysis[[#This Row],[Compliance]]="No",1,0)</f>
        <v>0</v>
      </c>
    </row>
    <row r="634" spans="1:20" x14ac:dyDescent="0.3">
      <c r="A634" t="s">
        <v>659</v>
      </c>
      <c r="B634" t="s">
        <v>12</v>
      </c>
      <c r="C634" s="1">
        <v>44998</v>
      </c>
      <c r="D634" s="1">
        <v>45009</v>
      </c>
      <c r="E634" t="s">
        <v>39</v>
      </c>
      <c r="F634" t="s">
        <v>18</v>
      </c>
      <c r="G634">
        <v>1142</v>
      </c>
      <c r="H634">
        <v>86.85</v>
      </c>
      <c r="I634">
        <v>74.28</v>
      </c>
      <c r="J634">
        <v>30</v>
      </c>
      <c r="K634" t="s">
        <v>15</v>
      </c>
      <c r="L634">
        <f>Procurement_kpi_Analysis[[#This Row],[Quantity]]*Procurement_kpi_Analysis[[#This Row],[Negotiated_Price]]</f>
        <v>84827.76</v>
      </c>
      <c r="M634">
        <f>IF(Procurement_kpi_Analysis[[#This Row],[Delivery_Date]]="","",Procurement_kpi_Analysis[[#This Row],[Delivery_Date]]-Procurement_kpi_Analysis[[#This Row],[Order_Date]])</f>
        <v>11</v>
      </c>
      <c r="N634" s="2">
        <f>Procurement_kpi_Analysis[[#This Row],[Defective_Units]]/Procurement_kpi_Analysis[[#This Row],[Quantity]]</f>
        <v>2.6269702276707531E-2</v>
      </c>
      <c r="O634" s="2">
        <f>(Procurement_kpi_Analysis[[#This Row],[Unit_Price]]-Procurement_kpi_Analysis[[#This Row],[Negotiated_Price]])*Procurement_kpi_Analysis[[#This Row],[Quantity]]</f>
        <v>14354.939999999991</v>
      </c>
      <c r="P634" s="2">
        <f>Procurement_kpi_Analysis[[#This Row],[Total Savings]]/Procurement_kpi_Analysis[[#This Row],[Total Spend]]</f>
        <v>0.16922455573505646</v>
      </c>
      <c r="Q634" s="2" t="str">
        <f>IF(Procurement_kpi_Analysis[[#This Row],[Lead Time]]&lt;=14,"On Time","Late")</f>
        <v>On Time</v>
      </c>
      <c r="R634" s="2">
        <f>Procurement_kpi_Analysis[[#This Row],[Unit_Price]]*Procurement_kpi_Analysis[[#This Row],[Quantity]]</f>
        <v>99182.7</v>
      </c>
      <c r="S634" s="2">
        <f>IF(Procurement_kpi_Analysis[[#This Row],[Compliance]]="Yes",1,0)</f>
        <v>1</v>
      </c>
      <c r="T634" s="2">
        <f>IF(Procurement_kpi_Analysis[[#This Row],[Compliance]]="No",1,0)</f>
        <v>0</v>
      </c>
    </row>
    <row r="635" spans="1:20" x14ac:dyDescent="0.3">
      <c r="A635" t="s">
        <v>660</v>
      </c>
      <c r="B635" t="s">
        <v>29</v>
      </c>
      <c r="C635" s="1">
        <v>45123</v>
      </c>
      <c r="D635" s="1">
        <v>45134</v>
      </c>
      <c r="E635" t="s">
        <v>21</v>
      </c>
      <c r="F635" t="s">
        <v>18</v>
      </c>
      <c r="G635">
        <v>1120</v>
      </c>
      <c r="H635">
        <v>42.17</v>
      </c>
      <c r="I635">
        <v>37.47</v>
      </c>
      <c r="J635">
        <v>33</v>
      </c>
      <c r="K635" t="s">
        <v>15</v>
      </c>
      <c r="L635">
        <f>Procurement_kpi_Analysis[[#This Row],[Quantity]]*Procurement_kpi_Analysis[[#This Row],[Negotiated_Price]]</f>
        <v>41966.400000000001</v>
      </c>
      <c r="M635">
        <f>IF(Procurement_kpi_Analysis[[#This Row],[Delivery_Date]]="","",Procurement_kpi_Analysis[[#This Row],[Delivery_Date]]-Procurement_kpi_Analysis[[#This Row],[Order_Date]])</f>
        <v>11</v>
      </c>
      <c r="N635" s="2">
        <f>Procurement_kpi_Analysis[[#This Row],[Defective_Units]]/Procurement_kpi_Analysis[[#This Row],[Quantity]]</f>
        <v>2.9464285714285714E-2</v>
      </c>
      <c r="O635" s="2">
        <f>(Procurement_kpi_Analysis[[#This Row],[Unit_Price]]-Procurement_kpi_Analysis[[#This Row],[Negotiated_Price]])*Procurement_kpi_Analysis[[#This Row],[Quantity]]</f>
        <v>5264.0000000000036</v>
      </c>
      <c r="P635" s="2">
        <f>Procurement_kpi_Analysis[[#This Row],[Total Savings]]/Procurement_kpi_Analysis[[#This Row],[Total Spend]]</f>
        <v>0.12543368027755547</v>
      </c>
      <c r="Q635" s="2" t="str">
        <f>IF(Procurement_kpi_Analysis[[#This Row],[Lead Time]]&lt;=14,"On Time","Late")</f>
        <v>On Time</v>
      </c>
      <c r="R635" s="2">
        <f>Procurement_kpi_Analysis[[#This Row],[Unit_Price]]*Procurement_kpi_Analysis[[#This Row],[Quantity]]</f>
        <v>47230.400000000001</v>
      </c>
      <c r="S635" s="2">
        <f>IF(Procurement_kpi_Analysis[[#This Row],[Compliance]]="Yes",1,0)</f>
        <v>1</v>
      </c>
      <c r="T635" s="2">
        <f>IF(Procurement_kpi_Analysis[[#This Row],[Compliance]]="No",1,0)</f>
        <v>0</v>
      </c>
    </row>
    <row r="636" spans="1:20" x14ac:dyDescent="0.3">
      <c r="A636" t="s">
        <v>661</v>
      </c>
      <c r="B636" t="s">
        <v>12</v>
      </c>
      <c r="C636" s="1">
        <v>45018</v>
      </c>
      <c r="D636" s="1">
        <v>45030</v>
      </c>
      <c r="E636" t="s">
        <v>21</v>
      </c>
      <c r="F636" t="s">
        <v>18</v>
      </c>
      <c r="G636">
        <v>1058</v>
      </c>
      <c r="H636">
        <v>71.3</v>
      </c>
      <c r="I636">
        <v>62.04</v>
      </c>
      <c r="J636">
        <v>0</v>
      </c>
      <c r="K636" t="s">
        <v>15</v>
      </c>
      <c r="L636">
        <f>Procurement_kpi_Analysis[[#This Row],[Quantity]]*Procurement_kpi_Analysis[[#This Row],[Negotiated_Price]]</f>
        <v>65638.319999999992</v>
      </c>
      <c r="M636">
        <f>IF(Procurement_kpi_Analysis[[#This Row],[Delivery_Date]]="","",Procurement_kpi_Analysis[[#This Row],[Delivery_Date]]-Procurement_kpi_Analysis[[#This Row],[Order_Date]])</f>
        <v>12</v>
      </c>
      <c r="N636" s="2">
        <f>Procurement_kpi_Analysis[[#This Row],[Defective_Units]]/Procurement_kpi_Analysis[[#This Row],[Quantity]]</f>
        <v>0</v>
      </c>
      <c r="O636" s="2">
        <f>(Procurement_kpi_Analysis[[#This Row],[Unit_Price]]-Procurement_kpi_Analysis[[#This Row],[Negotiated_Price]])*Procurement_kpi_Analysis[[#This Row],[Quantity]]</f>
        <v>9797.0799999999981</v>
      </c>
      <c r="P636" s="2">
        <f>Procurement_kpi_Analysis[[#This Row],[Total Savings]]/Procurement_kpi_Analysis[[#This Row],[Total Spend]]</f>
        <v>0.14925854287556414</v>
      </c>
      <c r="Q636" s="2" t="str">
        <f>IF(Procurement_kpi_Analysis[[#This Row],[Lead Time]]&lt;=14,"On Time","Late")</f>
        <v>On Time</v>
      </c>
      <c r="R636" s="2">
        <f>Procurement_kpi_Analysis[[#This Row],[Unit_Price]]*Procurement_kpi_Analysis[[#This Row],[Quantity]]</f>
        <v>75435.399999999994</v>
      </c>
      <c r="S636" s="2">
        <f>IF(Procurement_kpi_Analysis[[#This Row],[Compliance]]="Yes",1,0)</f>
        <v>1</v>
      </c>
      <c r="T636" s="2">
        <f>IF(Procurement_kpi_Analysis[[#This Row],[Compliance]]="No",1,0)</f>
        <v>0</v>
      </c>
    </row>
    <row r="637" spans="1:20" x14ac:dyDescent="0.3">
      <c r="A637" t="s">
        <v>662</v>
      </c>
      <c r="B637" t="s">
        <v>29</v>
      </c>
      <c r="C637" s="1">
        <v>44724</v>
      </c>
      <c r="D637" s="1"/>
      <c r="E637" t="s">
        <v>13</v>
      </c>
      <c r="F637" t="s">
        <v>18</v>
      </c>
      <c r="G637">
        <v>143</v>
      </c>
      <c r="H637">
        <v>91.98</v>
      </c>
      <c r="I637">
        <v>86.02</v>
      </c>
      <c r="J637">
        <v>5</v>
      </c>
      <c r="K637" t="s">
        <v>15</v>
      </c>
      <c r="L637">
        <f>Procurement_kpi_Analysis[[#This Row],[Quantity]]*Procurement_kpi_Analysis[[#This Row],[Negotiated_Price]]</f>
        <v>12300.859999999999</v>
      </c>
      <c r="M637" t="str">
        <f>IF(Procurement_kpi_Analysis[[#This Row],[Delivery_Date]]="","",Procurement_kpi_Analysis[[#This Row],[Delivery_Date]]-Procurement_kpi_Analysis[[#This Row],[Order_Date]])</f>
        <v/>
      </c>
      <c r="N637" s="2">
        <f>Procurement_kpi_Analysis[[#This Row],[Defective_Units]]/Procurement_kpi_Analysis[[#This Row],[Quantity]]</f>
        <v>3.4965034965034968E-2</v>
      </c>
      <c r="O637" s="2">
        <f>(Procurement_kpi_Analysis[[#This Row],[Unit_Price]]-Procurement_kpi_Analysis[[#This Row],[Negotiated_Price]])*Procurement_kpi_Analysis[[#This Row],[Quantity]]</f>
        <v>852.28000000000111</v>
      </c>
      <c r="P637" s="2">
        <f>Procurement_kpi_Analysis[[#This Row],[Total Savings]]/Procurement_kpi_Analysis[[#This Row],[Total Spend]]</f>
        <v>6.9286212508718997E-2</v>
      </c>
      <c r="Q637" s="2" t="str">
        <f>IF(Procurement_kpi_Analysis[[#This Row],[Lead Time]]&lt;=14,"On Time","Late")</f>
        <v>Late</v>
      </c>
      <c r="R637" s="2">
        <f>Procurement_kpi_Analysis[[#This Row],[Unit_Price]]*Procurement_kpi_Analysis[[#This Row],[Quantity]]</f>
        <v>13153.140000000001</v>
      </c>
      <c r="S637" s="2">
        <f>IF(Procurement_kpi_Analysis[[#This Row],[Compliance]]="Yes",1,0)</f>
        <v>1</v>
      </c>
      <c r="T637" s="2">
        <f>IF(Procurement_kpi_Analysis[[#This Row],[Compliance]]="No",1,0)</f>
        <v>0</v>
      </c>
    </row>
    <row r="638" spans="1:20" x14ac:dyDescent="0.3">
      <c r="A638" t="s">
        <v>663</v>
      </c>
      <c r="B638" t="s">
        <v>23</v>
      </c>
      <c r="C638" s="1">
        <v>45048</v>
      </c>
      <c r="D638" s="1">
        <v>45060</v>
      </c>
      <c r="E638" t="s">
        <v>21</v>
      </c>
      <c r="F638" t="s">
        <v>18</v>
      </c>
      <c r="G638">
        <v>1823</v>
      </c>
      <c r="H638">
        <v>70.66</v>
      </c>
      <c r="I638">
        <v>66.92</v>
      </c>
      <c r="J638">
        <v>202</v>
      </c>
      <c r="K638" t="s">
        <v>15</v>
      </c>
      <c r="L638">
        <f>Procurement_kpi_Analysis[[#This Row],[Quantity]]*Procurement_kpi_Analysis[[#This Row],[Negotiated_Price]]</f>
        <v>121995.16</v>
      </c>
      <c r="M638">
        <f>IF(Procurement_kpi_Analysis[[#This Row],[Delivery_Date]]="","",Procurement_kpi_Analysis[[#This Row],[Delivery_Date]]-Procurement_kpi_Analysis[[#This Row],[Order_Date]])</f>
        <v>12</v>
      </c>
      <c r="N638" s="2">
        <f>Procurement_kpi_Analysis[[#This Row],[Defective_Units]]/Procurement_kpi_Analysis[[#This Row],[Quantity]]</f>
        <v>0.11080636313768513</v>
      </c>
      <c r="O638" s="2">
        <f>(Procurement_kpi_Analysis[[#This Row],[Unit_Price]]-Procurement_kpi_Analysis[[#This Row],[Negotiated_Price]])*Procurement_kpi_Analysis[[#This Row],[Quantity]]</f>
        <v>6818.0199999999904</v>
      </c>
      <c r="P638" s="2">
        <f>Procurement_kpi_Analysis[[#This Row],[Total Savings]]/Procurement_kpi_Analysis[[#This Row],[Total Spend]]</f>
        <v>5.5887627017334053E-2</v>
      </c>
      <c r="Q638" s="2" t="str">
        <f>IF(Procurement_kpi_Analysis[[#This Row],[Lead Time]]&lt;=14,"On Time","Late")</f>
        <v>On Time</v>
      </c>
      <c r="R638" s="2">
        <f>Procurement_kpi_Analysis[[#This Row],[Unit_Price]]*Procurement_kpi_Analysis[[#This Row],[Quantity]]</f>
        <v>128813.18</v>
      </c>
      <c r="S638" s="2">
        <f>IF(Procurement_kpi_Analysis[[#This Row],[Compliance]]="Yes",1,0)</f>
        <v>1</v>
      </c>
      <c r="T638" s="2">
        <f>IF(Procurement_kpi_Analysis[[#This Row],[Compliance]]="No",1,0)</f>
        <v>0</v>
      </c>
    </row>
    <row r="639" spans="1:20" x14ac:dyDescent="0.3">
      <c r="A639" t="s">
        <v>664</v>
      </c>
      <c r="B639" t="s">
        <v>20</v>
      </c>
      <c r="C639" s="1">
        <v>45022</v>
      </c>
      <c r="D639" s="1">
        <v>45026</v>
      </c>
      <c r="E639" t="s">
        <v>13</v>
      </c>
      <c r="F639" t="s">
        <v>18</v>
      </c>
      <c r="G639">
        <v>1007</v>
      </c>
      <c r="H639">
        <v>33.29</v>
      </c>
      <c r="I639">
        <v>28.48</v>
      </c>
      <c r="J639">
        <v>49</v>
      </c>
      <c r="K639" t="s">
        <v>15</v>
      </c>
      <c r="L639">
        <f>Procurement_kpi_Analysis[[#This Row],[Quantity]]*Procurement_kpi_Analysis[[#This Row],[Negotiated_Price]]</f>
        <v>28679.360000000001</v>
      </c>
      <c r="M639">
        <f>IF(Procurement_kpi_Analysis[[#This Row],[Delivery_Date]]="","",Procurement_kpi_Analysis[[#This Row],[Delivery_Date]]-Procurement_kpi_Analysis[[#This Row],[Order_Date]])</f>
        <v>4</v>
      </c>
      <c r="N639" s="2">
        <f>Procurement_kpi_Analysis[[#This Row],[Defective_Units]]/Procurement_kpi_Analysis[[#This Row],[Quantity]]</f>
        <v>4.8659384309831182E-2</v>
      </c>
      <c r="O639" s="2">
        <f>(Procurement_kpi_Analysis[[#This Row],[Unit_Price]]-Procurement_kpi_Analysis[[#This Row],[Negotiated_Price]])*Procurement_kpi_Analysis[[#This Row],[Quantity]]</f>
        <v>4843.6699999999992</v>
      </c>
      <c r="P639" s="2">
        <f>Procurement_kpi_Analysis[[#This Row],[Total Savings]]/Procurement_kpi_Analysis[[#This Row],[Total Spend]]</f>
        <v>0.16889044943820222</v>
      </c>
      <c r="Q639" s="2" t="str">
        <f>IF(Procurement_kpi_Analysis[[#This Row],[Lead Time]]&lt;=14,"On Time","Late")</f>
        <v>On Time</v>
      </c>
      <c r="R639" s="2">
        <f>Procurement_kpi_Analysis[[#This Row],[Unit_Price]]*Procurement_kpi_Analysis[[#This Row],[Quantity]]</f>
        <v>33523.03</v>
      </c>
      <c r="S639" s="2">
        <f>IF(Procurement_kpi_Analysis[[#This Row],[Compliance]]="Yes",1,0)</f>
        <v>1</v>
      </c>
      <c r="T639" s="2">
        <f>IF(Procurement_kpi_Analysis[[#This Row],[Compliance]]="No",1,0)</f>
        <v>0</v>
      </c>
    </row>
    <row r="640" spans="1:20" x14ac:dyDescent="0.3">
      <c r="A640" t="s">
        <v>665</v>
      </c>
      <c r="B640" t="s">
        <v>20</v>
      </c>
      <c r="C640" s="1">
        <v>44827</v>
      </c>
      <c r="D640" s="1">
        <v>44842</v>
      </c>
      <c r="E640" t="s">
        <v>24</v>
      </c>
      <c r="F640" t="s">
        <v>18</v>
      </c>
      <c r="G640">
        <v>1061</v>
      </c>
      <c r="H640">
        <v>12.68</v>
      </c>
      <c r="I640">
        <v>12.36</v>
      </c>
      <c r="J640">
        <v>56</v>
      </c>
      <c r="K640" t="s">
        <v>27</v>
      </c>
      <c r="L640">
        <f>Procurement_kpi_Analysis[[#This Row],[Quantity]]*Procurement_kpi_Analysis[[#This Row],[Negotiated_Price]]</f>
        <v>13113.96</v>
      </c>
      <c r="M640">
        <f>IF(Procurement_kpi_Analysis[[#This Row],[Delivery_Date]]="","",Procurement_kpi_Analysis[[#This Row],[Delivery_Date]]-Procurement_kpi_Analysis[[#This Row],[Order_Date]])</f>
        <v>15</v>
      </c>
      <c r="N640" s="2">
        <f>Procurement_kpi_Analysis[[#This Row],[Defective_Units]]/Procurement_kpi_Analysis[[#This Row],[Quantity]]</f>
        <v>5.2780395852968898E-2</v>
      </c>
      <c r="O640" s="2">
        <f>(Procurement_kpi_Analysis[[#This Row],[Unit_Price]]-Procurement_kpi_Analysis[[#This Row],[Negotiated_Price]])*Procurement_kpi_Analysis[[#This Row],[Quantity]]</f>
        <v>339.52000000000032</v>
      </c>
      <c r="P640" s="2">
        <f>Procurement_kpi_Analysis[[#This Row],[Total Savings]]/Procurement_kpi_Analysis[[#This Row],[Total Spend]]</f>
        <v>2.5889967637540479E-2</v>
      </c>
      <c r="Q640" s="2" t="str">
        <f>IF(Procurement_kpi_Analysis[[#This Row],[Lead Time]]&lt;=14,"On Time","Late")</f>
        <v>Late</v>
      </c>
      <c r="R640" s="2">
        <f>Procurement_kpi_Analysis[[#This Row],[Unit_Price]]*Procurement_kpi_Analysis[[#This Row],[Quantity]]</f>
        <v>13453.48</v>
      </c>
      <c r="S640" s="2">
        <f>IF(Procurement_kpi_Analysis[[#This Row],[Compliance]]="Yes",1,0)</f>
        <v>0</v>
      </c>
      <c r="T640" s="2">
        <f>IF(Procurement_kpi_Analysis[[#This Row],[Compliance]]="No",1,0)</f>
        <v>1</v>
      </c>
    </row>
    <row r="641" spans="1:20" x14ac:dyDescent="0.3">
      <c r="A641" t="s">
        <v>666</v>
      </c>
      <c r="B641" t="s">
        <v>23</v>
      </c>
      <c r="C641" s="1">
        <v>44815</v>
      </c>
      <c r="D641" s="1">
        <v>44830</v>
      </c>
      <c r="E641" t="s">
        <v>21</v>
      </c>
      <c r="F641" t="s">
        <v>35</v>
      </c>
      <c r="G641">
        <v>502</v>
      </c>
      <c r="H641">
        <v>91.84</v>
      </c>
      <c r="I641">
        <v>82.33</v>
      </c>
      <c r="J641">
        <v>0</v>
      </c>
      <c r="K641" t="s">
        <v>15</v>
      </c>
      <c r="L641">
        <f>Procurement_kpi_Analysis[[#This Row],[Quantity]]*Procurement_kpi_Analysis[[#This Row],[Negotiated_Price]]</f>
        <v>41329.659999999996</v>
      </c>
      <c r="M641">
        <f>IF(Procurement_kpi_Analysis[[#This Row],[Delivery_Date]]="","",Procurement_kpi_Analysis[[#This Row],[Delivery_Date]]-Procurement_kpi_Analysis[[#This Row],[Order_Date]])</f>
        <v>15</v>
      </c>
      <c r="N641" s="2">
        <f>Procurement_kpi_Analysis[[#This Row],[Defective_Units]]/Procurement_kpi_Analysis[[#This Row],[Quantity]]</f>
        <v>0</v>
      </c>
      <c r="O641" s="2">
        <f>(Procurement_kpi_Analysis[[#This Row],[Unit_Price]]-Procurement_kpi_Analysis[[#This Row],[Negotiated_Price]])*Procurement_kpi_Analysis[[#This Row],[Quantity]]</f>
        <v>4774.0200000000023</v>
      </c>
      <c r="P641" s="2">
        <f>Procurement_kpi_Analysis[[#This Row],[Total Savings]]/Procurement_kpi_Analysis[[#This Row],[Total Spend]]</f>
        <v>0.11551074942305363</v>
      </c>
      <c r="Q641" s="2" t="str">
        <f>IF(Procurement_kpi_Analysis[[#This Row],[Lead Time]]&lt;=14,"On Time","Late")</f>
        <v>Late</v>
      </c>
      <c r="R641" s="2">
        <f>Procurement_kpi_Analysis[[#This Row],[Unit_Price]]*Procurement_kpi_Analysis[[#This Row],[Quantity]]</f>
        <v>46103.68</v>
      </c>
      <c r="S641" s="2">
        <f>IF(Procurement_kpi_Analysis[[#This Row],[Compliance]]="Yes",1,0)</f>
        <v>1</v>
      </c>
      <c r="T641" s="2">
        <f>IF(Procurement_kpi_Analysis[[#This Row],[Compliance]]="No",1,0)</f>
        <v>0</v>
      </c>
    </row>
    <row r="642" spans="1:20" x14ac:dyDescent="0.3">
      <c r="A642" t="s">
        <v>667</v>
      </c>
      <c r="B642" t="s">
        <v>17</v>
      </c>
      <c r="C642" s="1">
        <v>45214</v>
      </c>
      <c r="D642" s="1">
        <v>45218</v>
      </c>
      <c r="E642" t="s">
        <v>24</v>
      </c>
      <c r="F642" t="s">
        <v>18</v>
      </c>
      <c r="G642">
        <v>1277</v>
      </c>
      <c r="H642">
        <v>13.17</v>
      </c>
      <c r="I642">
        <v>11.63</v>
      </c>
      <c r="J642">
        <v>199</v>
      </c>
      <c r="K642" t="s">
        <v>27</v>
      </c>
      <c r="L642">
        <f>Procurement_kpi_Analysis[[#This Row],[Quantity]]*Procurement_kpi_Analysis[[#This Row],[Negotiated_Price]]</f>
        <v>14851.51</v>
      </c>
      <c r="M642">
        <f>IF(Procurement_kpi_Analysis[[#This Row],[Delivery_Date]]="","",Procurement_kpi_Analysis[[#This Row],[Delivery_Date]]-Procurement_kpi_Analysis[[#This Row],[Order_Date]])</f>
        <v>4</v>
      </c>
      <c r="N642" s="2">
        <f>Procurement_kpi_Analysis[[#This Row],[Defective_Units]]/Procurement_kpi_Analysis[[#This Row],[Quantity]]</f>
        <v>0.1558339859044636</v>
      </c>
      <c r="O642" s="2">
        <f>(Procurement_kpi_Analysis[[#This Row],[Unit_Price]]-Procurement_kpi_Analysis[[#This Row],[Negotiated_Price]])*Procurement_kpi_Analysis[[#This Row],[Quantity]]</f>
        <v>1966.579999999999</v>
      </c>
      <c r="P642" s="2">
        <f>Procurement_kpi_Analysis[[#This Row],[Total Savings]]/Procurement_kpi_Analysis[[#This Row],[Total Spend]]</f>
        <v>0.13241616509028367</v>
      </c>
      <c r="Q642" s="2" t="str">
        <f>IF(Procurement_kpi_Analysis[[#This Row],[Lead Time]]&lt;=14,"On Time","Late")</f>
        <v>On Time</v>
      </c>
      <c r="R642" s="2">
        <f>Procurement_kpi_Analysis[[#This Row],[Unit_Price]]*Procurement_kpi_Analysis[[#This Row],[Quantity]]</f>
        <v>16818.09</v>
      </c>
      <c r="S642" s="2">
        <f>IF(Procurement_kpi_Analysis[[#This Row],[Compliance]]="Yes",1,0)</f>
        <v>0</v>
      </c>
      <c r="T642" s="2">
        <f>IF(Procurement_kpi_Analysis[[#This Row],[Compliance]]="No",1,0)</f>
        <v>1</v>
      </c>
    </row>
    <row r="643" spans="1:20" x14ac:dyDescent="0.3">
      <c r="A643" t="s">
        <v>668</v>
      </c>
      <c r="B643" t="s">
        <v>12</v>
      </c>
      <c r="C643" s="1">
        <v>44845</v>
      </c>
      <c r="D643" s="1">
        <v>44858</v>
      </c>
      <c r="E643" t="s">
        <v>24</v>
      </c>
      <c r="F643" t="s">
        <v>18</v>
      </c>
      <c r="G643">
        <v>961</v>
      </c>
      <c r="H643">
        <v>92.72</v>
      </c>
      <c r="I643">
        <v>88.49</v>
      </c>
      <c r="J643">
        <v>22</v>
      </c>
      <c r="K643" t="s">
        <v>15</v>
      </c>
      <c r="L643">
        <f>Procurement_kpi_Analysis[[#This Row],[Quantity]]*Procurement_kpi_Analysis[[#This Row],[Negotiated_Price]]</f>
        <v>85038.89</v>
      </c>
      <c r="M643">
        <f>IF(Procurement_kpi_Analysis[[#This Row],[Delivery_Date]]="","",Procurement_kpi_Analysis[[#This Row],[Delivery_Date]]-Procurement_kpi_Analysis[[#This Row],[Order_Date]])</f>
        <v>13</v>
      </c>
      <c r="N643" s="2">
        <f>Procurement_kpi_Analysis[[#This Row],[Defective_Units]]/Procurement_kpi_Analysis[[#This Row],[Quantity]]</f>
        <v>2.2892819979188347E-2</v>
      </c>
      <c r="O643" s="2">
        <f>(Procurement_kpi_Analysis[[#This Row],[Unit_Price]]-Procurement_kpi_Analysis[[#This Row],[Negotiated_Price]])*Procurement_kpi_Analysis[[#This Row],[Quantity]]</f>
        <v>4065.0300000000038</v>
      </c>
      <c r="P643" s="2">
        <f>Procurement_kpi_Analysis[[#This Row],[Total Savings]]/Procurement_kpi_Analysis[[#This Row],[Total Spend]]</f>
        <v>4.780201152672623E-2</v>
      </c>
      <c r="Q643" s="2" t="str">
        <f>IF(Procurement_kpi_Analysis[[#This Row],[Lead Time]]&lt;=14,"On Time","Late")</f>
        <v>On Time</v>
      </c>
      <c r="R643" s="2">
        <f>Procurement_kpi_Analysis[[#This Row],[Unit_Price]]*Procurement_kpi_Analysis[[#This Row],[Quantity]]</f>
        <v>89103.92</v>
      </c>
      <c r="S643" s="2">
        <f>IF(Procurement_kpi_Analysis[[#This Row],[Compliance]]="Yes",1,0)</f>
        <v>1</v>
      </c>
      <c r="T643" s="2">
        <f>IF(Procurement_kpi_Analysis[[#This Row],[Compliance]]="No",1,0)</f>
        <v>0</v>
      </c>
    </row>
    <row r="644" spans="1:20" x14ac:dyDescent="0.3">
      <c r="A644" t="s">
        <v>669</v>
      </c>
      <c r="B644" t="s">
        <v>20</v>
      </c>
      <c r="C644" s="1">
        <v>45095</v>
      </c>
      <c r="D644" s="1">
        <v>45109</v>
      </c>
      <c r="E644" t="s">
        <v>24</v>
      </c>
      <c r="F644" t="s">
        <v>18</v>
      </c>
      <c r="G644">
        <v>267</v>
      </c>
      <c r="H644">
        <v>62.5</v>
      </c>
      <c r="I644">
        <v>61.18</v>
      </c>
      <c r="J644">
        <v>17</v>
      </c>
      <c r="K644" t="s">
        <v>15</v>
      </c>
      <c r="L644">
        <f>Procurement_kpi_Analysis[[#This Row],[Quantity]]*Procurement_kpi_Analysis[[#This Row],[Negotiated_Price]]</f>
        <v>16335.06</v>
      </c>
      <c r="M644">
        <f>IF(Procurement_kpi_Analysis[[#This Row],[Delivery_Date]]="","",Procurement_kpi_Analysis[[#This Row],[Delivery_Date]]-Procurement_kpi_Analysis[[#This Row],[Order_Date]])</f>
        <v>14</v>
      </c>
      <c r="N644" s="2">
        <f>Procurement_kpi_Analysis[[#This Row],[Defective_Units]]/Procurement_kpi_Analysis[[#This Row],[Quantity]]</f>
        <v>6.3670411985018729E-2</v>
      </c>
      <c r="O644" s="2">
        <f>(Procurement_kpi_Analysis[[#This Row],[Unit_Price]]-Procurement_kpi_Analysis[[#This Row],[Negotiated_Price]])*Procurement_kpi_Analysis[[#This Row],[Quantity]]</f>
        <v>352.44000000000005</v>
      </c>
      <c r="P644" s="2">
        <f>Procurement_kpi_Analysis[[#This Row],[Total Savings]]/Procurement_kpi_Analysis[[#This Row],[Total Spend]]</f>
        <v>2.1575678326250413E-2</v>
      </c>
      <c r="Q644" s="2" t="str">
        <f>IF(Procurement_kpi_Analysis[[#This Row],[Lead Time]]&lt;=14,"On Time","Late")</f>
        <v>On Time</v>
      </c>
      <c r="R644" s="2">
        <f>Procurement_kpi_Analysis[[#This Row],[Unit_Price]]*Procurement_kpi_Analysis[[#This Row],[Quantity]]</f>
        <v>16687.5</v>
      </c>
      <c r="S644" s="2">
        <f>IF(Procurement_kpi_Analysis[[#This Row],[Compliance]]="Yes",1,0)</f>
        <v>1</v>
      </c>
      <c r="T644" s="2">
        <f>IF(Procurement_kpi_Analysis[[#This Row],[Compliance]]="No",1,0)</f>
        <v>0</v>
      </c>
    </row>
    <row r="645" spans="1:20" x14ac:dyDescent="0.3">
      <c r="A645" t="s">
        <v>670</v>
      </c>
      <c r="B645" t="s">
        <v>17</v>
      </c>
      <c r="C645" s="1">
        <v>45058</v>
      </c>
      <c r="D645" s="1">
        <v>45064</v>
      </c>
      <c r="E645" t="s">
        <v>26</v>
      </c>
      <c r="F645" t="s">
        <v>14</v>
      </c>
      <c r="G645">
        <v>523</v>
      </c>
      <c r="H645">
        <v>102.08</v>
      </c>
      <c r="I645">
        <v>99.59</v>
      </c>
      <c r="J645">
        <v>0</v>
      </c>
      <c r="K645" t="s">
        <v>15</v>
      </c>
      <c r="L645">
        <f>Procurement_kpi_Analysis[[#This Row],[Quantity]]*Procurement_kpi_Analysis[[#This Row],[Negotiated_Price]]</f>
        <v>52085.57</v>
      </c>
      <c r="M645">
        <f>IF(Procurement_kpi_Analysis[[#This Row],[Delivery_Date]]="","",Procurement_kpi_Analysis[[#This Row],[Delivery_Date]]-Procurement_kpi_Analysis[[#This Row],[Order_Date]])</f>
        <v>6</v>
      </c>
      <c r="N645" s="2">
        <f>Procurement_kpi_Analysis[[#This Row],[Defective_Units]]/Procurement_kpi_Analysis[[#This Row],[Quantity]]</f>
        <v>0</v>
      </c>
      <c r="O645" s="2">
        <f>(Procurement_kpi_Analysis[[#This Row],[Unit_Price]]-Procurement_kpi_Analysis[[#This Row],[Negotiated_Price]])*Procurement_kpi_Analysis[[#This Row],[Quantity]]</f>
        <v>1302.2699999999973</v>
      </c>
      <c r="P645" s="2">
        <f>Procurement_kpi_Analysis[[#This Row],[Total Savings]]/Procurement_kpi_Analysis[[#This Row],[Total Spend]]</f>
        <v>2.5002510292197959E-2</v>
      </c>
      <c r="Q645" s="2" t="str">
        <f>IF(Procurement_kpi_Analysis[[#This Row],[Lead Time]]&lt;=14,"On Time","Late")</f>
        <v>On Time</v>
      </c>
      <c r="R645" s="2">
        <f>Procurement_kpi_Analysis[[#This Row],[Unit_Price]]*Procurement_kpi_Analysis[[#This Row],[Quantity]]</f>
        <v>53387.839999999997</v>
      </c>
      <c r="S645" s="2">
        <f>IF(Procurement_kpi_Analysis[[#This Row],[Compliance]]="Yes",1,0)</f>
        <v>1</v>
      </c>
      <c r="T645" s="2">
        <f>IF(Procurement_kpi_Analysis[[#This Row],[Compliance]]="No",1,0)</f>
        <v>0</v>
      </c>
    </row>
    <row r="646" spans="1:20" x14ac:dyDescent="0.3">
      <c r="A646" t="s">
        <v>671</v>
      </c>
      <c r="B646" t="s">
        <v>29</v>
      </c>
      <c r="C646" s="1">
        <v>45203</v>
      </c>
      <c r="D646" s="1">
        <v>45222</v>
      </c>
      <c r="E646" t="s">
        <v>39</v>
      </c>
      <c r="F646" t="s">
        <v>35</v>
      </c>
      <c r="G646">
        <v>481</v>
      </c>
      <c r="H646">
        <v>90.49</v>
      </c>
      <c r="I646">
        <v>77.17</v>
      </c>
      <c r="J646">
        <v>0</v>
      </c>
      <c r="K646" t="s">
        <v>15</v>
      </c>
      <c r="L646">
        <f>Procurement_kpi_Analysis[[#This Row],[Quantity]]*Procurement_kpi_Analysis[[#This Row],[Negotiated_Price]]</f>
        <v>37118.770000000004</v>
      </c>
      <c r="M646">
        <f>IF(Procurement_kpi_Analysis[[#This Row],[Delivery_Date]]="","",Procurement_kpi_Analysis[[#This Row],[Delivery_Date]]-Procurement_kpi_Analysis[[#This Row],[Order_Date]])</f>
        <v>19</v>
      </c>
      <c r="N646" s="2">
        <f>Procurement_kpi_Analysis[[#This Row],[Defective_Units]]/Procurement_kpi_Analysis[[#This Row],[Quantity]]</f>
        <v>0</v>
      </c>
      <c r="O646" s="2">
        <f>(Procurement_kpi_Analysis[[#This Row],[Unit_Price]]-Procurement_kpi_Analysis[[#This Row],[Negotiated_Price]])*Procurement_kpi_Analysis[[#This Row],[Quantity]]</f>
        <v>6406.9199999999964</v>
      </c>
      <c r="P646" s="2">
        <f>Procurement_kpi_Analysis[[#This Row],[Total Savings]]/Procurement_kpi_Analysis[[#This Row],[Total Spend]]</f>
        <v>0.17260593494881418</v>
      </c>
      <c r="Q646" s="2" t="str">
        <f>IF(Procurement_kpi_Analysis[[#This Row],[Lead Time]]&lt;=14,"On Time","Late")</f>
        <v>Late</v>
      </c>
      <c r="R646" s="2">
        <f>Procurement_kpi_Analysis[[#This Row],[Unit_Price]]*Procurement_kpi_Analysis[[#This Row],[Quantity]]</f>
        <v>43525.689999999995</v>
      </c>
      <c r="S646" s="2">
        <f>IF(Procurement_kpi_Analysis[[#This Row],[Compliance]]="Yes",1,0)</f>
        <v>1</v>
      </c>
      <c r="T646" s="2">
        <f>IF(Procurement_kpi_Analysis[[#This Row],[Compliance]]="No",1,0)</f>
        <v>0</v>
      </c>
    </row>
    <row r="647" spans="1:20" x14ac:dyDescent="0.3">
      <c r="A647" t="s">
        <v>672</v>
      </c>
      <c r="B647" t="s">
        <v>20</v>
      </c>
      <c r="C647" s="1">
        <v>44806</v>
      </c>
      <c r="D647" s="1">
        <v>44813</v>
      </c>
      <c r="E647" t="s">
        <v>13</v>
      </c>
      <c r="F647" t="s">
        <v>18</v>
      </c>
      <c r="G647">
        <v>390</v>
      </c>
      <c r="H647">
        <v>103.81</v>
      </c>
      <c r="I647">
        <v>100.12</v>
      </c>
      <c r="J647">
        <v>20</v>
      </c>
      <c r="K647" t="s">
        <v>15</v>
      </c>
      <c r="L647">
        <f>Procurement_kpi_Analysis[[#This Row],[Quantity]]*Procurement_kpi_Analysis[[#This Row],[Negotiated_Price]]</f>
        <v>39046.800000000003</v>
      </c>
      <c r="M647">
        <f>IF(Procurement_kpi_Analysis[[#This Row],[Delivery_Date]]="","",Procurement_kpi_Analysis[[#This Row],[Delivery_Date]]-Procurement_kpi_Analysis[[#This Row],[Order_Date]])</f>
        <v>7</v>
      </c>
      <c r="N647" s="2">
        <f>Procurement_kpi_Analysis[[#This Row],[Defective_Units]]/Procurement_kpi_Analysis[[#This Row],[Quantity]]</f>
        <v>5.128205128205128E-2</v>
      </c>
      <c r="O647" s="2">
        <f>(Procurement_kpi_Analysis[[#This Row],[Unit_Price]]-Procurement_kpi_Analysis[[#This Row],[Negotiated_Price]])*Procurement_kpi_Analysis[[#This Row],[Quantity]]</f>
        <v>1439.099999999999</v>
      </c>
      <c r="P647" s="2">
        <f>Procurement_kpi_Analysis[[#This Row],[Total Savings]]/Procurement_kpi_Analysis[[#This Row],[Total Spend]]</f>
        <v>3.6855773072313198E-2</v>
      </c>
      <c r="Q647" s="2" t="str">
        <f>IF(Procurement_kpi_Analysis[[#This Row],[Lead Time]]&lt;=14,"On Time","Late")</f>
        <v>On Time</v>
      </c>
      <c r="R647" s="2">
        <f>Procurement_kpi_Analysis[[#This Row],[Unit_Price]]*Procurement_kpi_Analysis[[#This Row],[Quantity]]</f>
        <v>40485.9</v>
      </c>
      <c r="S647" s="2">
        <f>IF(Procurement_kpi_Analysis[[#This Row],[Compliance]]="Yes",1,0)</f>
        <v>1</v>
      </c>
      <c r="T647" s="2">
        <f>IF(Procurement_kpi_Analysis[[#This Row],[Compliance]]="No",1,0)</f>
        <v>0</v>
      </c>
    </row>
    <row r="648" spans="1:20" x14ac:dyDescent="0.3">
      <c r="A648" t="s">
        <v>673</v>
      </c>
      <c r="B648" t="s">
        <v>29</v>
      </c>
      <c r="C648" s="1">
        <v>44843</v>
      </c>
      <c r="D648" s="1">
        <v>44859</v>
      </c>
      <c r="E648" t="s">
        <v>24</v>
      </c>
      <c r="F648" t="s">
        <v>18</v>
      </c>
      <c r="G648">
        <v>600</v>
      </c>
      <c r="H648">
        <v>43.43</v>
      </c>
      <c r="I648">
        <v>38.76</v>
      </c>
      <c r="J648">
        <v>22</v>
      </c>
      <c r="K648" t="s">
        <v>15</v>
      </c>
      <c r="L648">
        <f>Procurement_kpi_Analysis[[#This Row],[Quantity]]*Procurement_kpi_Analysis[[#This Row],[Negotiated_Price]]</f>
        <v>23256</v>
      </c>
      <c r="M648">
        <f>IF(Procurement_kpi_Analysis[[#This Row],[Delivery_Date]]="","",Procurement_kpi_Analysis[[#This Row],[Delivery_Date]]-Procurement_kpi_Analysis[[#This Row],[Order_Date]])</f>
        <v>16</v>
      </c>
      <c r="N648" s="2">
        <f>Procurement_kpi_Analysis[[#This Row],[Defective_Units]]/Procurement_kpi_Analysis[[#This Row],[Quantity]]</f>
        <v>3.6666666666666667E-2</v>
      </c>
      <c r="O648" s="2">
        <f>(Procurement_kpi_Analysis[[#This Row],[Unit_Price]]-Procurement_kpi_Analysis[[#This Row],[Negotiated_Price]])*Procurement_kpi_Analysis[[#This Row],[Quantity]]</f>
        <v>2802.0000000000009</v>
      </c>
      <c r="P648" s="2">
        <f>Procurement_kpi_Analysis[[#This Row],[Total Savings]]/Procurement_kpi_Analysis[[#This Row],[Total Spend]]</f>
        <v>0.12048503611971108</v>
      </c>
      <c r="Q648" s="2" t="str">
        <f>IF(Procurement_kpi_Analysis[[#This Row],[Lead Time]]&lt;=14,"On Time","Late")</f>
        <v>Late</v>
      </c>
      <c r="R648" s="2">
        <f>Procurement_kpi_Analysis[[#This Row],[Unit_Price]]*Procurement_kpi_Analysis[[#This Row],[Quantity]]</f>
        <v>26058</v>
      </c>
      <c r="S648" s="2">
        <f>IF(Procurement_kpi_Analysis[[#This Row],[Compliance]]="Yes",1,0)</f>
        <v>1</v>
      </c>
      <c r="T648" s="2">
        <f>IF(Procurement_kpi_Analysis[[#This Row],[Compliance]]="No",1,0)</f>
        <v>0</v>
      </c>
    </row>
    <row r="649" spans="1:20" x14ac:dyDescent="0.3">
      <c r="A649" t="s">
        <v>674</v>
      </c>
      <c r="B649" t="s">
        <v>17</v>
      </c>
      <c r="C649" s="1">
        <v>45012</v>
      </c>
      <c r="D649" s="1"/>
      <c r="E649" t="s">
        <v>13</v>
      </c>
      <c r="F649" t="s">
        <v>18</v>
      </c>
      <c r="G649">
        <v>1685</v>
      </c>
      <c r="H649">
        <v>84.58</v>
      </c>
      <c r="I649">
        <v>75.209999999999994</v>
      </c>
      <c r="J649">
        <v>253</v>
      </c>
      <c r="K649" t="s">
        <v>27</v>
      </c>
      <c r="L649">
        <f>Procurement_kpi_Analysis[[#This Row],[Quantity]]*Procurement_kpi_Analysis[[#This Row],[Negotiated_Price]]</f>
        <v>126728.84999999999</v>
      </c>
      <c r="M649" t="str">
        <f>IF(Procurement_kpi_Analysis[[#This Row],[Delivery_Date]]="","",Procurement_kpi_Analysis[[#This Row],[Delivery_Date]]-Procurement_kpi_Analysis[[#This Row],[Order_Date]])</f>
        <v/>
      </c>
      <c r="N649" s="2">
        <f>Procurement_kpi_Analysis[[#This Row],[Defective_Units]]/Procurement_kpi_Analysis[[#This Row],[Quantity]]</f>
        <v>0.15014836795252226</v>
      </c>
      <c r="O649" s="2">
        <f>(Procurement_kpi_Analysis[[#This Row],[Unit_Price]]-Procurement_kpi_Analysis[[#This Row],[Negotiated_Price]])*Procurement_kpi_Analysis[[#This Row],[Quantity]]</f>
        <v>15788.450000000008</v>
      </c>
      <c r="P649" s="2">
        <f>Procurement_kpi_Analysis[[#This Row],[Total Savings]]/Procurement_kpi_Analysis[[#This Row],[Total Spend]]</f>
        <v>0.12458449674245453</v>
      </c>
      <c r="Q649" s="2" t="str">
        <f>IF(Procurement_kpi_Analysis[[#This Row],[Lead Time]]&lt;=14,"On Time","Late")</f>
        <v>Late</v>
      </c>
      <c r="R649" s="2">
        <f>Procurement_kpi_Analysis[[#This Row],[Unit_Price]]*Procurement_kpi_Analysis[[#This Row],[Quantity]]</f>
        <v>142517.29999999999</v>
      </c>
      <c r="S649" s="2">
        <f>IF(Procurement_kpi_Analysis[[#This Row],[Compliance]]="Yes",1,0)</f>
        <v>0</v>
      </c>
      <c r="T649" s="2">
        <f>IF(Procurement_kpi_Analysis[[#This Row],[Compliance]]="No",1,0)</f>
        <v>1</v>
      </c>
    </row>
    <row r="650" spans="1:20" x14ac:dyDescent="0.3">
      <c r="A650" t="s">
        <v>675</v>
      </c>
      <c r="B650" t="s">
        <v>29</v>
      </c>
      <c r="C650" s="1">
        <v>44641</v>
      </c>
      <c r="D650" s="1">
        <v>44651</v>
      </c>
      <c r="E650" t="s">
        <v>24</v>
      </c>
      <c r="F650" t="s">
        <v>14</v>
      </c>
      <c r="G650">
        <v>1362</v>
      </c>
      <c r="H650">
        <v>46.64</v>
      </c>
      <c r="I650">
        <v>42.85</v>
      </c>
      <c r="J650">
        <v>33</v>
      </c>
      <c r="K650" t="s">
        <v>15</v>
      </c>
      <c r="L650">
        <f>Procurement_kpi_Analysis[[#This Row],[Quantity]]*Procurement_kpi_Analysis[[#This Row],[Negotiated_Price]]</f>
        <v>58361.700000000004</v>
      </c>
      <c r="M650">
        <f>IF(Procurement_kpi_Analysis[[#This Row],[Delivery_Date]]="","",Procurement_kpi_Analysis[[#This Row],[Delivery_Date]]-Procurement_kpi_Analysis[[#This Row],[Order_Date]])</f>
        <v>10</v>
      </c>
      <c r="N650" s="2">
        <f>Procurement_kpi_Analysis[[#This Row],[Defective_Units]]/Procurement_kpi_Analysis[[#This Row],[Quantity]]</f>
        <v>2.4229074889867842E-2</v>
      </c>
      <c r="O650" s="2">
        <f>(Procurement_kpi_Analysis[[#This Row],[Unit_Price]]-Procurement_kpi_Analysis[[#This Row],[Negotiated_Price]])*Procurement_kpi_Analysis[[#This Row],[Quantity]]</f>
        <v>5161.9799999999987</v>
      </c>
      <c r="P650" s="2">
        <f>Procurement_kpi_Analysis[[#This Row],[Total Savings]]/Procurement_kpi_Analysis[[#This Row],[Total Spend]]</f>
        <v>8.8448074679113156E-2</v>
      </c>
      <c r="Q650" s="2" t="str">
        <f>IF(Procurement_kpi_Analysis[[#This Row],[Lead Time]]&lt;=14,"On Time","Late")</f>
        <v>On Time</v>
      </c>
      <c r="R650" s="2">
        <f>Procurement_kpi_Analysis[[#This Row],[Unit_Price]]*Procurement_kpi_Analysis[[#This Row],[Quantity]]</f>
        <v>63523.68</v>
      </c>
      <c r="S650" s="2">
        <f>IF(Procurement_kpi_Analysis[[#This Row],[Compliance]]="Yes",1,0)</f>
        <v>1</v>
      </c>
      <c r="T650" s="2">
        <f>IF(Procurement_kpi_Analysis[[#This Row],[Compliance]]="No",1,0)</f>
        <v>0</v>
      </c>
    </row>
    <row r="651" spans="1:20" x14ac:dyDescent="0.3">
      <c r="A651" t="s">
        <v>676</v>
      </c>
      <c r="B651" t="s">
        <v>17</v>
      </c>
      <c r="C651" s="1">
        <v>45292</v>
      </c>
      <c r="D651" s="1">
        <v>45295</v>
      </c>
      <c r="E651" t="s">
        <v>39</v>
      </c>
      <c r="F651" t="s">
        <v>35</v>
      </c>
      <c r="G651">
        <v>1327</v>
      </c>
      <c r="H651">
        <v>59.57</v>
      </c>
      <c r="I651">
        <v>56.44</v>
      </c>
      <c r="J651">
        <v>169</v>
      </c>
      <c r="K651" t="s">
        <v>15</v>
      </c>
      <c r="L651">
        <f>Procurement_kpi_Analysis[[#This Row],[Quantity]]*Procurement_kpi_Analysis[[#This Row],[Negotiated_Price]]</f>
        <v>74895.87999999999</v>
      </c>
      <c r="M651">
        <f>IF(Procurement_kpi_Analysis[[#This Row],[Delivery_Date]]="","",Procurement_kpi_Analysis[[#This Row],[Delivery_Date]]-Procurement_kpi_Analysis[[#This Row],[Order_Date]])</f>
        <v>3</v>
      </c>
      <c r="N651" s="2">
        <f>Procurement_kpi_Analysis[[#This Row],[Defective_Units]]/Procurement_kpi_Analysis[[#This Row],[Quantity]]</f>
        <v>0.12735493594574226</v>
      </c>
      <c r="O651" s="2">
        <f>(Procurement_kpi_Analysis[[#This Row],[Unit_Price]]-Procurement_kpi_Analysis[[#This Row],[Negotiated_Price]])*Procurement_kpi_Analysis[[#This Row],[Quantity]]</f>
        <v>4153.5100000000029</v>
      </c>
      <c r="P651" s="2">
        <f>Procurement_kpi_Analysis[[#This Row],[Total Savings]]/Procurement_kpi_Analysis[[#This Row],[Total Spend]]</f>
        <v>5.5457122608079425E-2</v>
      </c>
      <c r="Q651" s="2" t="str">
        <f>IF(Procurement_kpi_Analysis[[#This Row],[Lead Time]]&lt;=14,"On Time","Late")</f>
        <v>On Time</v>
      </c>
      <c r="R651" s="2">
        <f>Procurement_kpi_Analysis[[#This Row],[Unit_Price]]*Procurement_kpi_Analysis[[#This Row],[Quantity]]</f>
        <v>79049.39</v>
      </c>
      <c r="S651" s="2">
        <f>IF(Procurement_kpi_Analysis[[#This Row],[Compliance]]="Yes",1,0)</f>
        <v>1</v>
      </c>
      <c r="T651" s="2">
        <f>IF(Procurement_kpi_Analysis[[#This Row],[Compliance]]="No",1,0)</f>
        <v>0</v>
      </c>
    </row>
    <row r="652" spans="1:20" x14ac:dyDescent="0.3">
      <c r="A652" t="s">
        <v>677</v>
      </c>
      <c r="B652" t="s">
        <v>29</v>
      </c>
      <c r="C652" s="1">
        <v>44854</v>
      </c>
      <c r="D652" s="1"/>
      <c r="E652" t="s">
        <v>21</v>
      </c>
      <c r="F652" t="s">
        <v>18</v>
      </c>
      <c r="G652">
        <v>1807</v>
      </c>
      <c r="H652">
        <v>69.47</v>
      </c>
      <c r="I652">
        <v>60</v>
      </c>
      <c r="J652">
        <v>50</v>
      </c>
      <c r="K652" t="s">
        <v>15</v>
      </c>
      <c r="L652">
        <f>Procurement_kpi_Analysis[[#This Row],[Quantity]]*Procurement_kpi_Analysis[[#This Row],[Negotiated_Price]]</f>
        <v>108420</v>
      </c>
      <c r="M652" t="str">
        <f>IF(Procurement_kpi_Analysis[[#This Row],[Delivery_Date]]="","",Procurement_kpi_Analysis[[#This Row],[Delivery_Date]]-Procurement_kpi_Analysis[[#This Row],[Order_Date]])</f>
        <v/>
      </c>
      <c r="N652" s="2">
        <f>Procurement_kpi_Analysis[[#This Row],[Defective_Units]]/Procurement_kpi_Analysis[[#This Row],[Quantity]]</f>
        <v>2.7670171555063641E-2</v>
      </c>
      <c r="O652" s="2">
        <f>(Procurement_kpi_Analysis[[#This Row],[Unit_Price]]-Procurement_kpi_Analysis[[#This Row],[Negotiated_Price]])*Procurement_kpi_Analysis[[#This Row],[Quantity]]</f>
        <v>17112.289999999997</v>
      </c>
      <c r="P652" s="2">
        <f>Procurement_kpi_Analysis[[#This Row],[Total Savings]]/Procurement_kpi_Analysis[[#This Row],[Total Spend]]</f>
        <v>0.1578333333333333</v>
      </c>
      <c r="Q652" s="2" t="str">
        <f>IF(Procurement_kpi_Analysis[[#This Row],[Lead Time]]&lt;=14,"On Time","Late")</f>
        <v>Late</v>
      </c>
      <c r="R652" s="2">
        <f>Procurement_kpi_Analysis[[#This Row],[Unit_Price]]*Procurement_kpi_Analysis[[#This Row],[Quantity]]</f>
        <v>125532.29</v>
      </c>
      <c r="S652" s="2">
        <f>IF(Procurement_kpi_Analysis[[#This Row],[Compliance]]="Yes",1,0)</f>
        <v>1</v>
      </c>
      <c r="T652" s="2">
        <f>IF(Procurement_kpi_Analysis[[#This Row],[Compliance]]="No",1,0)</f>
        <v>0</v>
      </c>
    </row>
    <row r="653" spans="1:20" x14ac:dyDescent="0.3">
      <c r="A653" t="s">
        <v>678</v>
      </c>
      <c r="B653" t="s">
        <v>12</v>
      </c>
      <c r="C653" s="1">
        <v>44802</v>
      </c>
      <c r="D653" s="1">
        <v>44810</v>
      </c>
      <c r="E653" t="s">
        <v>13</v>
      </c>
      <c r="F653" t="s">
        <v>35</v>
      </c>
      <c r="G653">
        <v>406</v>
      </c>
      <c r="H653">
        <v>91.73</v>
      </c>
      <c r="I653">
        <v>89.13</v>
      </c>
      <c r="J653">
        <v>0</v>
      </c>
      <c r="K653" t="s">
        <v>15</v>
      </c>
      <c r="L653">
        <f>Procurement_kpi_Analysis[[#This Row],[Quantity]]*Procurement_kpi_Analysis[[#This Row],[Negotiated_Price]]</f>
        <v>36186.78</v>
      </c>
      <c r="M653">
        <f>IF(Procurement_kpi_Analysis[[#This Row],[Delivery_Date]]="","",Procurement_kpi_Analysis[[#This Row],[Delivery_Date]]-Procurement_kpi_Analysis[[#This Row],[Order_Date]])</f>
        <v>8</v>
      </c>
      <c r="N653" s="2">
        <f>Procurement_kpi_Analysis[[#This Row],[Defective_Units]]/Procurement_kpi_Analysis[[#This Row],[Quantity]]</f>
        <v>0</v>
      </c>
      <c r="O653" s="2">
        <f>(Procurement_kpi_Analysis[[#This Row],[Unit_Price]]-Procurement_kpi_Analysis[[#This Row],[Negotiated_Price]])*Procurement_kpi_Analysis[[#This Row],[Quantity]]</f>
        <v>1055.6000000000035</v>
      </c>
      <c r="P653" s="2">
        <f>Procurement_kpi_Analysis[[#This Row],[Total Savings]]/Procurement_kpi_Analysis[[#This Row],[Total Spend]]</f>
        <v>2.9170874004263533E-2</v>
      </c>
      <c r="Q653" s="2" t="str">
        <f>IF(Procurement_kpi_Analysis[[#This Row],[Lead Time]]&lt;=14,"On Time","Late")</f>
        <v>On Time</v>
      </c>
      <c r="R653" s="2">
        <f>Procurement_kpi_Analysis[[#This Row],[Unit_Price]]*Procurement_kpi_Analysis[[#This Row],[Quantity]]</f>
        <v>37242.380000000005</v>
      </c>
      <c r="S653" s="2">
        <f>IF(Procurement_kpi_Analysis[[#This Row],[Compliance]]="Yes",1,0)</f>
        <v>1</v>
      </c>
      <c r="T653" s="2">
        <f>IF(Procurement_kpi_Analysis[[#This Row],[Compliance]]="No",1,0)</f>
        <v>0</v>
      </c>
    </row>
    <row r="654" spans="1:20" x14ac:dyDescent="0.3">
      <c r="A654" t="s">
        <v>679</v>
      </c>
      <c r="B654" t="s">
        <v>20</v>
      </c>
      <c r="C654" s="1">
        <v>44840</v>
      </c>
      <c r="D654" s="1">
        <v>44852</v>
      </c>
      <c r="E654" t="s">
        <v>26</v>
      </c>
      <c r="F654" t="s">
        <v>33</v>
      </c>
      <c r="G654">
        <v>72</v>
      </c>
      <c r="H654">
        <v>103</v>
      </c>
      <c r="I654">
        <v>89.49</v>
      </c>
      <c r="J654">
        <v>1</v>
      </c>
      <c r="K654" t="s">
        <v>27</v>
      </c>
      <c r="L654">
        <f>Procurement_kpi_Analysis[[#This Row],[Quantity]]*Procurement_kpi_Analysis[[#This Row],[Negotiated_Price]]</f>
        <v>6443.28</v>
      </c>
      <c r="M654">
        <f>IF(Procurement_kpi_Analysis[[#This Row],[Delivery_Date]]="","",Procurement_kpi_Analysis[[#This Row],[Delivery_Date]]-Procurement_kpi_Analysis[[#This Row],[Order_Date]])</f>
        <v>12</v>
      </c>
      <c r="N654" s="2">
        <f>Procurement_kpi_Analysis[[#This Row],[Defective_Units]]/Procurement_kpi_Analysis[[#This Row],[Quantity]]</f>
        <v>1.3888888888888888E-2</v>
      </c>
      <c r="O654" s="2">
        <f>(Procurement_kpi_Analysis[[#This Row],[Unit_Price]]-Procurement_kpi_Analysis[[#This Row],[Negotiated_Price]])*Procurement_kpi_Analysis[[#This Row],[Quantity]]</f>
        <v>972.72000000000037</v>
      </c>
      <c r="P654" s="2">
        <f>Procurement_kpi_Analysis[[#This Row],[Total Savings]]/Procurement_kpi_Analysis[[#This Row],[Total Spend]]</f>
        <v>0.15096658844563646</v>
      </c>
      <c r="Q654" s="2" t="str">
        <f>IF(Procurement_kpi_Analysis[[#This Row],[Lead Time]]&lt;=14,"On Time","Late")</f>
        <v>On Time</v>
      </c>
      <c r="R654" s="2">
        <f>Procurement_kpi_Analysis[[#This Row],[Unit_Price]]*Procurement_kpi_Analysis[[#This Row],[Quantity]]</f>
        <v>7416</v>
      </c>
      <c r="S654" s="2">
        <f>IF(Procurement_kpi_Analysis[[#This Row],[Compliance]]="Yes",1,0)</f>
        <v>0</v>
      </c>
      <c r="T654" s="2">
        <f>IF(Procurement_kpi_Analysis[[#This Row],[Compliance]]="No",1,0)</f>
        <v>1</v>
      </c>
    </row>
    <row r="655" spans="1:20" x14ac:dyDescent="0.3">
      <c r="A655" t="s">
        <v>680</v>
      </c>
      <c r="B655" t="s">
        <v>20</v>
      </c>
      <c r="C655" s="1">
        <v>44905</v>
      </c>
      <c r="D655" s="1">
        <v>44915</v>
      </c>
      <c r="E655" t="s">
        <v>13</v>
      </c>
      <c r="F655" t="s">
        <v>18</v>
      </c>
      <c r="G655">
        <v>1835</v>
      </c>
      <c r="H655">
        <v>83.5</v>
      </c>
      <c r="I655">
        <v>82.36</v>
      </c>
      <c r="J655">
        <v>85</v>
      </c>
      <c r="K655" t="s">
        <v>27</v>
      </c>
      <c r="L655">
        <f>Procurement_kpi_Analysis[[#This Row],[Quantity]]*Procurement_kpi_Analysis[[#This Row],[Negotiated_Price]]</f>
        <v>151130.6</v>
      </c>
      <c r="M655">
        <f>IF(Procurement_kpi_Analysis[[#This Row],[Delivery_Date]]="","",Procurement_kpi_Analysis[[#This Row],[Delivery_Date]]-Procurement_kpi_Analysis[[#This Row],[Order_Date]])</f>
        <v>10</v>
      </c>
      <c r="N655" s="2">
        <f>Procurement_kpi_Analysis[[#This Row],[Defective_Units]]/Procurement_kpi_Analysis[[#This Row],[Quantity]]</f>
        <v>4.632152588555858E-2</v>
      </c>
      <c r="O655" s="2">
        <f>(Procurement_kpi_Analysis[[#This Row],[Unit_Price]]-Procurement_kpi_Analysis[[#This Row],[Negotiated_Price]])*Procurement_kpi_Analysis[[#This Row],[Quantity]]</f>
        <v>2091.900000000001</v>
      </c>
      <c r="P655" s="2">
        <f>Procurement_kpi_Analysis[[#This Row],[Total Savings]]/Procurement_kpi_Analysis[[#This Row],[Total Spend]]</f>
        <v>1.3841670713938811E-2</v>
      </c>
      <c r="Q655" s="2" t="str">
        <f>IF(Procurement_kpi_Analysis[[#This Row],[Lead Time]]&lt;=14,"On Time","Late")</f>
        <v>On Time</v>
      </c>
      <c r="R655" s="2">
        <f>Procurement_kpi_Analysis[[#This Row],[Unit_Price]]*Procurement_kpi_Analysis[[#This Row],[Quantity]]</f>
        <v>153222.5</v>
      </c>
      <c r="S655" s="2">
        <f>IF(Procurement_kpi_Analysis[[#This Row],[Compliance]]="Yes",1,0)</f>
        <v>0</v>
      </c>
      <c r="T655" s="2">
        <f>IF(Procurement_kpi_Analysis[[#This Row],[Compliance]]="No",1,0)</f>
        <v>1</v>
      </c>
    </row>
    <row r="656" spans="1:20" x14ac:dyDescent="0.3">
      <c r="A656" t="s">
        <v>681</v>
      </c>
      <c r="B656" t="s">
        <v>17</v>
      </c>
      <c r="C656" s="1">
        <v>44889</v>
      </c>
      <c r="D656" s="1">
        <v>44905</v>
      </c>
      <c r="E656" t="s">
        <v>39</v>
      </c>
      <c r="F656" t="s">
        <v>35</v>
      </c>
      <c r="G656">
        <v>571</v>
      </c>
      <c r="H656">
        <v>49.98</v>
      </c>
      <c r="I656">
        <v>45.58</v>
      </c>
      <c r="J656">
        <v>0</v>
      </c>
      <c r="K656" t="s">
        <v>27</v>
      </c>
      <c r="L656">
        <f>Procurement_kpi_Analysis[[#This Row],[Quantity]]*Procurement_kpi_Analysis[[#This Row],[Negotiated_Price]]</f>
        <v>26026.18</v>
      </c>
      <c r="M656">
        <f>IF(Procurement_kpi_Analysis[[#This Row],[Delivery_Date]]="","",Procurement_kpi_Analysis[[#This Row],[Delivery_Date]]-Procurement_kpi_Analysis[[#This Row],[Order_Date]])</f>
        <v>16</v>
      </c>
      <c r="N656" s="2">
        <f>Procurement_kpi_Analysis[[#This Row],[Defective_Units]]/Procurement_kpi_Analysis[[#This Row],[Quantity]]</f>
        <v>0</v>
      </c>
      <c r="O656" s="2">
        <f>(Procurement_kpi_Analysis[[#This Row],[Unit_Price]]-Procurement_kpi_Analysis[[#This Row],[Negotiated_Price]])*Procurement_kpi_Analysis[[#This Row],[Quantity]]</f>
        <v>2512.3999999999992</v>
      </c>
      <c r="P656" s="2">
        <f>Procurement_kpi_Analysis[[#This Row],[Total Savings]]/Procurement_kpi_Analysis[[#This Row],[Total Spend]]</f>
        <v>9.6533567354102651E-2</v>
      </c>
      <c r="Q656" s="2" t="str">
        <f>IF(Procurement_kpi_Analysis[[#This Row],[Lead Time]]&lt;=14,"On Time","Late")</f>
        <v>Late</v>
      </c>
      <c r="R656" s="2">
        <f>Procurement_kpi_Analysis[[#This Row],[Unit_Price]]*Procurement_kpi_Analysis[[#This Row],[Quantity]]</f>
        <v>28538.579999999998</v>
      </c>
      <c r="S656" s="2">
        <f>IF(Procurement_kpi_Analysis[[#This Row],[Compliance]]="Yes",1,0)</f>
        <v>0</v>
      </c>
      <c r="T656" s="2">
        <f>IF(Procurement_kpi_Analysis[[#This Row],[Compliance]]="No",1,0)</f>
        <v>1</v>
      </c>
    </row>
    <row r="657" spans="1:20" x14ac:dyDescent="0.3">
      <c r="A657" t="s">
        <v>682</v>
      </c>
      <c r="B657" t="s">
        <v>29</v>
      </c>
      <c r="C657" s="1">
        <v>45115</v>
      </c>
      <c r="D657" s="1">
        <v>45116</v>
      </c>
      <c r="E657" t="s">
        <v>24</v>
      </c>
      <c r="F657" t="s">
        <v>18</v>
      </c>
      <c r="G657">
        <v>1831</v>
      </c>
      <c r="H657">
        <v>52.24</v>
      </c>
      <c r="I657">
        <v>50.44</v>
      </c>
      <c r="J657">
        <v>60</v>
      </c>
      <c r="K657" t="s">
        <v>15</v>
      </c>
      <c r="L657">
        <f>Procurement_kpi_Analysis[[#This Row],[Quantity]]*Procurement_kpi_Analysis[[#This Row],[Negotiated_Price]]</f>
        <v>92355.64</v>
      </c>
      <c r="M657">
        <f>IF(Procurement_kpi_Analysis[[#This Row],[Delivery_Date]]="","",Procurement_kpi_Analysis[[#This Row],[Delivery_Date]]-Procurement_kpi_Analysis[[#This Row],[Order_Date]])</f>
        <v>1</v>
      </c>
      <c r="N657" s="2">
        <f>Procurement_kpi_Analysis[[#This Row],[Defective_Units]]/Procurement_kpi_Analysis[[#This Row],[Quantity]]</f>
        <v>3.2768978700163848E-2</v>
      </c>
      <c r="O657" s="2">
        <f>(Procurement_kpi_Analysis[[#This Row],[Unit_Price]]-Procurement_kpi_Analysis[[#This Row],[Negotiated_Price]])*Procurement_kpi_Analysis[[#This Row],[Quantity]]</f>
        <v>3295.8000000000079</v>
      </c>
      <c r="P657" s="2">
        <f>Procurement_kpi_Analysis[[#This Row],[Total Savings]]/Procurement_kpi_Analysis[[#This Row],[Total Spend]]</f>
        <v>3.5685963521015156E-2</v>
      </c>
      <c r="Q657" s="2" t="str">
        <f>IF(Procurement_kpi_Analysis[[#This Row],[Lead Time]]&lt;=14,"On Time","Late")</f>
        <v>On Time</v>
      </c>
      <c r="R657" s="2">
        <f>Procurement_kpi_Analysis[[#This Row],[Unit_Price]]*Procurement_kpi_Analysis[[#This Row],[Quantity]]</f>
        <v>95651.44</v>
      </c>
      <c r="S657" s="2">
        <f>IF(Procurement_kpi_Analysis[[#This Row],[Compliance]]="Yes",1,0)</f>
        <v>1</v>
      </c>
      <c r="T657" s="2">
        <f>IF(Procurement_kpi_Analysis[[#This Row],[Compliance]]="No",1,0)</f>
        <v>0</v>
      </c>
    </row>
    <row r="658" spans="1:20" x14ac:dyDescent="0.3">
      <c r="A658" t="s">
        <v>683</v>
      </c>
      <c r="B658" t="s">
        <v>23</v>
      </c>
      <c r="C658" s="1">
        <v>44644</v>
      </c>
      <c r="D658" s="1">
        <v>44658</v>
      </c>
      <c r="E658" t="s">
        <v>13</v>
      </c>
      <c r="F658" t="s">
        <v>35</v>
      </c>
      <c r="G658">
        <v>1910</v>
      </c>
      <c r="H658">
        <v>77.150000000000006</v>
      </c>
      <c r="I658">
        <v>68.489999999999995</v>
      </c>
      <c r="J658">
        <v>170</v>
      </c>
      <c r="K658" t="s">
        <v>15</v>
      </c>
      <c r="L658">
        <f>Procurement_kpi_Analysis[[#This Row],[Quantity]]*Procurement_kpi_Analysis[[#This Row],[Negotiated_Price]]</f>
        <v>130815.9</v>
      </c>
      <c r="M658">
        <f>IF(Procurement_kpi_Analysis[[#This Row],[Delivery_Date]]="","",Procurement_kpi_Analysis[[#This Row],[Delivery_Date]]-Procurement_kpi_Analysis[[#This Row],[Order_Date]])</f>
        <v>14</v>
      </c>
      <c r="N658" s="2">
        <f>Procurement_kpi_Analysis[[#This Row],[Defective_Units]]/Procurement_kpi_Analysis[[#This Row],[Quantity]]</f>
        <v>8.9005235602094238E-2</v>
      </c>
      <c r="O658" s="2">
        <f>(Procurement_kpi_Analysis[[#This Row],[Unit_Price]]-Procurement_kpi_Analysis[[#This Row],[Negotiated_Price]])*Procurement_kpi_Analysis[[#This Row],[Quantity]]</f>
        <v>16540.60000000002</v>
      </c>
      <c r="P658" s="2">
        <f>Procurement_kpi_Analysis[[#This Row],[Total Savings]]/Procurement_kpi_Analysis[[#This Row],[Total Spend]]</f>
        <v>0.12644181632355103</v>
      </c>
      <c r="Q658" s="2" t="str">
        <f>IF(Procurement_kpi_Analysis[[#This Row],[Lead Time]]&lt;=14,"On Time","Late")</f>
        <v>On Time</v>
      </c>
      <c r="R658" s="2">
        <f>Procurement_kpi_Analysis[[#This Row],[Unit_Price]]*Procurement_kpi_Analysis[[#This Row],[Quantity]]</f>
        <v>147356.5</v>
      </c>
      <c r="S658" s="2">
        <f>IF(Procurement_kpi_Analysis[[#This Row],[Compliance]]="Yes",1,0)</f>
        <v>1</v>
      </c>
      <c r="T658" s="2">
        <f>IF(Procurement_kpi_Analysis[[#This Row],[Compliance]]="No",1,0)</f>
        <v>0</v>
      </c>
    </row>
    <row r="659" spans="1:20" x14ac:dyDescent="0.3">
      <c r="A659" t="s">
        <v>684</v>
      </c>
      <c r="B659" t="s">
        <v>20</v>
      </c>
      <c r="C659" s="1">
        <v>44703</v>
      </c>
      <c r="D659" s="1">
        <v>44712</v>
      </c>
      <c r="E659" t="s">
        <v>39</v>
      </c>
      <c r="F659" t="s">
        <v>33</v>
      </c>
      <c r="G659">
        <v>1173</v>
      </c>
      <c r="H659">
        <v>32.119999999999997</v>
      </c>
      <c r="I659">
        <v>29.18</v>
      </c>
      <c r="J659">
        <v>0</v>
      </c>
      <c r="K659" t="s">
        <v>15</v>
      </c>
      <c r="L659">
        <f>Procurement_kpi_Analysis[[#This Row],[Quantity]]*Procurement_kpi_Analysis[[#This Row],[Negotiated_Price]]</f>
        <v>34228.14</v>
      </c>
      <c r="M659">
        <f>IF(Procurement_kpi_Analysis[[#This Row],[Delivery_Date]]="","",Procurement_kpi_Analysis[[#This Row],[Delivery_Date]]-Procurement_kpi_Analysis[[#This Row],[Order_Date]])</f>
        <v>9</v>
      </c>
      <c r="N659" s="2">
        <f>Procurement_kpi_Analysis[[#This Row],[Defective_Units]]/Procurement_kpi_Analysis[[#This Row],[Quantity]]</f>
        <v>0</v>
      </c>
      <c r="O659" s="2">
        <f>(Procurement_kpi_Analysis[[#This Row],[Unit_Price]]-Procurement_kpi_Analysis[[#This Row],[Negotiated_Price]])*Procurement_kpi_Analysis[[#This Row],[Quantity]]</f>
        <v>3448.6199999999972</v>
      </c>
      <c r="P659" s="2">
        <f>Procurement_kpi_Analysis[[#This Row],[Total Savings]]/Procurement_kpi_Analysis[[#This Row],[Total Spend]]</f>
        <v>0.1007539410555174</v>
      </c>
      <c r="Q659" s="2" t="str">
        <f>IF(Procurement_kpi_Analysis[[#This Row],[Lead Time]]&lt;=14,"On Time","Late")</f>
        <v>On Time</v>
      </c>
      <c r="R659" s="2">
        <f>Procurement_kpi_Analysis[[#This Row],[Unit_Price]]*Procurement_kpi_Analysis[[#This Row],[Quantity]]</f>
        <v>37676.759999999995</v>
      </c>
      <c r="S659" s="2">
        <f>IF(Procurement_kpi_Analysis[[#This Row],[Compliance]]="Yes",1,0)</f>
        <v>1</v>
      </c>
      <c r="T659" s="2">
        <f>IF(Procurement_kpi_Analysis[[#This Row],[Compliance]]="No",1,0)</f>
        <v>0</v>
      </c>
    </row>
    <row r="660" spans="1:20" x14ac:dyDescent="0.3">
      <c r="A660" t="s">
        <v>685</v>
      </c>
      <c r="B660" t="s">
        <v>29</v>
      </c>
      <c r="C660" s="1">
        <v>44716</v>
      </c>
      <c r="D660" s="1">
        <v>44729</v>
      </c>
      <c r="E660" t="s">
        <v>24</v>
      </c>
      <c r="F660" t="s">
        <v>33</v>
      </c>
      <c r="G660">
        <v>851</v>
      </c>
      <c r="H660">
        <v>20.440000000000001</v>
      </c>
      <c r="I660">
        <v>19.22</v>
      </c>
      <c r="J660">
        <v>22</v>
      </c>
      <c r="K660" t="s">
        <v>15</v>
      </c>
      <c r="L660">
        <f>Procurement_kpi_Analysis[[#This Row],[Quantity]]*Procurement_kpi_Analysis[[#This Row],[Negotiated_Price]]</f>
        <v>16356.22</v>
      </c>
      <c r="M660">
        <f>IF(Procurement_kpi_Analysis[[#This Row],[Delivery_Date]]="","",Procurement_kpi_Analysis[[#This Row],[Delivery_Date]]-Procurement_kpi_Analysis[[#This Row],[Order_Date]])</f>
        <v>13</v>
      </c>
      <c r="N660" s="2">
        <f>Procurement_kpi_Analysis[[#This Row],[Defective_Units]]/Procurement_kpi_Analysis[[#This Row],[Quantity]]</f>
        <v>2.5851938895417155E-2</v>
      </c>
      <c r="O660" s="2">
        <f>(Procurement_kpi_Analysis[[#This Row],[Unit_Price]]-Procurement_kpi_Analysis[[#This Row],[Negotiated_Price]])*Procurement_kpi_Analysis[[#This Row],[Quantity]]</f>
        <v>1038.2200000000021</v>
      </c>
      <c r="P660" s="2">
        <f>Procurement_kpi_Analysis[[#This Row],[Total Savings]]/Procurement_kpi_Analysis[[#This Row],[Total Spend]]</f>
        <v>6.3475546305931455E-2</v>
      </c>
      <c r="Q660" s="2" t="str">
        <f>IF(Procurement_kpi_Analysis[[#This Row],[Lead Time]]&lt;=14,"On Time","Late")</f>
        <v>On Time</v>
      </c>
      <c r="R660" s="2">
        <f>Procurement_kpi_Analysis[[#This Row],[Unit_Price]]*Procurement_kpi_Analysis[[#This Row],[Quantity]]</f>
        <v>17394.440000000002</v>
      </c>
      <c r="S660" s="2">
        <f>IF(Procurement_kpi_Analysis[[#This Row],[Compliance]]="Yes",1,0)</f>
        <v>1</v>
      </c>
      <c r="T660" s="2">
        <f>IF(Procurement_kpi_Analysis[[#This Row],[Compliance]]="No",1,0)</f>
        <v>0</v>
      </c>
    </row>
    <row r="661" spans="1:20" x14ac:dyDescent="0.3">
      <c r="A661" t="s">
        <v>686</v>
      </c>
      <c r="B661" t="s">
        <v>29</v>
      </c>
      <c r="C661" s="1">
        <v>44798</v>
      </c>
      <c r="D661" s="1">
        <v>44811</v>
      </c>
      <c r="E661" t="s">
        <v>21</v>
      </c>
      <c r="F661" t="s">
        <v>14</v>
      </c>
      <c r="G661">
        <v>1253</v>
      </c>
      <c r="H661">
        <v>43.38</v>
      </c>
      <c r="I661">
        <v>38.01</v>
      </c>
      <c r="J661">
        <v>34</v>
      </c>
      <c r="K661" t="s">
        <v>15</v>
      </c>
      <c r="L661">
        <f>Procurement_kpi_Analysis[[#This Row],[Quantity]]*Procurement_kpi_Analysis[[#This Row],[Negotiated_Price]]</f>
        <v>47626.53</v>
      </c>
      <c r="M661">
        <f>IF(Procurement_kpi_Analysis[[#This Row],[Delivery_Date]]="","",Procurement_kpi_Analysis[[#This Row],[Delivery_Date]]-Procurement_kpi_Analysis[[#This Row],[Order_Date]])</f>
        <v>13</v>
      </c>
      <c r="N661" s="2">
        <f>Procurement_kpi_Analysis[[#This Row],[Defective_Units]]/Procurement_kpi_Analysis[[#This Row],[Quantity]]</f>
        <v>2.7134876296887472E-2</v>
      </c>
      <c r="O661" s="2">
        <f>(Procurement_kpi_Analysis[[#This Row],[Unit_Price]]-Procurement_kpi_Analysis[[#This Row],[Negotiated_Price]])*Procurement_kpi_Analysis[[#This Row],[Quantity]]</f>
        <v>6728.610000000006</v>
      </c>
      <c r="P661" s="2">
        <f>Procurement_kpi_Analysis[[#This Row],[Total Savings]]/Procurement_kpi_Analysis[[#This Row],[Total Spend]]</f>
        <v>0.14127861089187069</v>
      </c>
      <c r="Q661" s="2" t="str">
        <f>IF(Procurement_kpi_Analysis[[#This Row],[Lead Time]]&lt;=14,"On Time","Late")</f>
        <v>On Time</v>
      </c>
      <c r="R661" s="2">
        <f>Procurement_kpi_Analysis[[#This Row],[Unit_Price]]*Procurement_kpi_Analysis[[#This Row],[Quantity]]</f>
        <v>54355.140000000007</v>
      </c>
      <c r="S661" s="2">
        <f>IF(Procurement_kpi_Analysis[[#This Row],[Compliance]]="Yes",1,0)</f>
        <v>1</v>
      </c>
      <c r="T661" s="2">
        <f>IF(Procurement_kpi_Analysis[[#This Row],[Compliance]]="No",1,0)</f>
        <v>0</v>
      </c>
    </row>
    <row r="662" spans="1:20" x14ac:dyDescent="0.3">
      <c r="A662" t="s">
        <v>687</v>
      </c>
      <c r="B662" t="s">
        <v>12</v>
      </c>
      <c r="C662" s="1">
        <v>44954</v>
      </c>
      <c r="D662" s="1">
        <v>44972</v>
      </c>
      <c r="E662" t="s">
        <v>39</v>
      </c>
      <c r="F662" t="s">
        <v>18</v>
      </c>
      <c r="G662">
        <v>1296</v>
      </c>
      <c r="H662">
        <v>38</v>
      </c>
      <c r="I662">
        <v>33.42</v>
      </c>
      <c r="J662">
        <v>33</v>
      </c>
      <c r="K662" t="s">
        <v>15</v>
      </c>
      <c r="L662">
        <f>Procurement_kpi_Analysis[[#This Row],[Quantity]]*Procurement_kpi_Analysis[[#This Row],[Negotiated_Price]]</f>
        <v>43312.32</v>
      </c>
      <c r="M662">
        <f>IF(Procurement_kpi_Analysis[[#This Row],[Delivery_Date]]="","",Procurement_kpi_Analysis[[#This Row],[Delivery_Date]]-Procurement_kpi_Analysis[[#This Row],[Order_Date]])</f>
        <v>18</v>
      </c>
      <c r="N662" s="2">
        <f>Procurement_kpi_Analysis[[#This Row],[Defective_Units]]/Procurement_kpi_Analysis[[#This Row],[Quantity]]</f>
        <v>2.5462962962962962E-2</v>
      </c>
      <c r="O662" s="2">
        <f>(Procurement_kpi_Analysis[[#This Row],[Unit_Price]]-Procurement_kpi_Analysis[[#This Row],[Negotiated_Price]])*Procurement_kpi_Analysis[[#This Row],[Quantity]]</f>
        <v>5935.6799999999976</v>
      </c>
      <c r="P662" s="2">
        <f>Procurement_kpi_Analysis[[#This Row],[Total Savings]]/Procurement_kpi_Analysis[[#This Row],[Total Spend]]</f>
        <v>0.13704368641532011</v>
      </c>
      <c r="Q662" s="2" t="str">
        <f>IF(Procurement_kpi_Analysis[[#This Row],[Lead Time]]&lt;=14,"On Time","Late")</f>
        <v>Late</v>
      </c>
      <c r="R662" s="2">
        <f>Procurement_kpi_Analysis[[#This Row],[Unit_Price]]*Procurement_kpi_Analysis[[#This Row],[Quantity]]</f>
        <v>49248</v>
      </c>
      <c r="S662" s="2">
        <f>IF(Procurement_kpi_Analysis[[#This Row],[Compliance]]="Yes",1,0)</f>
        <v>1</v>
      </c>
      <c r="T662" s="2">
        <f>IF(Procurement_kpi_Analysis[[#This Row],[Compliance]]="No",1,0)</f>
        <v>0</v>
      </c>
    </row>
    <row r="663" spans="1:20" x14ac:dyDescent="0.3">
      <c r="A663" t="s">
        <v>688</v>
      </c>
      <c r="B663" t="s">
        <v>23</v>
      </c>
      <c r="C663" s="1">
        <v>45272</v>
      </c>
      <c r="D663" s="1">
        <v>45290</v>
      </c>
      <c r="E663" t="s">
        <v>26</v>
      </c>
      <c r="F663" t="s">
        <v>18</v>
      </c>
      <c r="G663">
        <v>1979</v>
      </c>
      <c r="H663">
        <v>40.880000000000003</v>
      </c>
      <c r="I663">
        <v>39.46</v>
      </c>
      <c r="J663">
        <v>221</v>
      </c>
      <c r="K663" t="s">
        <v>15</v>
      </c>
      <c r="L663">
        <f>Procurement_kpi_Analysis[[#This Row],[Quantity]]*Procurement_kpi_Analysis[[#This Row],[Negotiated_Price]]</f>
        <v>78091.34</v>
      </c>
      <c r="M663">
        <f>IF(Procurement_kpi_Analysis[[#This Row],[Delivery_Date]]="","",Procurement_kpi_Analysis[[#This Row],[Delivery_Date]]-Procurement_kpi_Analysis[[#This Row],[Order_Date]])</f>
        <v>18</v>
      </c>
      <c r="N663" s="2">
        <f>Procurement_kpi_Analysis[[#This Row],[Defective_Units]]/Procurement_kpi_Analysis[[#This Row],[Quantity]]</f>
        <v>0.11167256189994947</v>
      </c>
      <c r="O663" s="2">
        <f>(Procurement_kpi_Analysis[[#This Row],[Unit_Price]]-Procurement_kpi_Analysis[[#This Row],[Negotiated_Price]])*Procurement_kpi_Analysis[[#This Row],[Quantity]]</f>
        <v>2810.1800000000035</v>
      </c>
      <c r="P663" s="2">
        <f>Procurement_kpi_Analysis[[#This Row],[Total Savings]]/Procurement_kpi_Analysis[[#This Row],[Total Spend]]</f>
        <v>3.5985808413583419E-2</v>
      </c>
      <c r="Q663" s="2" t="str">
        <f>IF(Procurement_kpi_Analysis[[#This Row],[Lead Time]]&lt;=14,"On Time","Late")</f>
        <v>Late</v>
      </c>
      <c r="R663" s="2">
        <f>Procurement_kpi_Analysis[[#This Row],[Unit_Price]]*Procurement_kpi_Analysis[[#This Row],[Quantity]]</f>
        <v>80901.52</v>
      </c>
      <c r="S663" s="2">
        <f>IF(Procurement_kpi_Analysis[[#This Row],[Compliance]]="Yes",1,0)</f>
        <v>1</v>
      </c>
      <c r="T663" s="2">
        <f>IF(Procurement_kpi_Analysis[[#This Row],[Compliance]]="No",1,0)</f>
        <v>0</v>
      </c>
    </row>
    <row r="664" spans="1:20" x14ac:dyDescent="0.3">
      <c r="A664" t="s">
        <v>689</v>
      </c>
      <c r="B664" t="s">
        <v>20</v>
      </c>
      <c r="C664" s="1">
        <v>44718</v>
      </c>
      <c r="D664" s="1">
        <v>44731</v>
      </c>
      <c r="E664" t="s">
        <v>13</v>
      </c>
      <c r="F664" t="s">
        <v>18</v>
      </c>
      <c r="G664">
        <v>811</v>
      </c>
      <c r="H664">
        <v>31.8</v>
      </c>
      <c r="I664">
        <v>30.33</v>
      </c>
      <c r="J664">
        <v>58</v>
      </c>
      <c r="K664" t="s">
        <v>15</v>
      </c>
      <c r="L664">
        <f>Procurement_kpi_Analysis[[#This Row],[Quantity]]*Procurement_kpi_Analysis[[#This Row],[Negotiated_Price]]</f>
        <v>24597.629999999997</v>
      </c>
      <c r="M664">
        <f>IF(Procurement_kpi_Analysis[[#This Row],[Delivery_Date]]="","",Procurement_kpi_Analysis[[#This Row],[Delivery_Date]]-Procurement_kpi_Analysis[[#This Row],[Order_Date]])</f>
        <v>13</v>
      </c>
      <c r="N664" s="2">
        <f>Procurement_kpi_Analysis[[#This Row],[Defective_Units]]/Procurement_kpi_Analysis[[#This Row],[Quantity]]</f>
        <v>7.1516646115906288E-2</v>
      </c>
      <c r="O664" s="2">
        <f>(Procurement_kpi_Analysis[[#This Row],[Unit_Price]]-Procurement_kpi_Analysis[[#This Row],[Negotiated_Price]])*Procurement_kpi_Analysis[[#This Row],[Quantity]]</f>
        <v>1192.1700000000019</v>
      </c>
      <c r="P664" s="2">
        <f>Procurement_kpi_Analysis[[#This Row],[Total Savings]]/Procurement_kpi_Analysis[[#This Row],[Total Spend]]</f>
        <v>4.8466864490603445E-2</v>
      </c>
      <c r="Q664" s="2" t="str">
        <f>IF(Procurement_kpi_Analysis[[#This Row],[Lead Time]]&lt;=14,"On Time","Late")</f>
        <v>On Time</v>
      </c>
      <c r="R664" s="2">
        <f>Procurement_kpi_Analysis[[#This Row],[Unit_Price]]*Procurement_kpi_Analysis[[#This Row],[Quantity]]</f>
        <v>25789.8</v>
      </c>
      <c r="S664" s="2">
        <f>IF(Procurement_kpi_Analysis[[#This Row],[Compliance]]="Yes",1,0)</f>
        <v>1</v>
      </c>
      <c r="T664" s="2">
        <f>IF(Procurement_kpi_Analysis[[#This Row],[Compliance]]="No",1,0)</f>
        <v>0</v>
      </c>
    </row>
    <row r="665" spans="1:20" x14ac:dyDescent="0.3">
      <c r="A665" t="s">
        <v>690</v>
      </c>
      <c r="B665" t="s">
        <v>12</v>
      </c>
      <c r="C665" s="1">
        <v>45285</v>
      </c>
      <c r="D665" s="1">
        <v>45303</v>
      </c>
      <c r="E665" t="s">
        <v>39</v>
      </c>
      <c r="F665" t="s">
        <v>18</v>
      </c>
      <c r="G665">
        <v>1732</v>
      </c>
      <c r="H665">
        <v>15.37</v>
      </c>
      <c r="I665">
        <v>14.7</v>
      </c>
      <c r="J665">
        <v>38</v>
      </c>
      <c r="K665" t="s">
        <v>15</v>
      </c>
      <c r="L665">
        <f>Procurement_kpi_Analysis[[#This Row],[Quantity]]*Procurement_kpi_Analysis[[#This Row],[Negotiated_Price]]</f>
        <v>25460.399999999998</v>
      </c>
      <c r="M665">
        <f>IF(Procurement_kpi_Analysis[[#This Row],[Delivery_Date]]="","",Procurement_kpi_Analysis[[#This Row],[Delivery_Date]]-Procurement_kpi_Analysis[[#This Row],[Order_Date]])</f>
        <v>18</v>
      </c>
      <c r="N665" s="2">
        <f>Procurement_kpi_Analysis[[#This Row],[Defective_Units]]/Procurement_kpi_Analysis[[#This Row],[Quantity]]</f>
        <v>2.1939953810623556E-2</v>
      </c>
      <c r="O665" s="2">
        <f>(Procurement_kpi_Analysis[[#This Row],[Unit_Price]]-Procurement_kpi_Analysis[[#This Row],[Negotiated_Price]])*Procurement_kpi_Analysis[[#This Row],[Quantity]]</f>
        <v>1160.4399999999998</v>
      </c>
      <c r="P665" s="2">
        <f>Procurement_kpi_Analysis[[#This Row],[Total Savings]]/Procurement_kpi_Analysis[[#This Row],[Total Spend]]</f>
        <v>4.5578231292517001E-2</v>
      </c>
      <c r="Q665" s="2" t="str">
        <f>IF(Procurement_kpi_Analysis[[#This Row],[Lead Time]]&lt;=14,"On Time","Late")</f>
        <v>Late</v>
      </c>
      <c r="R665" s="2">
        <f>Procurement_kpi_Analysis[[#This Row],[Unit_Price]]*Procurement_kpi_Analysis[[#This Row],[Quantity]]</f>
        <v>26620.84</v>
      </c>
      <c r="S665" s="2">
        <f>IF(Procurement_kpi_Analysis[[#This Row],[Compliance]]="Yes",1,0)</f>
        <v>1</v>
      </c>
      <c r="T665" s="2">
        <f>IF(Procurement_kpi_Analysis[[#This Row],[Compliance]]="No",1,0)</f>
        <v>0</v>
      </c>
    </row>
    <row r="666" spans="1:20" x14ac:dyDescent="0.3">
      <c r="A666" t="s">
        <v>691</v>
      </c>
      <c r="B666" t="s">
        <v>23</v>
      </c>
      <c r="C666" s="1">
        <v>44781</v>
      </c>
      <c r="D666" s="1">
        <v>44801</v>
      </c>
      <c r="E666" t="s">
        <v>24</v>
      </c>
      <c r="F666" t="s">
        <v>18</v>
      </c>
      <c r="G666">
        <v>491</v>
      </c>
      <c r="H666">
        <v>12.01</v>
      </c>
      <c r="I666">
        <v>11.67</v>
      </c>
      <c r="J666">
        <v>47</v>
      </c>
      <c r="K666" t="s">
        <v>15</v>
      </c>
      <c r="L666">
        <f>Procurement_kpi_Analysis[[#This Row],[Quantity]]*Procurement_kpi_Analysis[[#This Row],[Negotiated_Price]]</f>
        <v>5729.97</v>
      </c>
      <c r="M666">
        <f>IF(Procurement_kpi_Analysis[[#This Row],[Delivery_Date]]="","",Procurement_kpi_Analysis[[#This Row],[Delivery_Date]]-Procurement_kpi_Analysis[[#This Row],[Order_Date]])</f>
        <v>20</v>
      </c>
      <c r="N666" s="2">
        <f>Procurement_kpi_Analysis[[#This Row],[Defective_Units]]/Procurement_kpi_Analysis[[#This Row],[Quantity]]</f>
        <v>9.5723014256619138E-2</v>
      </c>
      <c r="O666" s="2">
        <f>(Procurement_kpi_Analysis[[#This Row],[Unit_Price]]-Procurement_kpi_Analysis[[#This Row],[Negotiated_Price]])*Procurement_kpi_Analysis[[#This Row],[Quantity]]</f>
        <v>166.93999999999994</v>
      </c>
      <c r="P666" s="2">
        <f>Procurement_kpi_Analysis[[#This Row],[Total Savings]]/Procurement_kpi_Analysis[[#This Row],[Total Spend]]</f>
        <v>2.913453299057411E-2</v>
      </c>
      <c r="Q666" s="2" t="str">
        <f>IF(Procurement_kpi_Analysis[[#This Row],[Lead Time]]&lt;=14,"On Time","Late")</f>
        <v>Late</v>
      </c>
      <c r="R666" s="2">
        <f>Procurement_kpi_Analysis[[#This Row],[Unit_Price]]*Procurement_kpi_Analysis[[#This Row],[Quantity]]</f>
        <v>5896.91</v>
      </c>
      <c r="S666" s="2">
        <f>IF(Procurement_kpi_Analysis[[#This Row],[Compliance]]="Yes",1,0)</f>
        <v>1</v>
      </c>
      <c r="T666" s="2">
        <f>IF(Procurement_kpi_Analysis[[#This Row],[Compliance]]="No",1,0)</f>
        <v>0</v>
      </c>
    </row>
    <row r="667" spans="1:20" x14ac:dyDescent="0.3">
      <c r="A667" t="s">
        <v>692</v>
      </c>
      <c r="B667" t="s">
        <v>20</v>
      </c>
      <c r="C667" s="1">
        <v>44627</v>
      </c>
      <c r="D667" s="1">
        <v>44631</v>
      </c>
      <c r="E667" t="s">
        <v>24</v>
      </c>
      <c r="F667" t="s">
        <v>14</v>
      </c>
      <c r="G667">
        <v>1681</v>
      </c>
      <c r="H667">
        <v>99.88</v>
      </c>
      <c r="I667">
        <v>96.38</v>
      </c>
      <c r="J667">
        <v>90</v>
      </c>
      <c r="K667" t="s">
        <v>15</v>
      </c>
      <c r="L667">
        <f>Procurement_kpi_Analysis[[#This Row],[Quantity]]*Procurement_kpi_Analysis[[#This Row],[Negotiated_Price]]</f>
        <v>162014.78</v>
      </c>
      <c r="M667">
        <f>IF(Procurement_kpi_Analysis[[#This Row],[Delivery_Date]]="","",Procurement_kpi_Analysis[[#This Row],[Delivery_Date]]-Procurement_kpi_Analysis[[#This Row],[Order_Date]])</f>
        <v>4</v>
      </c>
      <c r="N667" s="2">
        <f>Procurement_kpi_Analysis[[#This Row],[Defective_Units]]/Procurement_kpi_Analysis[[#This Row],[Quantity]]</f>
        <v>5.353955978584176E-2</v>
      </c>
      <c r="O667" s="2">
        <f>(Procurement_kpi_Analysis[[#This Row],[Unit_Price]]-Procurement_kpi_Analysis[[#This Row],[Negotiated_Price]])*Procurement_kpi_Analysis[[#This Row],[Quantity]]</f>
        <v>5883.5</v>
      </c>
      <c r="P667" s="2">
        <f>Procurement_kpi_Analysis[[#This Row],[Total Savings]]/Procurement_kpi_Analysis[[#This Row],[Total Spend]]</f>
        <v>3.631458808881511E-2</v>
      </c>
      <c r="Q667" s="2" t="str">
        <f>IF(Procurement_kpi_Analysis[[#This Row],[Lead Time]]&lt;=14,"On Time","Late")</f>
        <v>On Time</v>
      </c>
      <c r="R667" s="2">
        <f>Procurement_kpi_Analysis[[#This Row],[Unit_Price]]*Procurement_kpi_Analysis[[#This Row],[Quantity]]</f>
        <v>167898.28</v>
      </c>
      <c r="S667" s="2">
        <f>IF(Procurement_kpi_Analysis[[#This Row],[Compliance]]="Yes",1,0)</f>
        <v>1</v>
      </c>
      <c r="T667" s="2">
        <f>IF(Procurement_kpi_Analysis[[#This Row],[Compliance]]="No",1,0)</f>
        <v>0</v>
      </c>
    </row>
    <row r="668" spans="1:20" x14ac:dyDescent="0.3">
      <c r="A668" t="s">
        <v>693</v>
      </c>
      <c r="B668" t="s">
        <v>12</v>
      </c>
      <c r="C668" s="1">
        <v>44986</v>
      </c>
      <c r="D668" s="1">
        <v>44990</v>
      </c>
      <c r="E668" t="s">
        <v>26</v>
      </c>
      <c r="F668" t="s">
        <v>33</v>
      </c>
      <c r="G668">
        <v>818</v>
      </c>
      <c r="H668">
        <v>51.89</v>
      </c>
      <c r="I668">
        <v>47.85</v>
      </c>
      <c r="J668">
        <v>12</v>
      </c>
      <c r="K668" t="s">
        <v>15</v>
      </c>
      <c r="L668">
        <f>Procurement_kpi_Analysis[[#This Row],[Quantity]]*Procurement_kpi_Analysis[[#This Row],[Negotiated_Price]]</f>
        <v>39141.300000000003</v>
      </c>
      <c r="M668">
        <f>IF(Procurement_kpi_Analysis[[#This Row],[Delivery_Date]]="","",Procurement_kpi_Analysis[[#This Row],[Delivery_Date]]-Procurement_kpi_Analysis[[#This Row],[Order_Date]])</f>
        <v>4</v>
      </c>
      <c r="N668" s="2">
        <f>Procurement_kpi_Analysis[[#This Row],[Defective_Units]]/Procurement_kpi_Analysis[[#This Row],[Quantity]]</f>
        <v>1.4669926650366748E-2</v>
      </c>
      <c r="O668" s="2">
        <f>(Procurement_kpi_Analysis[[#This Row],[Unit_Price]]-Procurement_kpi_Analysis[[#This Row],[Negotiated_Price]])*Procurement_kpi_Analysis[[#This Row],[Quantity]]</f>
        <v>3304.7199999999993</v>
      </c>
      <c r="P668" s="2">
        <f>Procurement_kpi_Analysis[[#This Row],[Total Savings]]/Procurement_kpi_Analysis[[#This Row],[Total Spend]]</f>
        <v>8.4430512016718889E-2</v>
      </c>
      <c r="Q668" s="2" t="str">
        <f>IF(Procurement_kpi_Analysis[[#This Row],[Lead Time]]&lt;=14,"On Time","Late")</f>
        <v>On Time</v>
      </c>
      <c r="R668" s="2">
        <f>Procurement_kpi_Analysis[[#This Row],[Unit_Price]]*Procurement_kpi_Analysis[[#This Row],[Quantity]]</f>
        <v>42446.020000000004</v>
      </c>
      <c r="S668" s="2">
        <f>IF(Procurement_kpi_Analysis[[#This Row],[Compliance]]="Yes",1,0)</f>
        <v>1</v>
      </c>
      <c r="T668" s="2">
        <f>IF(Procurement_kpi_Analysis[[#This Row],[Compliance]]="No",1,0)</f>
        <v>0</v>
      </c>
    </row>
    <row r="669" spans="1:20" x14ac:dyDescent="0.3">
      <c r="A669" t="s">
        <v>694</v>
      </c>
      <c r="B669" t="s">
        <v>23</v>
      </c>
      <c r="C669" s="1">
        <v>44979</v>
      </c>
      <c r="D669" s="1">
        <v>44990</v>
      </c>
      <c r="E669" t="s">
        <v>13</v>
      </c>
      <c r="F669" t="s">
        <v>18</v>
      </c>
      <c r="G669">
        <v>1065</v>
      </c>
      <c r="H669">
        <v>47.49</v>
      </c>
      <c r="I669">
        <v>41.42</v>
      </c>
      <c r="J669">
        <v>113</v>
      </c>
      <c r="K669" t="s">
        <v>15</v>
      </c>
      <c r="L669">
        <f>Procurement_kpi_Analysis[[#This Row],[Quantity]]*Procurement_kpi_Analysis[[#This Row],[Negotiated_Price]]</f>
        <v>44112.3</v>
      </c>
      <c r="M669">
        <f>IF(Procurement_kpi_Analysis[[#This Row],[Delivery_Date]]="","",Procurement_kpi_Analysis[[#This Row],[Delivery_Date]]-Procurement_kpi_Analysis[[#This Row],[Order_Date]])</f>
        <v>11</v>
      </c>
      <c r="N669" s="2">
        <f>Procurement_kpi_Analysis[[#This Row],[Defective_Units]]/Procurement_kpi_Analysis[[#This Row],[Quantity]]</f>
        <v>0.10610328638497653</v>
      </c>
      <c r="O669" s="2">
        <f>(Procurement_kpi_Analysis[[#This Row],[Unit_Price]]-Procurement_kpi_Analysis[[#This Row],[Negotiated_Price]])*Procurement_kpi_Analysis[[#This Row],[Quantity]]</f>
        <v>6464.55</v>
      </c>
      <c r="P669" s="2">
        <f>Procurement_kpi_Analysis[[#This Row],[Total Savings]]/Procurement_kpi_Analysis[[#This Row],[Total Spend]]</f>
        <v>0.14654756156446161</v>
      </c>
      <c r="Q669" s="2" t="str">
        <f>IF(Procurement_kpi_Analysis[[#This Row],[Lead Time]]&lt;=14,"On Time","Late")</f>
        <v>On Time</v>
      </c>
      <c r="R669" s="2">
        <f>Procurement_kpi_Analysis[[#This Row],[Unit_Price]]*Procurement_kpi_Analysis[[#This Row],[Quantity]]</f>
        <v>50576.85</v>
      </c>
      <c r="S669" s="2">
        <f>IF(Procurement_kpi_Analysis[[#This Row],[Compliance]]="Yes",1,0)</f>
        <v>1</v>
      </c>
      <c r="T669" s="2">
        <f>IF(Procurement_kpi_Analysis[[#This Row],[Compliance]]="No",1,0)</f>
        <v>0</v>
      </c>
    </row>
    <row r="670" spans="1:20" x14ac:dyDescent="0.3">
      <c r="A670" t="s">
        <v>695</v>
      </c>
      <c r="B670" t="s">
        <v>20</v>
      </c>
      <c r="C670" s="1">
        <v>44900</v>
      </c>
      <c r="D670" s="1">
        <v>44912</v>
      </c>
      <c r="E670" t="s">
        <v>24</v>
      </c>
      <c r="F670" t="s">
        <v>18</v>
      </c>
      <c r="G670">
        <v>1398</v>
      </c>
      <c r="H670">
        <v>75.08</v>
      </c>
      <c r="I670">
        <v>67.09</v>
      </c>
      <c r="J670">
        <v>57</v>
      </c>
      <c r="K670" t="s">
        <v>15</v>
      </c>
      <c r="L670">
        <f>Procurement_kpi_Analysis[[#This Row],[Quantity]]*Procurement_kpi_Analysis[[#This Row],[Negotiated_Price]]</f>
        <v>93791.82</v>
      </c>
      <c r="M670">
        <f>IF(Procurement_kpi_Analysis[[#This Row],[Delivery_Date]]="","",Procurement_kpi_Analysis[[#This Row],[Delivery_Date]]-Procurement_kpi_Analysis[[#This Row],[Order_Date]])</f>
        <v>12</v>
      </c>
      <c r="N670" s="2">
        <f>Procurement_kpi_Analysis[[#This Row],[Defective_Units]]/Procurement_kpi_Analysis[[#This Row],[Quantity]]</f>
        <v>4.07725321888412E-2</v>
      </c>
      <c r="O670" s="2">
        <f>(Procurement_kpi_Analysis[[#This Row],[Unit_Price]]-Procurement_kpi_Analysis[[#This Row],[Negotiated_Price]])*Procurement_kpi_Analysis[[#This Row],[Quantity]]</f>
        <v>11170.019999999993</v>
      </c>
      <c r="P670" s="2">
        <f>Procurement_kpi_Analysis[[#This Row],[Total Savings]]/Procurement_kpi_Analysis[[#This Row],[Total Spend]]</f>
        <v>0.11909375465792212</v>
      </c>
      <c r="Q670" s="2" t="str">
        <f>IF(Procurement_kpi_Analysis[[#This Row],[Lead Time]]&lt;=14,"On Time","Late")</f>
        <v>On Time</v>
      </c>
      <c r="R670" s="2">
        <f>Procurement_kpi_Analysis[[#This Row],[Unit_Price]]*Procurement_kpi_Analysis[[#This Row],[Quantity]]</f>
        <v>104961.84</v>
      </c>
      <c r="S670" s="2">
        <f>IF(Procurement_kpi_Analysis[[#This Row],[Compliance]]="Yes",1,0)</f>
        <v>1</v>
      </c>
      <c r="T670" s="2">
        <f>IF(Procurement_kpi_Analysis[[#This Row],[Compliance]]="No",1,0)</f>
        <v>0</v>
      </c>
    </row>
    <row r="671" spans="1:20" x14ac:dyDescent="0.3">
      <c r="A671" t="s">
        <v>696</v>
      </c>
      <c r="B671" t="s">
        <v>23</v>
      </c>
      <c r="C671" s="1">
        <v>45117</v>
      </c>
      <c r="D671" s="1">
        <v>45124</v>
      </c>
      <c r="E671" t="s">
        <v>24</v>
      </c>
      <c r="F671" t="s">
        <v>18</v>
      </c>
      <c r="G671">
        <v>565</v>
      </c>
      <c r="H671">
        <v>32.31</v>
      </c>
      <c r="I671">
        <v>29.76</v>
      </c>
      <c r="J671">
        <v>60</v>
      </c>
      <c r="K671" t="s">
        <v>15</v>
      </c>
      <c r="L671">
        <f>Procurement_kpi_Analysis[[#This Row],[Quantity]]*Procurement_kpi_Analysis[[#This Row],[Negotiated_Price]]</f>
        <v>16814.400000000001</v>
      </c>
      <c r="M671">
        <f>IF(Procurement_kpi_Analysis[[#This Row],[Delivery_Date]]="","",Procurement_kpi_Analysis[[#This Row],[Delivery_Date]]-Procurement_kpi_Analysis[[#This Row],[Order_Date]])</f>
        <v>7</v>
      </c>
      <c r="N671" s="2">
        <f>Procurement_kpi_Analysis[[#This Row],[Defective_Units]]/Procurement_kpi_Analysis[[#This Row],[Quantity]]</f>
        <v>0.10619469026548672</v>
      </c>
      <c r="O671" s="2">
        <f>(Procurement_kpi_Analysis[[#This Row],[Unit_Price]]-Procurement_kpi_Analysis[[#This Row],[Negotiated_Price]])*Procurement_kpi_Analysis[[#This Row],[Quantity]]</f>
        <v>1440.7500000000005</v>
      </c>
      <c r="P671" s="2">
        <f>Procurement_kpi_Analysis[[#This Row],[Total Savings]]/Procurement_kpi_Analysis[[#This Row],[Total Spend]]</f>
        <v>8.5685483870967763E-2</v>
      </c>
      <c r="Q671" s="2" t="str">
        <f>IF(Procurement_kpi_Analysis[[#This Row],[Lead Time]]&lt;=14,"On Time","Late")</f>
        <v>On Time</v>
      </c>
      <c r="R671" s="2">
        <f>Procurement_kpi_Analysis[[#This Row],[Unit_Price]]*Procurement_kpi_Analysis[[#This Row],[Quantity]]</f>
        <v>18255.150000000001</v>
      </c>
      <c r="S671" s="2">
        <f>IF(Procurement_kpi_Analysis[[#This Row],[Compliance]]="Yes",1,0)</f>
        <v>1</v>
      </c>
      <c r="T671" s="2">
        <f>IF(Procurement_kpi_Analysis[[#This Row],[Compliance]]="No",1,0)</f>
        <v>0</v>
      </c>
    </row>
    <row r="672" spans="1:20" x14ac:dyDescent="0.3">
      <c r="A672" t="s">
        <v>697</v>
      </c>
      <c r="B672" t="s">
        <v>29</v>
      </c>
      <c r="C672" s="1">
        <v>45039</v>
      </c>
      <c r="D672" s="1">
        <v>45052</v>
      </c>
      <c r="E672" t="s">
        <v>24</v>
      </c>
      <c r="F672" t="s">
        <v>35</v>
      </c>
      <c r="G672">
        <v>1089</v>
      </c>
      <c r="H672">
        <v>102.66</v>
      </c>
      <c r="I672">
        <v>89.21</v>
      </c>
      <c r="J672">
        <v>33</v>
      </c>
      <c r="K672" t="s">
        <v>15</v>
      </c>
      <c r="L672">
        <f>Procurement_kpi_Analysis[[#This Row],[Quantity]]*Procurement_kpi_Analysis[[#This Row],[Negotiated_Price]]</f>
        <v>97149.689999999988</v>
      </c>
      <c r="M672">
        <f>IF(Procurement_kpi_Analysis[[#This Row],[Delivery_Date]]="","",Procurement_kpi_Analysis[[#This Row],[Delivery_Date]]-Procurement_kpi_Analysis[[#This Row],[Order_Date]])</f>
        <v>13</v>
      </c>
      <c r="N672" s="2">
        <f>Procurement_kpi_Analysis[[#This Row],[Defective_Units]]/Procurement_kpi_Analysis[[#This Row],[Quantity]]</f>
        <v>3.0303030303030304E-2</v>
      </c>
      <c r="O672" s="2">
        <f>(Procurement_kpi_Analysis[[#This Row],[Unit_Price]]-Procurement_kpi_Analysis[[#This Row],[Negotiated_Price]])*Procurement_kpi_Analysis[[#This Row],[Quantity]]</f>
        <v>14647.050000000003</v>
      </c>
      <c r="P672" s="2">
        <f>Procurement_kpi_Analysis[[#This Row],[Total Savings]]/Procurement_kpi_Analysis[[#This Row],[Total Spend]]</f>
        <v>0.15076785113776486</v>
      </c>
      <c r="Q672" s="2" t="str">
        <f>IF(Procurement_kpi_Analysis[[#This Row],[Lead Time]]&lt;=14,"On Time","Late")</f>
        <v>On Time</v>
      </c>
      <c r="R672" s="2">
        <f>Procurement_kpi_Analysis[[#This Row],[Unit_Price]]*Procurement_kpi_Analysis[[#This Row],[Quantity]]</f>
        <v>111796.73999999999</v>
      </c>
      <c r="S672" s="2">
        <f>IF(Procurement_kpi_Analysis[[#This Row],[Compliance]]="Yes",1,0)</f>
        <v>1</v>
      </c>
      <c r="T672" s="2">
        <f>IF(Procurement_kpi_Analysis[[#This Row],[Compliance]]="No",1,0)</f>
        <v>0</v>
      </c>
    </row>
    <row r="673" spans="1:20" x14ac:dyDescent="0.3">
      <c r="A673" t="s">
        <v>698</v>
      </c>
      <c r="B673" t="s">
        <v>17</v>
      </c>
      <c r="C673" s="1">
        <v>44987</v>
      </c>
      <c r="D673" s="1">
        <v>44989</v>
      </c>
      <c r="E673" t="s">
        <v>39</v>
      </c>
      <c r="F673" t="s">
        <v>18</v>
      </c>
      <c r="G673">
        <v>841</v>
      </c>
      <c r="H673">
        <v>86.43</v>
      </c>
      <c r="I673">
        <v>83.77</v>
      </c>
      <c r="J673">
        <v>125</v>
      </c>
      <c r="K673" t="s">
        <v>27</v>
      </c>
      <c r="L673">
        <f>Procurement_kpi_Analysis[[#This Row],[Quantity]]*Procurement_kpi_Analysis[[#This Row],[Negotiated_Price]]</f>
        <v>70450.569999999992</v>
      </c>
      <c r="M673">
        <f>IF(Procurement_kpi_Analysis[[#This Row],[Delivery_Date]]="","",Procurement_kpi_Analysis[[#This Row],[Delivery_Date]]-Procurement_kpi_Analysis[[#This Row],[Order_Date]])</f>
        <v>2</v>
      </c>
      <c r="N673" s="2">
        <f>Procurement_kpi_Analysis[[#This Row],[Defective_Units]]/Procurement_kpi_Analysis[[#This Row],[Quantity]]</f>
        <v>0.14863258026159334</v>
      </c>
      <c r="O673" s="2">
        <f>(Procurement_kpi_Analysis[[#This Row],[Unit_Price]]-Procurement_kpi_Analysis[[#This Row],[Negotiated_Price]])*Procurement_kpi_Analysis[[#This Row],[Quantity]]</f>
        <v>2237.060000000009</v>
      </c>
      <c r="P673" s="2">
        <f>Procurement_kpi_Analysis[[#This Row],[Total Savings]]/Procurement_kpi_Analysis[[#This Row],[Total Spend]]</f>
        <v>3.1753611077951667E-2</v>
      </c>
      <c r="Q673" s="2" t="str">
        <f>IF(Procurement_kpi_Analysis[[#This Row],[Lead Time]]&lt;=14,"On Time","Late")</f>
        <v>On Time</v>
      </c>
      <c r="R673" s="2">
        <f>Procurement_kpi_Analysis[[#This Row],[Unit_Price]]*Procurement_kpi_Analysis[[#This Row],[Quantity]]</f>
        <v>72687.63</v>
      </c>
      <c r="S673" s="2">
        <f>IF(Procurement_kpi_Analysis[[#This Row],[Compliance]]="Yes",1,0)</f>
        <v>0</v>
      </c>
      <c r="T673" s="2">
        <f>IF(Procurement_kpi_Analysis[[#This Row],[Compliance]]="No",1,0)</f>
        <v>1</v>
      </c>
    </row>
    <row r="674" spans="1:20" x14ac:dyDescent="0.3">
      <c r="A674" t="s">
        <v>699</v>
      </c>
      <c r="B674" t="s">
        <v>17</v>
      </c>
      <c r="C674" s="1">
        <v>44625</v>
      </c>
      <c r="D674" s="1">
        <v>44636</v>
      </c>
      <c r="E674" t="s">
        <v>39</v>
      </c>
      <c r="F674" t="s">
        <v>18</v>
      </c>
      <c r="G674">
        <v>385</v>
      </c>
      <c r="H674">
        <v>18.23</v>
      </c>
      <c r="I674">
        <v>17.739999999999998</v>
      </c>
      <c r="J674">
        <v>0</v>
      </c>
      <c r="K674" t="s">
        <v>15</v>
      </c>
      <c r="L674">
        <f>Procurement_kpi_Analysis[[#This Row],[Quantity]]*Procurement_kpi_Analysis[[#This Row],[Negotiated_Price]]</f>
        <v>6829.9</v>
      </c>
      <c r="M674">
        <f>IF(Procurement_kpi_Analysis[[#This Row],[Delivery_Date]]="","",Procurement_kpi_Analysis[[#This Row],[Delivery_Date]]-Procurement_kpi_Analysis[[#This Row],[Order_Date]])</f>
        <v>11</v>
      </c>
      <c r="N674" s="2">
        <f>Procurement_kpi_Analysis[[#This Row],[Defective_Units]]/Procurement_kpi_Analysis[[#This Row],[Quantity]]</f>
        <v>0</v>
      </c>
      <c r="O674" s="2">
        <f>(Procurement_kpi_Analysis[[#This Row],[Unit_Price]]-Procurement_kpi_Analysis[[#This Row],[Negotiated_Price]])*Procurement_kpi_Analysis[[#This Row],[Quantity]]</f>
        <v>188.65000000000077</v>
      </c>
      <c r="P674" s="2">
        <f>Procurement_kpi_Analysis[[#This Row],[Total Savings]]/Procurement_kpi_Analysis[[#This Row],[Total Spend]]</f>
        <v>2.7621195039458965E-2</v>
      </c>
      <c r="Q674" s="2" t="str">
        <f>IF(Procurement_kpi_Analysis[[#This Row],[Lead Time]]&lt;=14,"On Time","Late")</f>
        <v>On Time</v>
      </c>
      <c r="R674" s="2">
        <f>Procurement_kpi_Analysis[[#This Row],[Unit_Price]]*Procurement_kpi_Analysis[[#This Row],[Quantity]]</f>
        <v>7018.55</v>
      </c>
      <c r="S674" s="2">
        <f>IF(Procurement_kpi_Analysis[[#This Row],[Compliance]]="Yes",1,0)</f>
        <v>1</v>
      </c>
      <c r="T674" s="2">
        <f>IF(Procurement_kpi_Analysis[[#This Row],[Compliance]]="No",1,0)</f>
        <v>0</v>
      </c>
    </row>
    <row r="675" spans="1:20" x14ac:dyDescent="0.3">
      <c r="A675" t="s">
        <v>700</v>
      </c>
      <c r="B675" t="s">
        <v>29</v>
      </c>
      <c r="C675" s="1">
        <v>44773</v>
      </c>
      <c r="D675" s="1">
        <v>44790</v>
      </c>
      <c r="E675" t="s">
        <v>13</v>
      </c>
      <c r="F675" t="s">
        <v>18</v>
      </c>
      <c r="G675">
        <v>1832</v>
      </c>
      <c r="H675">
        <v>49.01</v>
      </c>
      <c r="I675">
        <v>41.86</v>
      </c>
      <c r="J675">
        <v>52</v>
      </c>
      <c r="K675" t="s">
        <v>15</v>
      </c>
      <c r="L675">
        <f>Procurement_kpi_Analysis[[#This Row],[Quantity]]*Procurement_kpi_Analysis[[#This Row],[Negotiated_Price]]</f>
        <v>76687.520000000004</v>
      </c>
      <c r="M675">
        <f>IF(Procurement_kpi_Analysis[[#This Row],[Delivery_Date]]="","",Procurement_kpi_Analysis[[#This Row],[Delivery_Date]]-Procurement_kpi_Analysis[[#This Row],[Order_Date]])</f>
        <v>17</v>
      </c>
      <c r="N675" s="2">
        <f>Procurement_kpi_Analysis[[#This Row],[Defective_Units]]/Procurement_kpi_Analysis[[#This Row],[Quantity]]</f>
        <v>2.8384279475982533E-2</v>
      </c>
      <c r="O675" s="2">
        <f>(Procurement_kpi_Analysis[[#This Row],[Unit_Price]]-Procurement_kpi_Analysis[[#This Row],[Negotiated_Price]])*Procurement_kpi_Analysis[[#This Row],[Quantity]]</f>
        <v>13098.799999999997</v>
      </c>
      <c r="P675" s="2">
        <f>Procurement_kpi_Analysis[[#This Row],[Total Savings]]/Procurement_kpi_Analysis[[#This Row],[Total Spend]]</f>
        <v>0.17080745341614903</v>
      </c>
      <c r="Q675" s="2" t="str">
        <f>IF(Procurement_kpi_Analysis[[#This Row],[Lead Time]]&lt;=14,"On Time","Late")</f>
        <v>Late</v>
      </c>
      <c r="R675" s="2">
        <f>Procurement_kpi_Analysis[[#This Row],[Unit_Price]]*Procurement_kpi_Analysis[[#This Row],[Quantity]]</f>
        <v>89786.319999999992</v>
      </c>
      <c r="S675" s="2">
        <f>IF(Procurement_kpi_Analysis[[#This Row],[Compliance]]="Yes",1,0)</f>
        <v>1</v>
      </c>
      <c r="T675" s="2">
        <f>IF(Procurement_kpi_Analysis[[#This Row],[Compliance]]="No",1,0)</f>
        <v>0</v>
      </c>
    </row>
    <row r="676" spans="1:20" x14ac:dyDescent="0.3">
      <c r="A676" t="s">
        <v>701</v>
      </c>
      <c r="B676" t="s">
        <v>23</v>
      </c>
      <c r="C676" s="1">
        <v>44992</v>
      </c>
      <c r="D676" s="1">
        <v>45012</v>
      </c>
      <c r="E676" t="s">
        <v>26</v>
      </c>
      <c r="F676" t="s">
        <v>18</v>
      </c>
      <c r="G676">
        <v>307</v>
      </c>
      <c r="H676">
        <v>95.36</v>
      </c>
      <c r="I676">
        <v>83.63</v>
      </c>
      <c r="J676">
        <v>29</v>
      </c>
      <c r="K676" t="s">
        <v>15</v>
      </c>
      <c r="L676">
        <f>Procurement_kpi_Analysis[[#This Row],[Quantity]]*Procurement_kpi_Analysis[[#This Row],[Negotiated_Price]]</f>
        <v>25674.41</v>
      </c>
      <c r="M676">
        <f>IF(Procurement_kpi_Analysis[[#This Row],[Delivery_Date]]="","",Procurement_kpi_Analysis[[#This Row],[Delivery_Date]]-Procurement_kpi_Analysis[[#This Row],[Order_Date]])</f>
        <v>20</v>
      </c>
      <c r="N676" s="2">
        <f>Procurement_kpi_Analysis[[#This Row],[Defective_Units]]/Procurement_kpi_Analysis[[#This Row],[Quantity]]</f>
        <v>9.4462540716612378E-2</v>
      </c>
      <c r="O676" s="2">
        <f>(Procurement_kpi_Analysis[[#This Row],[Unit_Price]]-Procurement_kpi_Analysis[[#This Row],[Negotiated_Price]])*Procurement_kpi_Analysis[[#This Row],[Quantity]]</f>
        <v>3601.110000000001</v>
      </c>
      <c r="P676" s="2">
        <f>Procurement_kpi_Analysis[[#This Row],[Total Savings]]/Procurement_kpi_Analysis[[#This Row],[Total Spend]]</f>
        <v>0.1402606720076528</v>
      </c>
      <c r="Q676" s="2" t="str">
        <f>IF(Procurement_kpi_Analysis[[#This Row],[Lead Time]]&lt;=14,"On Time","Late")</f>
        <v>Late</v>
      </c>
      <c r="R676" s="2">
        <f>Procurement_kpi_Analysis[[#This Row],[Unit_Price]]*Procurement_kpi_Analysis[[#This Row],[Quantity]]</f>
        <v>29275.52</v>
      </c>
      <c r="S676" s="2">
        <f>IF(Procurement_kpi_Analysis[[#This Row],[Compliance]]="Yes",1,0)</f>
        <v>1</v>
      </c>
      <c r="T676" s="2">
        <f>IF(Procurement_kpi_Analysis[[#This Row],[Compliance]]="No",1,0)</f>
        <v>0</v>
      </c>
    </row>
    <row r="677" spans="1:20" x14ac:dyDescent="0.3">
      <c r="A677" t="s">
        <v>702</v>
      </c>
      <c r="B677" t="s">
        <v>29</v>
      </c>
      <c r="C677" s="1">
        <v>44960</v>
      </c>
      <c r="D677" s="1">
        <v>44965</v>
      </c>
      <c r="E677" t="s">
        <v>13</v>
      </c>
      <c r="F677" t="s">
        <v>18</v>
      </c>
      <c r="G677">
        <v>546</v>
      </c>
      <c r="H677">
        <v>101.2</v>
      </c>
      <c r="I677">
        <v>97.82</v>
      </c>
      <c r="J677">
        <v>21</v>
      </c>
      <c r="K677" t="s">
        <v>15</v>
      </c>
      <c r="L677">
        <f>Procurement_kpi_Analysis[[#This Row],[Quantity]]*Procurement_kpi_Analysis[[#This Row],[Negotiated_Price]]</f>
        <v>53409.719999999994</v>
      </c>
      <c r="M677">
        <f>IF(Procurement_kpi_Analysis[[#This Row],[Delivery_Date]]="","",Procurement_kpi_Analysis[[#This Row],[Delivery_Date]]-Procurement_kpi_Analysis[[#This Row],[Order_Date]])</f>
        <v>5</v>
      </c>
      <c r="N677" s="2">
        <f>Procurement_kpi_Analysis[[#This Row],[Defective_Units]]/Procurement_kpi_Analysis[[#This Row],[Quantity]]</f>
        <v>3.8461538461538464E-2</v>
      </c>
      <c r="O677" s="2">
        <f>(Procurement_kpi_Analysis[[#This Row],[Unit_Price]]-Procurement_kpi_Analysis[[#This Row],[Negotiated_Price]])*Procurement_kpi_Analysis[[#This Row],[Quantity]]</f>
        <v>1845.4800000000052</v>
      </c>
      <c r="P677" s="2">
        <f>Procurement_kpi_Analysis[[#This Row],[Total Savings]]/Procurement_kpi_Analysis[[#This Row],[Total Spend]]</f>
        <v>3.4553261091801367E-2</v>
      </c>
      <c r="Q677" s="2" t="str">
        <f>IF(Procurement_kpi_Analysis[[#This Row],[Lead Time]]&lt;=14,"On Time","Late")</f>
        <v>On Time</v>
      </c>
      <c r="R677" s="2">
        <f>Procurement_kpi_Analysis[[#This Row],[Unit_Price]]*Procurement_kpi_Analysis[[#This Row],[Quantity]]</f>
        <v>55255.200000000004</v>
      </c>
      <c r="S677" s="2">
        <f>IF(Procurement_kpi_Analysis[[#This Row],[Compliance]]="Yes",1,0)</f>
        <v>1</v>
      </c>
      <c r="T677" s="2">
        <f>IF(Procurement_kpi_Analysis[[#This Row],[Compliance]]="No",1,0)</f>
        <v>0</v>
      </c>
    </row>
    <row r="678" spans="1:20" x14ac:dyDescent="0.3">
      <c r="A678" t="s">
        <v>703</v>
      </c>
      <c r="B678" t="s">
        <v>17</v>
      </c>
      <c r="C678" s="1">
        <v>45160</v>
      </c>
      <c r="D678" s="1">
        <v>45180</v>
      </c>
      <c r="E678" t="s">
        <v>26</v>
      </c>
      <c r="F678" t="s">
        <v>18</v>
      </c>
      <c r="G678">
        <v>945</v>
      </c>
      <c r="H678">
        <v>57.01</v>
      </c>
      <c r="I678">
        <v>55.14</v>
      </c>
      <c r="J678">
        <v>147</v>
      </c>
      <c r="K678" t="s">
        <v>27</v>
      </c>
      <c r="L678">
        <f>Procurement_kpi_Analysis[[#This Row],[Quantity]]*Procurement_kpi_Analysis[[#This Row],[Negotiated_Price]]</f>
        <v>52107.3</v>
      </c>
      <c r="M678">
        <f>IF(Procurement_kpi_Analysis[[#This Row],[Delivery_Date]]="","",Procurement_kpi_Analysis[[#This Row],[Delivery_Date]]-Procurement_kpi_Analysis[[#This Row],[Order_Date]])</f>
        <v>20</v>
      </c>
      <c r="N678" s="2">
        <f>Procurement_kpi_Analysis[[#This Row],[Defective_Units]]/Procurement_kpi_Analysis[[#This Row],[Quantity]]</f>
        <v>0.15555555555555556</v>
      </c>
      <c r="O678" s="2">
        <f>(Procurement_kpi_Analysis[[#This Row],[Unit_Price]]-Procurement_kpi_Analysis[[#This Row],[Negotiated_Price]])*Procurement_kpi_Analysis[[#This Row],[Quantity]]</f>
        <v>1767.1499999999976</v>
      </c>
      <c r="P678" s="2">
        <f>Procurement_kpi_Analysis[[#This Row],[Total Savings]]/Procurement_kpi_Analysis[[#This Row],[Total Spend]]</f>
        <v>3.3913674283641594E-2</v>
      </c>
      <c r="Q678" s="2" t="str">
        <f>IF(Procurement_kpi_Analysis[[#This Row],[Lead Time]]&lt;=14,"On Time","Late")</f>
        <v>Late</v>
      </c>
      <c r="R678" s="2">
        <f>Procurement_kpi_Analysis[[#This Row],[Unit_Price]]*Procurement_kpi_Analysis[[#This Row],[Quantity]]</f>
        <v>53874.45</v>
      </c>
      <c r="S678" s="2">
        <f>IF(Procurement_kpi_Analysis[[#This Row],[Compliance]]="Yes",1,0)</f>
        <v>0</v>
      </c>
      <c r="T678" s="2">
        <f>IF(Procurement_kpi_Analysis[[#This Row],[Compliance]]="No",1,0)</f>
        <v>1</v>
      </c>
    </row>
    <row r="679" spans="1:20" x14ac:dyDescent="0.3">
      <c r="A679" t="s">
        <v>704</v>
      </c>
      <c r="B679" t="s">
        <v>17</v>
      </c>
      <c r="C679" s="1">
        <v>45274</v>
      </c>
      <c r="D679" s="1">
        <v>45287</v>
      </c>
      <c r="E679" t="s">
        <v>21</v>
      </c>
      <c r="F679" t="s">
        <v>35</v>
      </c>
      <c r="G679">
        <v>209</v>
      </c>
      <c r="H679">
        <v>72.709999999999994</v>
      </c>
      <c r="I679">
        <v>64.34</v>
      </c>
      <c r="J679">
        <v>39</v>
      </c>
      <c r="K679" t="s">
        <v>15</v>
      </c>
      <c r="L679">
        <f>Procurement_kpi_Analysis[[#This Row],[Quantity]]*Procurement_kpi_Analysis[[#This Row],[Negotiated_Price]]</f>
        <v>13447.060000000001</v>
      </c>
      <c r="M679">
        <f>IF(Procurement_kpi_Analysis[[#This Row],[Delivery_Date]]="","",Procurement_kpi_Analysis[[#This Row],[Delivery_Date]]-Procurement_kpi_Analysis[[#This Row],[Order_Date]])</f>
        <v>13</v>
      </c>
      <c r="N679" s="2">
        <f>Procurement_kpi_Analysis[[#This Row],[Defective_Units]]/Procurement_kpi_Analysis[[#This Row],[Quantity]]</f>
        <v>0.18660287081339713</v>
      </c>
      <c r="O679" s="2">
        <f>(Procurement_kpi_Analysis[[#This Row],[Unit_Price]]-Procurement_kpi_Analysis[[#This Row],[Negotiated_Price]])*Procurement_kpi_Analysis[[#This Row],[Quantity]]</f>
        <v>1749.3299999999979</v>
      </c>
      <c r="P679" s="2">
        <f>Procurement_kpi_Analysis[[#This Row],[Total Savings]]/Procurement_kpi_Analysis[[#This Row],[Total Spend]]</f>
        <v>0.1300901460988497</v>
      </c>
      <c r="Q679" s="2" t="str">
        <f>IF(Procurement_kpi_Analysis[[#This Row],[Lead Time]]&lt;=14,"On Time","Late")</f>
        <v>On Time</v>
      </c>
      <c r="R679" s="2">
        <f>Procurement_kpi_Analysis[[#This Row],[Unit_Price]]*Procurement_kpi_Analysis[[#This Row],[Quantity]]</f>
        <v>15196.39</v>
      </c>
      <c r="S679" s="2">
        <f>IF(Procurement_kpi_Analysis[[#This Row],[Compliance]]="Yes",1,0)</f>
        <v>1</v>
      </c>
      <c r="T679" s="2">
        <f>IF(Procurement_kpi_Analysis[[#This Row],[Compliance]]="No",1,0)</f>
        <v>0</v>
      </c>
    </row>
    <row r="680" spans="1:20" x14ac:dyDescent="0.3">
      <c r="A680" t="s">
        <v>705</v>
      </c>
      <c r="B680" t="s">
        <v>23</v>
      </c>
      <c r="C680" s="1">
        <v>44582</v>
      </c>
      <c r="D680" s="1"/>
      <c r="E680" t="s">
        <v>24</v>
      </c>
      <c r="F680" t="s">
        <v>18</v>
      </c>
      <c r="G680">
        <v>1548</v>
      </c>
      <c r="H680">
        <v>25.03</v>
      </c>
      <c r="I680">
        <v>22.87</v>
      </c>
      <c r="J680">
        <v>0</v>
      </c>
      <c r="K680" t="s">
        <v>15</v>
      </c>
      <c r="L680">
        <f>Procurement_kpi_Analysis[[#This Row],[Quantity]]*Procurement_kpi_Analysis[[#This Row],[Negotiated_Price]]</f>
        <v>35402.76</v>
      </c>
      <c r="M680" t="str">
        <f>IF(Procurement_kpi_Analysis[[#This Row],[Delivery_Date]]="","",Procurement_kpi_Analysis[[#This Row],[Delivery_Date]]-Procurement_kpi_Analysis[[#This Row],[Order_Date]])</f>
        <v/>
      </c>
      <c r="N680" s="2">
        <f>Procurement_kpi_Analysis[[#This Row],[Defective_Units]]/Procurement_kpi_Analysis[[#This Row],[Quantity]]</f>
        <v>0</v>
      </c>
      <c r="O680" s="2">
        <f>(Procurement_kpi_Analysis[[#This Row],[Unit_Price]]-Procurement_kpi_Analysis[[#This Row],[Negotiated_Price]])*Procurement_kpi_Analysis[[#This Row],[Quantity]]</f>
        <v>3343.6800000000003</v>
      </c>
      <c r="P680" s="2">
        <f>Procurement_kpi_Analysis[[#This Row],[Total Savings]]/Procurement_kpi_Analysis[[#This Row],[Total Spend]]</f>
        <v>9.4446873633581119E-2</v>
      </c>
      <c r="Q680" s="2" t="str">
        <f>IF(Procurement_kpi_Analysis[[#This Row],[Lead Time]]&lt;=14,"On Time","Late")</f>
        <v>Late</v>
      </c>
      <c r="R680" s="2">
        <f>Procurement_kpi_Analysis[[#This Row],[Unit_Price]]*Procurement_kpi_Analysis[[#This Row],[Quantity]]</f>
        <v>38746.44</v>
      </c>
      <c r="S680" s="2">
        <f>IF(Procurement_kpi_Analysis[[#This Row],[Compliance]]="Yes",1,0)</f>
        <v>1</v>
      </c>
      <c r="T680" s="2">
        <f>IF(Procurement_kpi_Analysis[[#This Row],[Compliance]]="No",1,0)</f>
        <v>0</v>
      </c>
    </row>
    <row r="681" spans="1:20" x14ac:dyDescent="0.3">
      <c r="A681" t="s">
        <v>706</v>
      </c>
      <c r="B681" t="s">
        <v>17</v>
      </c>
      <c r="C681" s="1">
        <v>45151</v>
      </c>
      <c r="D681" s="1">
        <v>45161</v>
      </c>
      <c r="E681" t="s">
        <v>26</v>
      </c>
      <c r="F681" t="s">
        <v>18</v>
      </c>
      <c r="G681">
        <v>901</v>
      </c>
      <c r="H681">
        <v>108.63</v>
      </c>
      <c r="I681">
        <v>106.3</v>
      </c>
      <c r="J681">
        <v>141</v>
      </c>
      <c r="K681" t="s">
        <v>15</v>
      </c>
      <c r="L681">
        <f>Procurement_kpi_Analysis[[#This Row],[Quantity]]*Procurement_kpi_Analysis[[#This Row],[Negotiated_Price]]</f>
        <v>95776.3</v>
      </c>
      <c r="M681">
        <f>IF(Procurement_kpi_Analysis[[#This Row],[Delivery_Date]]="","",Procurement_kpi_Analysis[[#This Row],[Delivery_Date]]-Procurement_kpi_Analysis[[#This Row],[Order_Date]])</f>
        <v>10</v>
      </c>
      <c r="N681" s="2">
        <f>Procurement_kpi_Analysis[[#This Row],[Defective_Units]]/Procurement_kpi_Analysis[[#This Row],[Quantity]]</f>
        <v>0.15649278579356271</v>
      </c>
      <c r="O681" s="2">
        <f>(Procurement_kpi_Analysis[[#This Row],[Unit_Price]]-Procurement_kpi_Analysis[[#This Row],[Negotiated_Price]])*Procurement_kpi_Analysis[[#This Row],[Quantity]]</f>
        <v>2099.3299999999986</v>
      </c>
      <c r="P681" s="2">
        <f>Procurement_kpi_Analysis[[#This Row],[Total Savings]]/Procurement_kpi_Analysis[[#This Row],[Total Spend]]</f>
        <v>2.1919096895578534E-2</v>
      </c>
      <c r="Q681" s="2" t="str">
        <f>IF(Procurement_kpi_Analysis[[#This Row],[Lead Time]]&lt;=14,"On Time","Late")</f>
        <v>On Time</v>
      </c>
      <c r="R681" s="2">
        <f>Procurement_kpi_Analysis[[#This Row],[Unit_Price]]*Procurement_kpi_Analysis[[#This Row],[Quantity]]</f>
        <v>97875.62999999999</v>
      </c>
      <c r="S681" s="2">
        <f>IF(Procurement_kpi_Analysis[[#This Row],[Compliance]]="Yes",1,0)</f>
        <v>1</v>
      </c>
      <c r="T681" s="2">
        <f>IF(Procurement_kpi_Analysis[[#This Row],[Compliance]]="No",1,0)</f>
        <v>0</v>
      </c>
    </row>
    <row r="682" spans="1:20" x14ac:dyDescent="0.3">
      <c r="A682" t="s">
        <v>707</v>
      </c>
      <c r="B682" t="s">
        <v>29</v>
      </c>
      <c r="C682" s="1">
        <v>44951</v>
      </c>
      <c r="D682" s="1">
        <v>44968</v>
      </c>
      <c r="E682" t="s">
        <v>24</v>
      </c>
      <c r="F682" t="s">
        <v>18</v>
      </c>
      <c r="G682">
        <v>1737</v>
      </c>
      <c r="H682">
        <v>32.700000000000003</v>
      </c>
      <c r="I682">
        <v>31.02</v>
      </c>
      <c r="J682">
        <v>48</v>
      </c>
      <c r="K682" t="s">
        <v>15</v>
      </c>
      <c r="L682">
        <f>Procurement_kpi_Analysis[[#This Row],[Quantity]]*Procurement_kpi_Analysis[[#This Row],[Negotiated_Price]]</f>
        <v>53881.74</v>
      </c>
      <c r="M682">
        <f>IF(Procurement_kpi_Analysis[[#This Row],[Delivery_Date]]="","",Procurement_kpi_Analysis[[#This Row],[Delivery_Date]]-Procurement_kpi_Analysis[[#This Row],[Order_Date]])</f>
        <v>17</v>
      </c>
      <c r="N682" s="2">
        <f>Procurement_kpi_Analysis[[#This Row],[Defective_Units]]/Procurement_kpi_Analysis[[#This Row],[Quantity]]</f>
        <v>2.7633851468048358E-2</v>
      </c>
      <c r="O682" s="2">
        <f>(Procurement_kpi_Analysis[[#This Row],[Unit_Price]]-Procurement_kpi_Analysis[[#This Row],[Negotiated_Price]])*Procurement_kpi_Analysis[[#This Row],[Quantity]]</f>
        <v>2918.1600000000058</v>
      </c>
      <c r="P682" s="2">
        <f>Procurement_kpi_Analysis[[#This Row],[Total Savings]]/Procurement_kpi_Analysis[[#This Row],[Total Spend]]</f>
        <v>5.4158607350096824E-2</v>
      </c>
      <c r="Q682" s="2" t="str">
        <f>IF(Procurement_kpi_Analysis[[#This Row],[Lead Time]]&lt;=14,"On Time","Late")</f>
        <v>Late</v>
      </c>
      <c r="R682" s="2">
        <f>Procurement_kpi_Analysis[[#This Row],[Unit_Price]]*Procurement_kpi_Analysis[[#This Row],[Quantity]]</f>
        <v>56799.9</v>
      </c>
      <c r="S682" s="2">
        <f>IF(Procurement_kpi_Analysis[[#This Row],[Compliance]]="Yes",1,0)</f>
        <v>1</v>
      </c>
      <c r="T682" s="2">
        <f>IF(Procurement_kpi_Analysis[[#This Row],[Compliance]]="No",1,0)</f>
        <v>0</v>
      </c>
    </row>
    <row r="683" spans="1:20" x14ac:dyDescent="0.3">
      <c r="A683" t="s">
        <v>708</v>
      </c>
      <c r="B683" t="s">
        <v>23</v>
      </c>
      <c r="C683" s="1">
        <v>45050</v>
      </c>
      <c r="D683" s="1">
        <v>45068</v>
      </c>
      <c r="E683" t="s">
        <v>26</v>
      </c>
      <c r="F683" t="s">
        <v>18</v>
      </c>
      <c r="G683">
        <v>1981</v>
      </c>
      <c r="H683">
        <v>102.43</v>
      </c>
      <c r="I683">
        <v>90.99</v>
      </c>
      <c r="J683">
        <v>204</v>
      </c>
      <c r="K683" t="s">
        <v>15</v>
      </c>
      <c r="L683">
        <f>Procurement_kpi_Analysis[[#This Row],[Quantity]]*Procurement_kpi_Analysis[[#This Row],[Negotiated_Price]]</f>
        <v>180251.19</v>
      </c>
      <c r="M683">
        <f>IF(Procurement_kpi_Analysis[[#This Row],[Delivery_Date]]="","",Procurement_kpi_Analysis[[#This Row],[Delivery_Date]]-Procurement_kpi_Analysis[[#This Row],[Order_Date]])</f>
        <v>18</v>
      </c>
      <c r="N683" s="2">
        <f>Procurement_kpi_Analysis[[#This Row],[Defective_Units]]/Procurement_kpi_Analysis[[#This Row],[Quantity]]</f>
        <v>0.10297829379101464</v>
      </c>
      <c r="O683" s="2">
        <f>(Procurement_kpi_Analysis[[#This Row],[Unit_Price]]-Procurement_kpi_Analysis[[#This Row],[Negotiated_Price]])*Procurement_kpi_Analysis[[#This Row],[Quantity]]</f>
        <v>22662.640000000025</v>
      </c>
      <c r="P683" s="2">
        <f>Procurement_kpi_Analysis[[#This Row],[Total Savings]]/Procurement_kpi_Analysis[[#This Row],[Total Spend]]</f>
        <v>0.12572810198922973</v>
      </c>
      <c r="Q683" s="2" t="str">
        <f>IF(Procurement_kpi_Analysis[[#This Row],[Lead Time]]&lt;=14,"On Time","Late")</f>
        <v>Late</v>
      </c>
      <c r="R683" s="2">
        <f>Procurement_kpi_Analysis[[#This Row],[Unit_Price]]*Procurement_kpi_Analysis[[#This Row],[Quantity]]</f>
        <v>202913.83000000002</v>
      </c>
      <c r="S683" s="2">
        <f>IF(Procurement_kpi_Analysis[[#This Row],[Compliance]]="Yes",1,0)</f>
        <v>1</v>
      </c>
      <c r="T683" s="2">
        <f>IF(Procurement_kpi_Analysis[[#This Row],[Compliance]]="No",1,0)</f>
        <v>0</v>
      </c>
    </row>
    <row r="684" spans="1:20" x14ac:dyDescent="0.3">
      <c r="A684" t="s">
        <v>709</v>
      </c>
      <c r="B684" t="s">
        <v>29</v>
      </c>
      <c r="C684" s="1">
        <v>44568</v>
      </c>
      <c r="D684" s="1">
        <v>44587</v>
      </c>
      <c r="E684" t="s">
        <v>21</v>
      </c>
      <c r="F684" t="s">
        <v>35</v>
      </c>
      <c r="G684">
        <v>739</v>
      </c>
      <c r="H684">
        <v>68.47</v>
      </c>
      <c r="I684">
        <v>66.09</v>
      </c>
      <c r="J684">
        <v>19</v>
      </c>
      <c r="K684" t="s">
        <v>15</v>
      </c>
      <c r="L684">
        <f>Procurement_kpi_Analysis[[#This Row],[Quantity]]*Procurement_kpi_Analysis[[#This Row],[Negotiated_Price]]</f>
        <v>48840.51</v>
      </c>
      <c r="M684">
        <f>IF(Procurement_kpi_Analysis[[#This Row],[Delivery_Date]]="","",Procurement_kpi_Analysis[[#This Row],[Delivery_Date]]-Procurement_kpi_Analysis[[#This Row],[Order_Date]])</f>
        <v>19</v>
      </c>
      <c r="N684" s="2">
        <f>Procurement_kpi_Analysis[[#This Row],[Defective_Units]]/Procurement_kpi_Analysis[[#This Row],[Quantity]]</f>
        <v>2.571041948579161E-2</v>
      </c>
      <c r="O684" s="2">
        <f>(Procurement_kpi_Analysis[[#This Row],[Unit_Price]]-Procurement_kpi_Analysis[[#This Row],[Negotiated_Price]])*Procurement_kpi_Analysis[[#This Row],[Quantity]]</f>
        <v>1758.8199999999965</v>
      </c>
      <c r="P684" s="2">
        <f>Procurement_kpi_Analysis[[#This Row],[Total Savings]]/Procurement_kpi_Analysis[[#This Row],[Total Spend]]</f>
        <v>3.6011499470419053E-2</v>
      </c>
      <c r="Q684" s="2" t="str">
        <f>IF(Procurement_kpi_Analysis[[#This Row],[Lead Time]]&lt;=14,"On Time","Late")</f>
        <v>Late</v>
      </c>
      <c r="R684" s="2">
        <f>Procurement_kpi_Analysis[[#This Row],[Unit_Price]]*Procurement_kpi_Analysis[[#This Row],[Quantity]]</f>
        <v>50599.33</v>
      </c>
      <c r="S684" s="2">
        <f>IF(Procurement_kpi_Analysis[[#This Row],[Compliance]]="Yes",1,0)</f>
        <v>1</v>
      </c>
      <c r="T684" s="2">
        <f>IF(Procurement_kpi_Analysis[[#This Row],[Compliance]]="No",1,0)</f>
        <v>0</v>
      </c>
    </row>
    <row r="685" spans="1:20" x14ac:dyDescent="0.3">
      <c r="A685" t="s">
        <v>710</v>
      </c>
      <c r="B685" t="s">
        <v>23</v>
      </c>
      <c r="C685" s="1">
        <v>44922</v>
      </c>
      <c r="D685" s="1">
        <v>44923</v>
      </c>
      <c r="E685" t="s">
        <v>26</v>
      </c>
      <c r="F685" t="s">
        <v>18</v>
      </c>
      <c r="G685">
        <v>1748</v>
      </c>
      <c r="H685">
        <v>68.25</v>
      </c>
      <c r="I685">
        <v>62.84</v>
      </c>
      <c r="J685">
        <v>171</v>
      </c>
      <c r="K685" t="s">
        <v>15</v>
      </c>
      <c r="L685">
        <f>Procurement_kpi_Analysis[[#This Row],[Quantity]]*Procurement_kpi_Analysis[[#This Row],[Negotiated_Price]]</f>
        <v>109844.32</v>
      </c>
      <c r="M685">
        <f>IF(Procurement_kpi_Analysis[[#This Row],[Delivery_Date]]="","",Procurement_kpi_Analysis[[#This Row],[Delivery_Date]]-Procurement_kpi_Analysis[[#This Row],[Order_Date]])</f>
        <v>1</v>
      </c>
      <c r="N685" s="2">
        <f>Procurement_kpi_Analysis[[#This Row],[Defective_Units]]/Procurement_kpi_Analysis[[#This Row],[Quantity]]</f>
        <v>9.7826086956521743E-2</v>
      </c>
      <c r="O685" s="2">
        <f>(Procurement_kpi_Analysis[[#This Row],[Unit_Price]]-Procurement_kpi_Analysis[[#This Row],[Negotiated_Price]])*Procurement_kpi_Analysis[[#This Row],[Quantity]]</f>
        <v>9456.6799999999948</v>
      </c>
      <c r="P685" s="2">
        <f>Procurement_kpi_Analysis[[#This Row],[Total Savings]]/Procurement_kpi_Analysis[[#This Row],[Total Spend]]</f>
        <v>8.6091661362189639E-2</v>
      </c>
      <c r="Q685" s="2" t="str">
        <f>IF(Procurement_kpi_Analysis[[#This Row],[Lead Time]]&lt;=14,"On Time","Late")</f>
        <v>On Time</v>
      </c>
      <c r="R685" s="2">
        <f>Procurement_kpi_Analysis[[#This Row],[Unit_Price]]*Procurement_kpi_Analysis[[#This Row],[Quantity]]</f>
        <v>119301</v>
      </c>
      <c r="S685" s="2">
        <f>IF(Procurement_kpi_Analysis[[#This Row],[Compliance]]="Yes",1,0)</f>
        <v>1</v>
      </c>
      <c r="T685" s="2">
        <f>IF(Procurement_kpi_Analysis[[#This Row],[Compliance]]="No",1,0)</f>
        <v>0</v>
      </c>
    </row>
    <row r="686" spans="1:20" x14ac:dyDescent="0.3">
      <c r="A686" t="s">
        <v>711</v>
      </c>
      <c r="B686" t="s">
        <v>17</v>
      </c>
      <c r="C686" s="1">
        <v>44867</v>
      </c>
      <c r="D686" s="1">
        <v>44871</v>
      </c>
      <c r="E686" t="s">
        <v>13</v>
      </c>
      <c r="F686" t="s">
        <v>14</v>
      </c>
      <c r="G686">
        <v>429</v>
      </c>
      <c r="H686">
        <v>58.95</v>
      </c>
      <c r="I686">
        <v>55.35</v>
      </c>
      <c r="J686">
        <v>59</v>
      </c>
      <c r="K686" t="s">
        <v>27</v>
      </c>
      <c r="L686">
        <f>Procurement_kpi_Analysis[[#This Row],[Quantity]]*Procurement_kpi_Analysis[[#This Row],[Negotiated_Price]]</f>
        <v>23745.15</v>
      </c>
      <c r="M686">
        <f>IF(Procurement_kpi_Analysis[[#This Row],[Delivery_Date]]="","",Procurement_kpi_Analysis[[#This Row],[Delivery_Date]]-Procurement_kpi_Analysis[[#This Row],[Order_Date]])</f>
        <v>4</v>
      </c>
      <c r="N686" s="2">
        <f>Procurement_kpi_Analysis[[#This Row],[Defective_Units]]/Procurement_kpi_Analysis[[#This Row],[Quantity]]</f>
        <v>0.13752913752913754</v>
      </c>
      <c r="O686" s="2">
        <f>(Procurement_kpi_Analysis[[#This Row],[Unit_Price]]-Procurement_kpi_Analysis[[#This Row],[Negotiated_Price]])*Procurement_kpi_Analysis[[#This Row],[Quantity]]</f>
        <v>1544.4000000000005</v>
      </c>
      <c r="P686" s="2">
        <f>Procurement_kpi_Analysis[[#This Row],[Total Savings]]/Procurement_kpi_Analysis[[#This Row],[Total Spend]]</f>
        <v>6.5040650406504086E-2</v>
      </c>
      <c r="Q686" s="2" t="str">
        <f>IF(Procurement_kpi_Analysis[[#This Row],[Lead Time]]&lt;=14,"On Time","Late")</f>
        <v>On Time</v>
      </c>
      <c r="R686" s="2">
        <f>Procurement_kpi_Analysis[[#This Row],[Unit_Price]]*Procurement_kpi_Analysis[[#This Row],[Quantity]]</f>
        <v>25289.550000000003</v>
      </c>
      <c r="S686" s="2">
        <f>IF(Procurement_kpi_Analysis[[#This Row],[Compliance]]="Yes",1,0)</f>
        <v>0</v>
      </c>
      <c r="T686" s="2">
        <f>IF(Procurement_kpi_Analysis[[#This Row],[Compliance]]="No",1,0)</f>
        <v>1</v>
      </c>
    </row>
    <row r="687" spans="1:20" x14ac:dyDescent="0.3">
      <c r="A687" t="s">
        <v>712</v>
      </c>
      <c r="B687" t="s">
        <v>20</v>
      </c>
      <c r="C687" s="1">
        <v>44961</v>
      </c>
      <c r="D687" s="1"/>
      <c r="E687" t="s">
        <v>39</v>
      </c>
      <c r="F687" t="s">
        <v>18</v>
      </c>
      <c r="G687">
        <v>1618</v>
      </c>
      <c r="H687">
        <v>32.76</v>
      </c>
      <c r="I687">
        <v>28.41</v>
      </c>
      <c r="J687">
        <v>62</v>
      </c>
      <c r="K687" t="s">
        <v>15</v>
      </c>
      <c r="L687">
        <f>Procurement_kpi_Analysis[[#This Row],[Quantity]]*Procurement_kpi_Analysis[[#This Row],[Negotiated_Price]]</f>
        <v>45967.38</v>
      </c>
      <c r="M687" t="str">
        <f>IF(Procurement_kpi_Analysis[[#This Row],[Delivery_Date]]="","",Procurement_kpi_Analysis[[#This Row],[Delivery_Date]]-Procurement_kpi_Analysis[[#This Row],[Order_Date]])</f>
        <v/>
      </c>
      <c r="N687" s="2">
        <f>Procurement_kpi_Analysis[[#This Row],[Defective_Units]]/Procurement_kpi_Analysis[[#This Row],[Quantity]]</f>
        <v>3.8318912237330034E-2</v>
      </c>
      <c r="O687" s="2">
        <f>(Procurement_kpi_Analysis[[#This Row],[Unit_Price]]-Procurement_kpi_Analysis[[#This Row],[Negotiated_Price]])*Procurement_kpi_Analysis[[#This Row],[Quantity]]</f>
        <v>7038.2999999999965</v>
      </c>
      <c r="P687" s="2">
        <f>Procurement_kpi_Analysis[[#This Row],[Total Savings]]/Procurement_kpi_Analysis[[#This Row],[Total Spend]]</f>
        <v>0.15311510031678979</v>
      </c>
      <c r="Q687" s="2" t="str">
        <f>IF(Procurement_kpi_Analysis[[#This Row],[Lead Time]]&lt;=14,"On Time","Late")</f>
        <v>Late</v>
      </c>
      <c r="R687" s="2">
        <f>Procurement_kpi_Analysis[[#This Row],[Unit_Price]]*Procurement_kpi_Analysis[[#This Row],[Quantity]]</f>
        <v>53005.68</v>
      </c>
      <c r="S687" s="2">
        <f>IF(Procurement_kpi_Analysis[[#This Row],[Compliance]]="Yes",1,0)</f>
        <v>1</v>
      </c>
      <c r="T687" s="2">
        <f>IF(Procurement_kpi_Analysis[[#This Row],[Compliance]]="No",1,0)</f>
        <v>0</v>
      </c>
    </row>
    <row r="688" spans="1:20" x14ac:dyDescent="0.3">
      <c r="A688" t="s">
        <v>713</v>
      </c>
      <c r="B688" t="s">
        <v>23</v>
      </c>
      <c r="C688" s="1">
        <v>44991</v>
      </c>
      <c r="D688" s="1">
        <v>44992</v>
      </c>
      <c r="E688" t="s">
        <v>24</v>
      </c>
      <c r="F688" t="s">
        <v>18</v>
      </c>
      <c r="G688">
        <v>1006</v>
      </c>
      <c r="H688">
        <v>27.7</v>
      </c>
      <c r="I688">
        <v>23.66</v>
      </c>
      <c r="J688">
        <v>101</v>
      </c>
      <c r="K688" t="s">
        <v>27</v>
      </c>
      <c r="L688">
        <f>Procurement_kpi_Analysis[[#This Row],[Quantity]]*Procurement_kpi_Analysis[[#This Row],[Negotiated_Price]]</f>
        <v>23801.96</v>
      </c>
      <c r="M688">
        <f>IF(Procurement_kpi_Analysis[[#This Row],[Delivery_Date]]="","",Procurement_kpi_Analysis[[#This Row],[Delivery_Date]]-Procurement_kpi_Analysis[[#This Row],[Order_Date]])</f>
        <v>1</v>
      </c>
      <c r="N688" s="2">
        <f>Procurement_kpi_Analysis[[#This Row],[Defective_Units]]/Procurement_kpi_Analysis[[#This Row],[Quantity]]</f>
        <v>0.10039761431411531</v>
      </c>
      <c r="O688" s="2">
        <f>(Procurement_kpi_Analysis[[#This Row],[Unit_Price]]-Procurement_kpi_Analysis[[#This Row],[Negotiated_Price]])*Procurement_kpi_Analysis[[#This Row],[Quantity]]</f>
        <v>4064.2399999999993</v>
      </c>
      <c r="P688" s="2">
        <f>Procurement_kpi_Analysis[[#This Row],[Total Savings]]/Procurement_kpi_Analysis[[#This Row],[Total Spend]]</f>
        <v>0.17075232459847842</v>
      </c>
      <c r="Q688" s="2" t="str">
        <f>IF(Procurement_kpi_Analysis[[#This Row],[Lead Time]]&lt;=14,"On Time","Late")</f>
        <v>On Time</v>
      </c>
      <c r="R688" s="2">
        <f>Procurement_kpi_Analysis[[#This Row],[Unit_Price]]*Procurement_kpi_Analysis[[#This Row],[Quantity]]</f>
        <v>27866.2</v>
      </c>
      <c r="S688" s="2">
        <f>IF(Procurement_kpi_Analysis[[#This Row],[Compliance]]="Yes",1,0)</f>
        <v>0</v>
      </c>
      <c r="T688" s="2">
        <f>IF(Procurement_kpi_Analysis[[#This Row],[Compliance]]="No",1,0)</f>
        <v>1</v>
      </c>
    </row>
    <row r="689" spans="1:20" x14ac:dyDescent="0.3">
      <c r="A689" t="s">
        <v>714</v>
      </c>
      <c r="B689" t="s">
        <v>23</v>
      </c>
      <c r="C689" s="1">
        <v>45113</v>
      </c>
      <c r="D689" s="1">
        <v>45122</v>
      </c>
      <c r="E689" t="s">
        <v>39</v>
      </c>
      <c r="F689" t="s">
        <v>33</v>
      </c>
      <c r="G689">
        <v>740</v>
      </c>
      <c r="H689">
        <v>32.53</v>
      </c>
      <c r="I689">
        <v>29.35</v>
      </c>
      <c r="J689">
        <v>84</v>
      </c>
      <c r="K689" t="s">
        <v>15</v>
      </c>
      <c r="L689">
        <f>Procurement_kpi_Analysis[[#This Row],[Quantity]]*Procurement_kpi_Analysis[[#This Row],[Negotiated_Price]]</f>
        <v>21719</v>
      </c>
      <c r="M689">
        <f>IF(Procurement_kpi_Analysis[[#This Row],[Delivery_Date]]="","",Procurement_kpi_Analysis[[#This Row],[Delivery_Date]]-Procurement_kpi_Analysis[[#This Row],[Order_Date]])</f>
        <v>9</v>
      </c>
      <c r="N689" s="2">
        <f>Procurement_kpi_Analysis[[#This Row],[Defective_Units]]/Procurement_kpi_Analysis[[#This Row],[Quantity]]</f>
        <v>0.11351351351351352</v>
      </c>
      <c r="O689" s="2">
        <f>(Procurement_kpi_Analysis[[#This Row],[Unit_Price]]-Procurement_kpi_Analysis[[#This Row],[Negotiated_Price]])*Procurement_kpi_Analysis[[#This Row],[Quantity]]</f>
        <v>2353.1999999999998</v>
      </c>
      <c r="P689" s="2">
        <f>Procurement_kpi_Analysis[[#This Row],[Total Savings]]/Procurement_kpi_Analysis[[#This Row],[Total Spend]]</f>
        <v>0.10834752981260647</v>
      </c>
      <c r="Q689" s="2" t="str">
        <f>IF(Procurement_kpi_Analysis[[#This Row],[Lead Time]]&lt;=14,"On Time","Late")</f>
        <v>On Time</v>
      </c>
      <c r="R689" s="2">
        <f>Procurement_kpi_Analysis[[#This Row],[Unit_Price]]*Procurement_kpi_Analysis[[#This Row],[Quantity]]</f>
        <v>24072.2</v>
      </c>
      <c r="S689" s="2">
        <f>IF(Procurement_kpi_Analysis[[#This Row],[Compliance]]="Yes",1,0)</f>
        <v>1</v>
      </c>
      <c r="T689" s="2">
        <f>IF(Procurement_kpi_Analysis[[#This Row],[Compliance]]="No",1,0)</f>
        <v>0</v>
      </c>
    </row>
    <row r="690" spans="1:20" x14ac:dyDescent="0.3">
      <c r="A690" t="s">
        <v>715</v>
      </c>
      <c r="B690" t="s">
        <v>20</v>
      </c>
      <c r="C690" s="1">
        <v>45121</v>
      </c>
      <c r="D690" s="1"/>
      <c r="E690" t="s">
        <v>26</v>
      </c>
      <c r="F690" t="s">
        <v>18</v>
      </c>
      <c r="G690">
        <v>1500</v>
      </c>
      <c r="H690">
        <v>29.19</v>
      </c>
      <c r="I690">
        <v>27.24</v>
      </c>
      <c r="J690">
        <v>72</v>
      </c>
      <c r="K690" t="s">
        <v>15</v>
      </c>
      <c r="L690">
        <f>Procurement_kpi_Analysis[[#This Row],[Quantity]]*Procurement_kpi_Analysis[[#This Row],[Negotiated_Price]]</f>
        <v>40860</v>
      </c>
      <c r="M690" t="str">
        <f>IF(Procurement_kpi_Analysis[[#This Row],[Delivery_Date]]="","",Procurement_kpi_Analysis[[#This Row],[Delivery_Date]]-Procurement_kpi_Analysis[[#This Row],[Order_Date]])</f>
        <v/>
      </c>
      <c r="N690" s="2">
        <f>Procurement_kpi_Analysis[[#This Row],[Defective_Units]]/Procurement_kpi_Analysis[[#This Row],[Quantity]]</f>
        <v>4.8000000000000001E-2</v>
      </c>
      <c r="O690" s="2">
        <f>(Procurement_kpi_Analysis[[#This Row],[Unit_Price]]-Procurement_kpi_Analysis[[#This Row],[Negotiated_Price]])*Procurement_kpi_Analysis[[#This Row],[Quantity]]</f>
        <v>2925.0000000000041</v>
      </c>
      <c r="P690" s="2">
        <f>Procurement_kpi_Analysis[[#This Row],[Total Savings]]/Procurement_kpi_Analysis[[#This Row],[Total Spend]]</f>
        <v>7.1585903083700539E-2</v>
      </c>
      <c r="Q690" s="2" t="str">
        <f>IF(Procurement_kpi_Analysis[[#This Row],[Lead Time]]&lt;=14,"On Time","Late")</f>
        <v>Late</v>
      </c>
      <c r="R690" s="2">
        <f>Procurement_kpi_Analysis[[#This Row],[Unit_Price]]*Procurement_kpi_Analysis[[#This Row],[Quantity]]</f>
        <v>43785</v>
      </c>
      <c r="S690" s="2">
        <f>IF(Procurement_kpi_Analysis[[#This Row],[Compliance]]="Yes",1,0)</f>
        <v>1</v>
      </c>
      <c r="T690" s="2">
        <f>IF(Procurement_kpi_Analysis[[#This Row],[Compliance]]="No",1,0)</f>
        <v>0</v>
      </c>
    </row>
    <row r="691" spans="1:20" x14ac:dyDescent="0.3">
      <c r="A691" t="s">
        <v>716</v>
      </c>
      <c r="B691" t="s">
        <v>17</v>
      </c>
      <c r="C691" s="1">
        <v>45179</v>
      </c>
      <c r="D691" s="1">
        <v>45198</v>
      </c>
      <c r="E691" t="s">
        <v>13</v>
      </c>
      <c r="F691" t="s">
        <v>14</v>
      </c>
      <c r="G691">
        <v>1686</v>
      </c>
      <c r="H691">
        <v>88.18</v>
      </c>
      <c r="I691">
        <v>77.150000000000006</v>
      </c>
      <c r="J691">
        <v>0</v>
      </c>
      <c r="K691" t="s">
        <v>15</v>
      </c>
      <c r="L691">
        <f>Procurement_kpi_Analysis[[#This Row],[Quantity]]*Procurement_kpi_Analysis[[#This Row],[Negotiated_Price]]</f>
        <v>130074.90000000001</v>
      </c>
      <c r="M691">
        <f>IF(Procurement_kpi_Analysis[[#This Row],[Delivery_Date]]="","",Procurement_kpi_Analysis[[#This Row],[Delivery_Date]]-Procurement_kpi_Analysis[[#This Row],[Order_Date]])</f>
        <v>19</v>
      </c>
      <c r="N691" s="2">
        <f>Procurement_kpi_Analysis[[#This Row],[Defective_Units]]/Procurement_kpi_Analysis[[#This Row],[Quantity]]</f>
        <v>0</v>
      </c>
      <c r="O691" s="2">
        <f>(Procurement_kpi_Analysis[[#This Row],[Unit_Price]]-Procurement_kpi_Analysis[[#This Row],[Negotiated_Price]])*Procurement_kpi_Analysis[[#This Row],[Quantity]]</f>
        <v>18596.580000000002</v>
      </c>
      <c r="P691" s="2">
        <f>Procurement_kpi_Analysis[[#This Row],[Total Savings]]/Procurement_kpi_Analysis[[#This Row],[Total Spend]]</f>
        <v>0.14296824368114064</v>
      </c>
      <c r="Q691" s="2" t="str">
        <f>IF(Procurement_kpi_Analysis[[#This Row],[Lead Time]]&lt;=14,"On Time","Late")</f>
        <v>Late</v>
      </c>
      <c r="R691" s="2">
        <f>Procurement_kpi_Analysis[[#This Row],[Unit_Price]]*Procurement_kpi_Analysis[[#This Row],[Quantity]]</f>
        <v>148671.48000000001</v>
      </c>
      <c r="S691" s="2">
        <f>IF(Procurement_kpi_Analysis[[#This Row],[Compliance]]="Yes",1,0)</f>
        <v>1</v>
      </c>
      <c r="T691" s="2">
        <f>IF(Procurement_kpi_Analysis[[#This Row],[Compliance]]="No",1,0)</f>
        <v>0</v>
      </c>
    </row>
    <row r="692" spans="1:20" x14ac:dyDescent="0.3">
      <c r="A692" t="s">
        <v>717</v>
      </c>
      <c r="B692" t="s">
        <v>29</v>
      </c>
      <c r="C692" s="1">
        <v>44787</v>
      </c>
      <c r="D692" s="1">
        <v>44789</v>
      </c>
      <c r="E692" t="s">
        <v>26</v>
      </c>
      <c r="F692" t="s">
        <v>14</v>
      </c>
      <c r="G692">
        <v>1341</v>
      </c>
      <c r="H692">
        <v>42.96</v>
      </c>
      <c r="I692">
        <v>41.75</v>
      </c>
      <c r="J692">
        <v>39</v>
      </c>
      <c r="K692" t="s">
        <v>15</v>
      </c>
      <c r="L692">
        <f>Procurement_kpi_Analysis[[#This Row],[Quantity]]*Procurement_kpi_Analysis[[#This Row],[Negotiated_Price]]</f>
        <v>55986.75</v>
      </c>
      <c r="M692">
        <f>IF(Procurement_kpi_Analysis[[#This Row],[Delivery_Date]]="","",Procurement_kpi_Analysis[[#This Row],[Delivery_Date]]-Procurement_kpi_Analysis[[#This Row],[Order_Date]])</f>
        <v>2</v>
      </c>
      <c r="N692" s="2">
        <f>Procurement_kpi_Analysis[[#This Row],[Defective_Units]]/Procurement_kpi_Analysis[[#This Row],[Quantity]]</f>
        <v>2.9082774049217001E-2</v>
      </c>
      <c r="O692" s="2">
        <f>(Procurement_kpi_Analysis[[#This Row],[Unit_Price]]-Procurement_kpi_Analysis[[#This Row],[Negotiated_Price]])*Procurement_kpi_Analysis[[#This Row],[Quantity]]</f>
        <v>1622.610000000001</v>
      </c>
      <c r="P692" s="2">
        <f>Procurement_kpi_Analysis[[#This Row],[Total Savings]]/Procurement_kpi_Analysis[[#This Row],[Total Spend]]</f>
        <v>2.8982035928143732E-2</v>
      </c>
      <c r="Q692" s="2" t="str">
        <f>IF(Procurement_kpi_Analysis[[#This Row],[Lead Time]]&lt;=14,"On Time","Late")</f>
        <v>On Time</v>
      </c>
      <c r="R692" s="2">
        <f>Procurement_kpi_Analysis[[#This Row],[Unit_Price]]*Procurement_kpi_Analysis[[#This Row],[Quantity]]</f>
        <v>57609.36</v>
      </c>
      <c r="S692" s="2">
        <f>IF(Procurement_kpi_Analysis[[#This Row],[Compliance]]="Yes",1,0)</f>
        <v>1</v>
      </c>
      <c r="T692" s="2">
        <f>IF(Procurement_kpi_Analysis[[#This Row],[Compliance]]="No",1,0)</f>
        <v>0</v>
      </c>
    </row>
    <row r="693" spans="1:20" x14ac:dyDescent="0.3">
      <c r="A693" t="s">
        <v>718</v>
      </c>
      <c r="B693" t="s">
        <v>12</v>
      </c>
      <c r="C693" s="1">
        <v>45061</v>
      </c>
      <c r="D693" s="1">
        <v>45067</v>
      </c>
      <c r="E693" t="s">
        <v>21</v>
      </c>
      <c r="F693" t="s">
        <v>14</v>
      </c>
      <c r="G693">
        <v>1908</v>
      </c>
      <c r="H693">
        <v>16.420000000000002</v>
      </c>
      <c r="I693">
        <v>15.31</v>
      </c>
      <c r="J693">
        <v>36</v>
      </c>
      <c r="K693" t="s">
        <v>15</v>
      </c>
      <c r="L693">
        <f>Procurement_kpi_Analysis[[#This Row],[Quantity]]*Procurement_kpi_Analysis[[#This Row],[Negotiated_Price]]</f>
        <v>29211.48</v>
      </c>
      <c r="M693">
        <f>IF(Procurement_kpi_Analysis[[#This Row],[Delivery_Date]]="","",Procurement_kpi_Analysis[[#This Row],[Delivery_Date]]-Procurement_kpi_Analysis[[#This Row],[Order_Date]])</f>
        <v>6</v>
      </c>
      <c r="N693" s="2">
        <f>Procurement_kpi_Analysis[[#This Row],[Defective_Units]]/Procurement_kpi_Analysis[[#This Row],[Quantity]]</f>
        <v>1.8867924528301886E-2</v>
      </c>
      <c r="O693" s="2">
        <f>(Procurement_kpi_Analysis[[#This Row],[Unit_Price]]-Procurement_kpi_Analysis[[#This Row],[Negotiated_Price]])*Procurement_kpi_Analysis[[#This Row],[Quantity]]</f>
        <v>2117.8800000000024</v>
      </c>
      <c r="P693" s="2">
        <f>Procurement_kpi_Analysis[[#This Row],[Total Savings]]/Procurement_kpi_Analysis[[#This Row],[Total Spend]]</f>
        <v>7.2501632919660441E-2</v>
      </c>
      <c r="Q693" s="2" t="str">
        <f>IF(Procurement_kpi_Analysis[[#This Row],[Lead Time]]&lt;=14,"On Time","Late")</f>
        <v>On Time</v>
      </c>
      <c r="R693" s="2">
        <f>Procurement_kpi_Analysis[[#This Row],[Unit_Price]]*Procurement_kpi_Analysis[[#This Row],[Quantity]]</f>
        <v>31329.360000000004</v>
      </c>
      <c r="S693" s="2">
        <f>IF(Procurement_kpi_Analysis[[#This Row],[Compliance]]="Yes",1,0)</f>
        <v>1</v>
      </c>
      <c r="T693" s="2">
        <f>IF(Procurement_kpi_Analysis[[#This Row],[Compliance]]="No",1,0)</f>
        <v>0</v>
      </c>
    </row>
    <row r="694" spans="1:20" x14ac:dyDescent="0.3">
      <c r="A694" t="s">
        <v>719</v>
      </c>
      <c r="B694" t="s">
        <v>20</v>
      </c>
      <c r="C694" s="1">
        <v>44786</v>
      </c>
      <c r="D694" s="1">
        <v>44806</v>
      </c>
      <c r="E694" t="s">
        <v>21</v>
      </c>
      <c r="F694" t="s">
        <v>33</v>
      </c>
      <c r="G694">
        <v>1650</v>
      </c>
      <c r="H694">
        <v>100.62</v>
      </c>
      <c r="I694">
        <v>90.45</v>
      </c>
      <c r="J694">
        <v>85</v>
      </c>
      <c r="K694" t="s">
        <v>15</v>
      </c>
      <c r="L694">
        <f>Procurement_kpi_Analysis[[#This Row],[Quantity]]*Procurement_kpi_Analysis[[#This Row],[Negotiated_Price]]</f>
        <v>149242.5</v>
      </c>
      <c r="M694">
        <f>IF(Procurement_kpi_Analysis[[#This Row],[Delivery_Date]]="","",Procurement_kpi_Analysis[[#This Row],[Delivery_Date]]-Procurement_kpi_Analysis[[#This Row],[Order_Date]])</f>
        <v>20</v>
      </c>
      <c r="N694" s="2">
        <f>Procurement_kpi_Analysis[[#This Row],[Defective_Units]]/Procurement_kpi_Analysis[[#This Row],[Quantity]]</f>
        <v>5.1515151515151514E-2</v>
      </c>
      <c r="O694" s="2">
        <f>(Procurement_kpi_Analysis[[#This Row],[Unit_Price]]-Procurement_kpi_Analysis[[#This Row],[Negotiated_Price]])*Procurement_kpi_Analysis[[#This Row],[Quantity]]</f>
        <v>16780.500000000004</v>
      </c>
      <c r="P694" s="2">
        <f>Procurement_kpi_Analysis[[#This Row],[Total Savings]]/Procurement_kpi_Analysis[[#This Row],[Total Spend]]</f>
        <v>0.11243781094527365</v>
      </c>
      <c r="Q694" s="2" t="str">
        <f>IF(Procurement_kpi_Analysis[[#This Row],[Lead Time]]&lt;=14,"On Time","Late")</f>
        <v>Late</v>
      </c>
      <c r="R694" s="2">
        <f>Procurement_kpi_Analysis[[#This Row],[Unit_Price]]*Procurement_kpi_Analysis[[#This Row],[Quantity]]</f>
        <v>166023</v>
      </c>
      <c r="S694" s="2">
        <f>IF(Procurement_kpi_Analysis[[#This Row],[Compliance]]="Yes",1,0)</f>
        <v>1</v>
      </c>
      <c r="T694" s="2">
        <f>IF(Procurement_kpi_Analysis[[#This Row],[Compliance]]="No",1,0)</f>
        <v>0</v>
      </c>
    </row>
    <row r="695" spans="1:20" x14ac:dyDescent="0.3">
      <c r="A695" t="s">
        <v>720</v>
      </c>
      <c r="B695" t="s">
        <v>12</v>
      </c>
      <c r="C695" s="1">
        <v>44841</v>
      </c>
      <c r="D695" s="1">
        <v>44854</v>
      </c>
      <c r="E695" t="s">
        <v>21</v>
      </c>
      <c r="F695" t="s">
        <v>18</v>
      </c>
      <c r="G695">
        <v>1490</v>
      </c>
      <c r="H695">
        <v>93.57</v>
      </c>
      <c r="I695">
        <v>81.680000000000007</v>
      </c>
      <c r="J695">
        <v>29</v>
      </c>
      <c r="K695" t="s">
        <v>15</v>
      </c>
      <c r="L695">
        <f>Procurement_kpi_Analysis[[#This Row],[Quantity]]*Procurement_kpi_Analysis[[#This Row],[Negotiated_Price]]</f>
        <v>121703.20000000001</v>
      </c>
      <c r="M695">
        <f>IF(Procurement_kpi_Analysis[[#This Row],[Delivery_Date]]="","",Procurement_kpi_Analysis[[#This Row],[Delivery_Date]]-Procurement_kpi_Analysis[[#This Row],[Order_Date]])</f>
        <v>13</v>
      </c>
      <c r="N695" s="2">
        <f>Procurement_kpi_Analysis[[#This Row],[Defective_Units]]/Procurement_kpi_Analysis[[#This Row],[Quantity]]</f>
        <v>1.9463087248322148E-2</v>
      </c>
      <c r="O695" s="2">
        <f>(Procurement_kpi_Analysis[[#This Row],[Unit_Price]]-Procurement_kpi_Analysis[[#This Row],[Negotiated_Price]])*Procurement_kpi_Analysis[[#This Row],[Quantity]]</f>
        <v>17716.09999999998</v>
      </c>
      <c r="P695" s="2">
        <f>Procurement_kpi_Analysis[[#This Row],[Total Savings]]/Procurement_kpi_Analysis[[#This Row],[Total Spend]]</f>
        <v>0.14556807051909876</v>
      </c>
      <c r="Q695" s="2" t="str">
        <f>IF(Procurement_kpi_Analysis[[#This Row],[Lead Time]]&lt;=14,"On Time","Late")</f>
        <v>On Time</v>
      </c>
      <c r="R695" s="2">
        <f>Procurement_kpi_Analysis[[#This Row],[Unit_Price]]*Procurement_kpi_Analysis[[#This Row],[Quantity]]</f>
        <v>139419.29999999999</v>
      </c>
      <c r="S695" s="2">
        <f>IF(Procurement_kpi_Analysis[[#This Row],[Compliance]]="Yes",1,0)</f>
        <v>1</v>
      </c>
      <c r="T695" s="2">
        <f>IF(Procurement_kpi_Analysis[[#This Row],[Compliance]]="No",1,0)</f>
        <v>0</v>
      </c>
    </row>
    <row r="696" spans="1:20" x14ac:dyDescent="0.3">
      <c r="A696" t="s">
        <v>721</v>
      </c>
      <c r="B696" t="s">
        <v>17</v>
      </c>
      <c r="C696" s="1">
        <v>45008</v>
      </c>
      <c r="D696" s="1">
        <v>45016</v>
      </c>
      <c r="E696" t="s">
        <v>26</v>
      </c>
      <c r="F696" t="s">
        <v>18</v>
      </c>
      <c r="G696">
        <v>1241</v>
      </c>
      <c r="H696">
        <v>100.04</v>
      </c>
      <c r="I696">
        <v>97.56</v>
      </c>
      <c r="J696">
        <v>187</v>
      </c>
      <c r="K696" t="s">
        <v>15</v>
      </c>
      <c r="L696">
        <f>Procurement_kpi_Analysis[[#This Row],[Quantity]]*Procurement_kpi_Analysis[[#This Row],[Negotiated_Price]]</f>
        <v>121071.96</v>
      </c>
      <c r="M696">
        <f>IF(Procurement_kpi_Analysis[[#This Row],[Delivery_Date]]="","",Procurement_kpi_Analysis[[#This Row],[Delivery_Date]]-Procurement_kpi_Analysis[[#This Row],[Order_Date]])</f>
        <v>8</v>
      </c>
      <c r="N696" s="2">
        <f>Procurement_kpi_Analysis[[#This Row],[Defective_Units]]/Procurement_kpi_Analysis[[#This Row],[Quantity]]</f>
        <v>0.15068493150684931</v>
      </c>
      <c r="O696" s="2">
        <f>(Procurement_kpi_Analysis[[#This Row],[Unit_Price]]-Procurement_kpi_Analysis[[#This Row],[Negotiated_Price]])*Procurement_kpi_Analysis[[#This Row],[Quantity]]</f>
        <v>3077.6800000000048</v>
      </c>
      <c r="P696" s="2">
        <f>Procurement_kpi_Analysis[[#This Row],[Total Savings]]/Procurement_kpi_Analysis[[#This Row],[Total Spend]]</f>
        <v>2.5420254202542063E-2</v>
      </c>
      <c r="Q696" s="2" t="str">
        <f>IF(Procurement_kpi_Analysis[[#This Row],[Lead Time]]&lt;=14,"On Time","Late")</f>
        <v>On Time</v>
      </c>
      <c r="R696" s="2">
        <f>Procurement_kpi_Analysis[[#This Row],[Unit_Price]]*Procurement_kpi_Analysis[[#This Row],[Quantity]]</f>
        <v>124149.64000000001</v>
      </c>
      <c r="S696" s="2">
        <f>IF(Procurement_kpi_Analysis[[#This Row],[Compliance]]="Yes",1,0)</f>
        <v>1</v>
      </c>
      <c r="T696" s="2">
        <f>IF(Procurement_kpi_Analysis[[#This Row],[Compliance]]="No",1,0)</f>
        <v>0</v>
      </c>
    </row>
    <row r="697" spans="1:20" x14ac:dyDescent="0.3">
      <c r="A697" t="s">
        <v>722</v>
      </c>
      <c r="B697" t="s">
        <v>23</v>
      </c>
      <c r="C697" s="1">
        <v>45059</v>
      </c>
      <c r="D697" s="1">
        <v>45063</v>
      </c>
      <c r="E697" t="s">
        <v>21</v>
      </c>
      <c r="F697" t="s">
        <v>18</v>
      </c>
      <c r="G697">
        <v>1915</v>
      </c>
      <c r="H697">
        <v>107.51</v>
      </c>
      <c r="I697">
        <v>102.66</v>
      </c>
      <c r="J697">
        <v>184</v>
      </c>
      <c r="K697" t="s">
        <v>15</v>
      </c>
      <c r="L697">
        <f>Procurement_kpi_Analysis[[#This Row],[Quantity]]*Procurement_kpi_Analysis[[#This Row],[Negotiated_Price]]</f>
        <v>196593.9</v>
      </c>
      <c r="M697">
        <f>IF(Procurement_kpi_Analysis[[#This Row],[Delivery_Date]]="","",Procurement_kpi_Analysis[[#This Row],[Delivery_Date]]-Procurement_kpi_Analysis[[#This Row],[Order_Date]])</f>
        <v>4</v>
      </c>
      <c r="N697" s="2">
        <f>Procurement_kpi_Analysis[[#This Row],[Defective_Units]]/Procurement_kpi_Analysis[[#This Row],[Quantity]]</f>
        <v>9.608355091383812E-2</v>
      </c>
      <c r="O697" s="2">
        <f>(Procurement_kpi_Analysis[[#This Row],[Unit_Price]]-Procurement_kpi_Analysis[[#This Row],[Negotiated_Price]])*Procurement_kpi_Analysis[[#This Row],[Quantity]]</f>
        <v>9287.7500000000164</v>
      </c>
      <c r="P697" s="2">
        <f>Procurement_kpi_Analysis[[#This Row],[Total Savings]]/Procurement_kpi_Analysis[[#This Row],[Total Spend]]</f>
        <v>4.7243327488798059E-2</v>
      </c>
      <c r="Q697" s="2" t="str">
        <f>IF(Procurement_kpi_Analysis[[#This Row],[Lead Time]]&lt;=14,"On Time","Late")</f>
        <v>On Time</v>
      </c>
      <c r="R697" s="2">
        <f>Procurement_kpi_Analysis[[#This Row],[Unit_Price]]*Procurement_kpi_Analysis[[#This Row],[Quantity]]</f>
        <v>205881.65000000002</v>
      </c>
      <c r="S697" s="2">
        <f>IF(Procurement_kpi_Analysis[[#This Row],[Compliance]]="Yes",1,0)</f>
        <v>1</v>
      </c>
      <c r="T697" s="2">
        <f>IF(Procurement_kpi_Analysis[[#This Row],[Compliance]]="No",1,0)</f>
        <v>0</v>
      </c>
    </row>
    <row r="698" spans="1:20" x14ac:dyDescent="0.3">
      <c r="A698" t="s">
        <v>723</v>
      </c>
      <c r="B698" t="s">
        <v>23</v>
      </c>
      <c r="C698" s="1">
        <v>44591</v>
      </c>
      <c r="D698" s="1">
        <v>44606</v>
      </c>
      <c r="E698" t="s">
        <v>26</v>
      </c>
      <c r="F698" t="s">
        <v>18</v>
      </c>
      <c r="G698">
        <v>1116</v>
      </c>
      <c r="H698">
        <v>25.65</v>
      </c>
      <c r="I698">
        <v>24.28</v>
      </c>
      <c r="J698">
        <v>121</v>
      </c>
      <c r="K698" t="s">
        <v>15</v>
      </c>
      <c r="L698">
        <f>Procurement_kpi_Analysis[[#This Row],[Quantity]]*Procurement_kpi_Analysis[[#This Row],[Negotiated_Price]]</f>
        <v>27096.48</v>
      </c>
      <c r="M698">
        <f>IF(Procurement_kpi_Analysis[[#This Row],[Delivery_Date]]="","",Procurement_kpi_Analysis[[#This Row],[Delivery_Date]]-Procurement_kpi_Analysis[[#This Row],[Order_Date]])</f>
        <v>15</v>
      </c>
      <c r="N698" s="2">
        <f>Procurement_kpi_Analysis[[#This Row],[Defective_Units]]/Procurement_kpi_Analysis[[#This Row],[Quantity]]</f>
        <v>0.10842293906810035</v>
      </c>
      <c r="O698" s="2">
        <f>(Procurement_kpi_Analysis[[#This Row],[Unit_Price]]-Procurement_kpi_Analysis[[#This Row],[Negotiated_Price]])*Procurement_kpi_Analysis[[#This Row],[Quantity]]</f>
        <v>1528.9199999999971</v>
      </c>
      <c r="P698" s="2">
        <f>Procurement_kpi_Analysis[[#This Row],[Total Savings]]/Procurement_kpi_Analysis[[#This Row],[Total Spend]]</f>
        <v>5.6425041186161345E-2</v>
      </c>
      <c r="Q698" s="2" t="str">
        <f>IF(Procurement_kpi_Analysis[[#This Row],[Lead Time]]&lt;=14,"On Time","Late")</f>
        <v>Late</v>
      </c>
      <c r="R698" s="2">
        <f>Procurement_kpi_Analysis[[#This Row],[Unit_Price]]*Procurement_kpi_Analysis[[#This Row],[Quantity]]</f>
        <v>28625.399999999998</v>
      </c>
      <c r="S698" s="2">
        <f>IF(Procurement_kpi_Analysis[[#This Row],[Compliance]]="Yes",1,0)</f>
        <v>1</v>
      </c>
      <c r="T698" s="2">
        <f>IF(Procurement_kpi_Analysis[[#This Row],[Compliance]]="No",1,0)</f>
        <v>0</v>
      </c>
    </row>
    <row r="699" spans="1:20" x14ac:dyDescent="0.3">
      <c r="A699" t="s">
        <v>724</v>
      </c>
      <c r="B699" t="s">
        <v>17</v>
      </c>
      <c r="C699" s="1">
        <v>44960</v>
      </c>
      <c r="D699" s="1">
        <v>44965</v>
      </c>
      <c r="E699" t="s">
        <v>26</v>
      </c>
      <c r="F699" t="s">
        <v>18</v>
      </c>
      <c r="G699">
        <v>1629</v>
      </c>
      <c r="H699">
        <v>48.63</v>
      </c>
      <c r="I699">
        <v>43.28</v>
      </c>
      <c r="J699">
        <v>260</v>
      </c>
      <c r="K699" t="s">
        <v>15</v>
      </c>
      <c r="L699">
        <f>Procurement_kpi_Analysis[[#This Row],[Quantity]]*Procurement_kpi_Analysis[[#This Row],[Negotiated_Price]]</f>
        <v>70503.12</v>
      </c>
      <c r="M699">
        <f>IF(Procurement_kpi_Analysis[[#This Row],[Delivery_Date]]="","",Procurement_kpi_Analysis[[#This Row],[Delivery_Date]]-Procurement_kpi_Analysis[[#This Row],[Order_Date]])</f>
        <v>5</v>
      </c>
      <c r="N699" s="2">
        <f>Procurement_kpi_Analysis[[#This Row],[Defective_Units]]/Procurement_kpi_Analysis[[#This Row],[Quantity]]</f>
        <v>0.15960712093308779</v>
      </c>
      <c r="O699" s="2">
        <f>(Procurement_kpi_Analysis[[#This Row],[Unit_Price]]-Procurement_kpi_Analysis[[#This Row],[Negotiated_Price]])*Procurement_kpi_Analysis[[#This Row],[Quantity]]</f>
        <v>8715.1500000000015</v>
      </c>
      <c r="P699" s="2">
        <f>Procurement_kpi_Analysis[[#This Row],[Total Savings]]/Procurement_kpi_Analysis[[#This Row],[Total Spend]]</f>
        <v>0.12361367837338265</v>
      </c>
      <c r="Q699" s="2" t="str">
        <f>IF(Procurement_kpi_Analysis[[#This Row],[Lead Time]]&lt;=14,"On Time","Late")</f>
        <v>On Time</v>
      </c>
      <c r="R699" s="2">
        <f>Procurement_kpi_Analysis[[#This Row],[Unit_Price]]*Procurement_kpi_Analysis[[#This Row],[Quantity]]</f>
        <v>79218.27</v>
      </c>
      <c r="S699" s="2">
        <f>IF(Procurement_kpi_Analysis[[#This Row],[Compliance]]="Yes",1,0)</f>
        <v>1</v>
      </c>
      <c r="T699" s="2">
        <f>IF(Procurement_kpi_Analysis[[#This Row],[Compliance]]="No",1,0)</f>
        <v>0</v>
      </c>
    </row>
    <row r="700" spans="1:20" x14ac:dyDescent="0.3">
      <c r="A700" t="s">
        <v>725</v>
      </c>
      <c r="B700" t="s">
        <v>29</v>
      </c>
      <c r="C700" s="1">
        <v>44906</v>
      </c>
      <c r="D700" s="1">
        <v>44913</v>
      </c>
      <c r="E700" t="s">
        <v>13</v>
      </c>
      <c r="F700" t="s">
        <v>18</v>
      </c>
      <c r="G700">
        <v>334</v>
      </c>
      <c r="H700">
        <v>82.54</v>
      </c>
      <c r="I700">
        <v>74.63</v>
      </c>
      <c r="J700">
        <v>0</v>
      </c>
      <c r="K700" t="s">
        <v>15</v>
      </c>
      <c r="L700">
        <f>Procurement_kpi_Analysis[[#This Row],[Quantity]]*Procurement_kpi_Analysis[[#This Row],[Negotiated_Price]]</f>
        <v>24926.42</v>
      </c>
      <c r="M700">
        <f>IF(Procurement_kpi_Analysis[[#This Row],[Delivery_Date]]="","",Procurement_kpi_Analysis[[#This Row],[Delivery_Date]]-Procurement_kpi_Analysis[[#This Row],[Order_Date]])</f>
        <v>7</v>
      </c>
      <c r="N700" s="2">
        <f>Procurement_kpi_Analysis[[#This Row],[Defective_Units]]/Procurement_kpi_Analysis[[#This Row],[Quantity]]</f>
        <v>0</v>
      </c>
      <c r="O700" s="2">
        <f>(Procurement_kpi_Analysis[[#This Row],[Unit_Price]]-Procurement_kpi_Analysis[[#This Row],[Negotiated_Price]])*Procurement_kpi_Analysis[[#This Row],[Quantity]]</f>
        <v>2641.9400000000037</v>
      </c>
      <c r="P700" s="2">
        <f>Procurement_kpi_Analysis[[#This Row],[Total Savings]]/Procurement_kpi_Analysis[[#This Row],[Total Spend]]</f>
        <v>0.10598954843896571</v>
      </c>
      <c r="Q700" s="2" t="str">
        <f>IF(Procurement_kpi_Analysis[[#This Row],[Lead Time]]&lt;=14,"On Time","Late")</f>
        <v>On Time</v>
      </c>
      <c r="R700" s="2">
        <f>Procurement_kpi_Analysis[[#This Row],[Unit_Price]]*Procurement_kpi_Analysis[[#This Row],[Quantity]]</f>
        <v>27568.36</v>
      </c>
      <c r="S700" s="2">
        <f>IF(Procurement_kpi_Analysis[[#This Row],[Compliance]]="Yes",1,0)</f>
        <v>1</v>
      </c>
      <c r="T700" s="2">
        <f>IF(Procurement_kpi_Analysis[[#This Row],[Compliance]]="No",1,0)</f>
        <v>0</v>
      </c>
    </row>
    <row r="701" spans="1:20" x14ac:dyDescent="0.3">
      <c r="A701" t="s">
        <v>726</v>
      </c>
      <c r="B701" t="s">
        <v>29</v>
      </c>
      <c r="C701" s="1">
        <v>45246</v>
      </c>
      <c r="D701" s="1">
        <v>45266</v>
      </c>
      <c r="E701" t="s">
        <v>24</v>
      </c>
      <c r="F701" t="s">
        <v>18</v>
      </c>
      <c r="G701">
        <v>446</v>
      </c>
      <c r="H701">
        <v>80.63</v>
      </c>
      <c r="I701">
        <v>70.37</v>
      </c>
      <c r="J701">
        <v>0</v>
      </c>
      <c r="K701" t="s">
        <v>15</v>
      </c>
      <c r="L701">
        <f>Procurement_kpi_Analysis[[#This Row],[Quantity]]*Procurement_kpi_Analysis[[#This Row],[Negotiated_Price]]</f>
        <v>31385.02</v>
      </c>
      <c r="M701">
        <f>IF(Procurement_kpi_Analysis[[#This Row],[Delivery_Date]]="","",Procurement_kpi_Analysis[[#This Row],[Delivery_Date]]-Procurement_kpi_Analysis[[#This Row],[Order_Date]])</f>
        <v>20</v>
      </c>
      <c r="N701" s="2">
        <f>Procurement_kpi_Analysis[[#This Row],[Defective_Units]]/Procurement_kpi_Analysis[[#This Row],[Quantity]]</f>
        <v>0</v>
      </c>
      <c r="O701" s="2">
        <f>(Procurement_kpi_Analysis[[#This Row],[Unit_Price]]-Procurement_kpi_Analysis[[#This Row],[Negotiated_Price]])*Procurement_kpi_Analysis[[#This Row],[Quantity]]</f>
        <v>4575.9599999999955</v>
      </c>
      <c r="P701" s="2">
        <f>Procurement_kpi_Analysis[[#This Row],[Total Savings]]/Procurement_kpi_Analysis[[#This Row],[Total Spend]]</f>
        <v>0.1458007673724597</v>
      </c>
      <c r="Q701" s="2" t="str">
        <f>IF(Procurement_kpi_Analysis[[#This Row],[Lead Time]]&lt;=14,"On Time","Late")</f>
        <v>Late</v>
      </c>
      <c r="R701" s="2">
        <f>Procurement_kpi_Analysis[[#This Row],[Unit_Price]]*Procurement_kpi_Analysis[[#This Row],[Quantity]]</f>
        <v>35960.979999999996</v>
      </c>
      <c r="S701" s="2">
        <f>IF(Procurement_kpi_Analysis[[#This Row],[Compliance]]="Yes",1,0)</f>
        <v>1</v>
      </c>
      <c r="T701" s="2">
        <f>IF(Procurement_kpi_Analysis[[#This Row],[Compliance]]="No",1,0)</f>
        <v>0</v>
      </c>
    </row>
    <row r="702" spans="1:20" x14ac:dyDescent="0.3">
      <c r="A702" t="s">
        <v>727</v>
      </c>
      <c r="B702" t="s">
        <v>17</v>
      </c>
      <c r="C702" s="1">
        <v>45257</v>
      </c>
      <c r="D702" s="1"/>
      <c r="E702" t="s">
        <v>39</v>
      </c>
      <c r="F702" t="s">
        <v>18</v>
      </c>
      <c r="G702">
        <v>61</v>
      </c>
      <c r="H702">
        <v>26.47</v>
      </c>
      <c r="I702">
        <v>24.62</v>
      </c>
      <c r="J702">
        <v>6</v>
      </c>
      <c r="K702" t="s">
        <v>15</v>
      </c>
      <c r="L702">
        <f>Procurement_kpi_Analysis[[#This Row],[Quantity]]*Procurement_kpi_Analysis[[#This Row],[Negotiated_Price]]</f>
        <v>1501.8200000000002</v>
      </c>
      <c r="M702" t="str">
        <f>IF(Procurement_kpi_Analysis[[#This Row],[Delivery_Date]]="","",Procurement_kpi_Analysis[[#This Row],[Delivery_Date]]-Procurement_kpi_Analysis[[#This Row],[Order_Date]])</f>
        <v/>
      </c>
      <c r="N702" s="2">
        <f>Procurement_kpi_Analysis[[#This Row],[Defective_Units]]/Procurement_kpi_Analysis[[#This Row],[Quantity]]</f>
        <v>9.8360655737704916E-2</v>
      </c>
      <c r="O702" s="2">
        <f>(Procurement_kpi_Analysis[[#This Row],[Unit_Price]]-Procurement_kpi_Analysis[[#This Row],[Negotiated_Price]])*Procurement_kpi_Analysis[[#This Row],[Quantity]]</f>
        <v>112.84999999999987</v>
      </c>
      <c r="P702" s="2">
        <f>Procurement_kpi_Analysis[[#This Row],[Total Savings]]/Procurement_kpi_Analysis[[#This Row],[Total Spend]]</f>
        <v>7.5142160844841502E-2</v>
      </c>
      <c r="Q702" s="2" t="str">
        <f>IF(Procurement_kpi_Analysis[[#This Row],[Lead Time]]&lt;=14,"On Time","Late")</f>
        <v>Late</v>
      </c>
      <c r="R702" s="2">
        <f>Procurement_kpi_Analysis[[#This Row],[Unit_Price]]*Procurement_kpi_Analysis[[#This Row],[Quantity]]</f>
        <v>1614.6699999999998</v>
      </c>
      <c r="S702" s="2">
        <f>IF(Procurement_kpi_Analysis[[#This Row],[Compliance]]="Yes",1,0)</f>
        <v>1</v>
      </c>
      <c r="T702" s="2">
        <f>IF(Procurement_kpi_Analysis[[#This Row],[Compliance]]="No",1,0)</f>
        <v>0</v>
      </c>
    </row>
    <row r="703" spans="1:20" x14ac:dyDescent="0.3">
      <c r="A703" t="s">
        <v>728</v>
      </c>
      <c r="B703" t="s">
        <v>17</v>
      </c>
      <c r="C703" s="1">
        <v>44976</v>
      </c>
      <c r="D703" s="1">
        <v>44978</v>
      </c>
      <c r="E703" t="s">
        <v>24</v>
      </c>
      <c r="F703" t="s">
        <v>18</v>
      </c>
      <c r="G703">
        <v>1680</v>
      </c>
      <c r="H703">
        <v>88.85</v>
      </c>
      <c r="I703">
        <v>87.53</v>
      </c>
      <c r="J703">
        <v>0</v>
      </c>
      <c r="K703" t="s">
        <v>15</v>
      </c>
      <c r="L703">
        <f>Procurement_kpi_Analysis[[#This Row],[Quantity]]*Procurement_kpi_Analysis[[#This Row],[Negotiated_Price]]</f>
        <v>147050.4</v>
      </c>
      <c r="M703">
        <f>IF(Procurement_kpi_Analysis[[#This Row],[Delivery_Date]]="","",Procurement_kpi_Analysis[[#This Row],[Delivery_Date]]-Procurement_kpi_Analysis[[#This Row],[Order_Date]])</f>
        <v>2</v>
      </c>
      <c r="N703" s="2">
        <f>Procurement_kpi_Analysis[[#This Row],[Defective_Units]]/Procurement_kpi_Analysis[[#This Row],[Quantity]]</f>
        <v>0</v>
      </c>
      <c r="O703" s="2">
        <f>(Procurement_kpi_Analysis[[#This Row],[Unit_Price]]-Procurement_kpi_Analysis[[#This Row],[Negotiated_Price]])*Procurement_kpi_Analysis[[#This Row],[Quantity]]</f>
        <v>2217.5999999999885</v>
      </c>
      <c r="P703" s="2">
        <f>Procurement_kpi_Analysis[[#This Row],[Total Savings]]/Procurement_kpi_Analysis[[#This Row],[Total Spend]]</f>
        <v>1.5080543813549563E-2</v>
      </c>
      <c r="Q703" s="2" t="str">
        <f>IF(Procurement_kpi_Analysis[[#This Row],[Lead Time]]&lt;=14,"On Time","Late")</f>
        <v>On Time</v>
      </c>
      <c r="R703" s="2">
        <f>Procurement_kpi_Analysis[[#This Row],[Unit_Price]]*Procurement_kpi_Analysis[[#This Row],[Quantity]]</f>
        <v>149268</v>
      </c>
      <c r="S703" s="2">
        <f>IF(Procurement_kpi_Analysis[[#This Row],[Compliance]]="Yes",1,0)</f>
        <v>1</v>
      </c>
      <c r="T703" s="2">
        <f>IF(Procurement_kpi_Analysis[[#This Row],[Compliance]]="No",1,0)</f>
        <v>0</v>
      </c>
    </row>
    <row r="704" spans="1:20" x14ac:dyDescent="0.3">
      <c r="A704" t="s">
        <v>729</v>
      </c>
      <c r="B704" t="s">
        <v>17</v>
      </c>
      <c r="C704" s="1">
        <v>44731</v>
      </c>
      <c r="D704" s="1">
        <v>44748</v>
      </c>
      <c r="E704" t="s">
        <v>39</v>
      </c>
      <c r="F704" t="s">
        <v>18</v>
      </c>
      <c r="G704">
        <v>1375</v>
      </c>
      <c r="H704">
        <v>30.95</v>
      </c>
      <c r="I704">
        <v>30.02</v>
      </c>
      <c r="J704">
        <v>223</v>
      </c>
      <c r="K704" t="s">
        <v>15</v>
      </c>
      <c r="L704">
        <f>Procurement_kpi_Analysis[[#This Row],[Quantity]]*Procurement_kpi_Analysis[[#This Row],[Negotiated_Price]]</f>
        <v>41277.5</v>
      </c>
      <c r="M704">
        <f>IF(Procurement_kpi_Analysis[[#This Row],[Delivery_Date]]="","",Procurement_kpi_Analysis[[#This Row],[Delivery_Date]]-Procurement_kpi_Analysis[[#This Row],[Order_Date]])</f>
        <v>17</v>
      </c>
      <c r="N704" s="2">
        <f>Procurement_kpi_Analysis[[#This Row],[Defective_Units]]/Procurement_kpi_Analysis[[#This Row],[Quantity]]</f>
        <v>0.16218181818181818</v>
      </c>
      <c r="O704" s="2">
        <f>(Procurement_kpi_Analysis[[#This Row],[Unit_Price]]-Procurement_kpi_Analysis[[#This Row],[Negotiated_Price]])*Procurement_kpi_Analysis[[#This Row],[Quantity]]</f>
        <v>1278.7499999999995</v>
      </c>
      <c r="P704" s="2">
        <f>Procurement_kpi_Analysis[[#This Row],[Total Savings]]/Procurement_kpi_Analysis[[#This Row],[Total Spend]]</f>
        <v>3.0979347101932033E-2</v>
      </c>
      <c r="Q704" s="2" t="str">
        <f>IF(Procurement_kpi_Analysis[[#This Row],[Lead Time]]&lt;=14,"On Time","Late")</f>
        <v>Late</v>
      </c>
      <c r="R704" s="2">
        <f>Procurement_kpi_Analysis[[#This Row],[Unit_Price]]*Procurement_kpi_Analysis[[#This Row],[Quantity]]</f>
        <v>42556.25</v>
      </c>
      <c r="S704" s="2">
        <f>IF(Procurement_kpi_Analysis[[#This Row],[Compliance]]="Yes",1,0)</f>
        <v>1</v>
      </c>
      <c r="T704" s="2">
        <f>IF(Procurement_kpi_Analysis[[#This Row],[Compliance]]="No",1,0)</f>
        <v>0</v>
      </c>
    </row>
    <row r="705" spans="1:20" x14ac:dyDescent="0.3">
      <c r="A705" t="s">
        <v>730</v>
      </c>
      <c r="B705" t="s">
        <v>17</v>
      </c>
      <c r="C705" s="1">
        <v>45040</v>
      </c>
      <c r="D705" s="1">
        <v>45051</v>
      </c>
      <c r="E705" t="s">
        <v>39</v>
      </c>
      <c r="F705" t="s">
        <v>33</v>
      </c>
      <c r="G705">
        <v>1971</v>
      </c>
      <c r="H705">
        <v>32.4</v>
      </c>
      <c r="I705">
        <v>30.48</v>
      </c>
      <c r="J705">
        <v>321</v>
      </c>
      <c r="K705" t="s">
        <v>15</v>
      </c>
      <c r="L705">
        <f>Procurement_kpi_Analysis[[#This Row],[Quantity]]*Procurement_kpi_Analysis[[#This Row],[Negotiated_Price]]</f>
        <v>60076.08</v>
      </c>
      <c r="M705">
        <f>IF(Procurement_kpi_Analysis[[#This Row],[Delivery_Date]]="","",Procurement_kpi_Analysis[[#This Row],[Delivery_Date]]-Procurement_kpi_Analysis[[#This Row],[Order_Date]])</f>
        <v>11</v>
      </c>
      <c r="N705" s="2">
        <f>Procurement_kpi_Analysis[[#This Row],[Defective_Units]]/Procurement_kpi_Analysis[[#This Row],[Quantity]]</f>
        <v>0.16286149162861491</v>
      </c>
      <c r="O705" s="2">
        <f>(Procurement_kpi_Analysis[[#This Row],[Unit_Price]]-Procurement_kpi_Analysis[[#This Row],[Negotiated_Price]])*Procurement_kpi_Analysis[[#This Row],[Quantity]]</f>
        <v>3784.3199999999965</v>
      </c>
      <c r="P705" s="2">
        <f>Procurement_kpi_Analysis[[#This Row],[Total Savings]]/Procurement_kpi_Analysis[[#This Row],[Total Spend]]</f>
        <v>6.2992125984251912E-2</v>
      </c>
      <c r="Q705" s="2" t="str">
        <f>IF(Procurement_kpi_Analysis[[#This Row],[Lead Time]]&lt;=14,"On Time","Late")</f>
        <v>On Time</v>
      </c>
      <c r="R705" s="2">
        <f>Procurement_kpi_Analysis[[#This Row],[Unit_Price]]*Procurement_kpi_Analysis[[#This Row],[Quantity]]</f>
        <v>63860.399999999994</v>
      </c>
      <c r="S705" s="2">
        <f>IF(Procurement_kpi_Analysis[[#This Row],[Compliance]]="Yes",1,0)</f>
        <v>1</v>
      </c>
      <c r="T705" s="2">
        <f>IF(Procurement_kpi_Analysis[[#This Row],[Compliance]]="No",1,0)</f>
        <v>0</v>
      </c>
    </row>
    <row r="706" spans="1:20" x14ac:dyDescent="0.3">
      <c r="A706" t="s">
        <v>731</v>
      </c>
      <c r="B706" t="s">
        <v>17</v>
      </c>
      <c r="C706" s="1">
        <v>44692</v>
      </c>
      <c r="D706" s="1"/>
      <c r="E706" t="s">
        <v>26</v>
      </c>
      <c r="F706" t="s">
        <v>35</v>
      </c>
      <c r="G706">
        <v>1326</v>
      </c>
      <c r="H706">
        <v>59.49</v>
      </c>
      <c r="I706">
        <v>56.21</v>
      </c>
      <c r="J706">
        <v>0</v>
      </c>
      <c r="K706" t="s">
        <v>15</v>
      </c>
      <c r="L706">
        <f>Procurement_kpi_Analysis[[#This Row],[Quantity]]*Procurement_kpi_Analysis[[#This Row],[Negotiated_Price]]</f>
        <v>74534.460000000006</v>
      </c>
      <c r="M706" t="str">
        <f>IF(Procurement_kpi_Analysis[[#This Row],[Delivery_Date]]="","",Procurement_kpi_Analysis[[#This Row],[Delivery_Date]]-Procurement_kpi_Analysis[[#This Row],[Order_Date]])</f>
        <v/>
      </c>
      <c r="N706" s="2">
        <f>Procurement_kpi_Analysis[[#This Row],[Defective_Units]]/Procurement_kpi_Analysis[[#This Row],[Quantity]]</f>
        <v>0</v>
      </c>
      <c r="O706" s="2">
        <f>(Procurement_kpi_Analysis[[#This Row],[Unit_Price]]-Procurement_kpi_Analysis[[#This Row],[Negotiated_Price]])*Procurement_kpi_Analysis[[#This Row],[Quantity]]</f>
        <v>4349.2800000000016</v>
      </c>
      <c r="P706" s="2">
        <f>Procurement_kpi_Analysis[[#This Row],[Total Savings]]/Procurement_kpi_Analysis[[#This Row],[Total Spend]]</f>
        <v>5.835260629781179E-2</v>
      </c>
      <c r="Q706" s="2" t="str">
        <f>IF(Procurement_kpi_Analysis[[#This Row],[Lead Time]]&lt;=14,"On Time","Late")</f>
        <v>Late</v>
      </c>
      <c r="R706" s="2">
        <f>Procurement_kpi_Analysis[[#This Row],[Unit_Price]]*Procurement_kpi_Analysis[[#This Row],[Quantity]]</f>
        <v>78883.740000000005</v>
      </c>
      <c r="S706" s="2">
        <f>IF(Procurement_kpi_Analysis[[#This Row],[Compliance]]="Yes",1,0)</f>
        <v>1</v>
      </c>
      <c r="T706" s="2">
        <f>IF(Procurement_kpi_Analysis[[#This Row],[Compliance]]="No",1,0)</f>
        <v>0</v>
      </c>
    </row>
    <row r="707" spans="1:20" x14ac:dyDescent="0.3">
      <c r="A707" t="s">
        <v>732</v>
      </c>
      <c r="B707" t="s">
        <v>17</v>
      </c>
      <c r="C707" s="1">
        <v>45199</v>
      </c>
      <c r="D707" s="1">
        <v>45212</v>
      </c>
      <c r="E707" t="s">
        <v>21</v>
      </c>
      <c r="F707" t="s">
        <v>14</v>
      </c>
      <c r="G707">
        <v>548</v>
      </c>
      <c r="H707">
        <v>69.7</v>
      </c>
      <c r="I707">
        <v>61.87</v>
      </c>
      <c r="J707">
        <v>90</v>
      </c>
      <c r="K707" t="s">
        <v>15</v>
      </c>
      <c r="L707">
        <f>Procurement_kpi_Analysis[[#This Row],[Quantity]]*Procurement_kpi_Analysis[[#This Row],[Negotiated_Price]]</f>
        <v>33904.76</v>
      </c>
      <c r="M707">
        <f>IF(Procurement_kpi_Analysis[[#This Row],[Delivery_Date]]="","",Procurement_kpi_Analysis[[#This Row],[Delivery_Date]]-Procurement_kpi_Analysis[[#This Row],[Order_Date]])</f>
        <v>13</v>
      </c>
      <c r="N707" s="2">
        <f>Procurement_kpi_Analysis[[#This Row],[Defective_Units]]/Procurement_kpi_Analysis[[#This Row],[Quantity]]</f>
        <v>0.16423357664233576</v>
      </c>
      <c r="O707" s="2">
        <f>(Procurement_kpi_Analysis[[#This Row],[Unit_Price]]-Procurement_kpi_Analysis[[#This Row],[Negotiated_Price]])*Procurement_kpi_Analysis[[#This Row],[Quantity]]</f>
        <v>4290.8400000000029</v>
      </c>
      <c r="P707" s="2">
        <f>Procurement_kpi_Analysis[[#This Row],[Total Savings]]/Procurement_kpi_Analysis[[#This Row],[Total Spend]]</f>
        <v>0.12655568126717318</v>
      </c>
      <c r="Q707" s="2" t="str">
        <f>IF(Procurement_kpi_Analysis[[#This Row],[Lead Time]]&lt;=14,"On Time","Late")</f>
        <v>On Time</v>
      </c>
      <c r="R707" s="2">
        <f>Procurement_kpi_Analysis[[#This Row],[Unit_Price]]*Procurement_kpi_Analysis[[#This Row],[Quantity]]</f>
        <v>38195.599999999999</v>
      </c>
      <c r="S707" s="2">
        <f>IF(Procurement_kpi_Analysis[[#This Row],[Compliance]]="Yes",1,0)</f>
        <v>1</v>
      </c>
      <c r="T707" s="2">
        <f>IF(Procurement_kpi_Analysis[[#This Row],[Compliance]]="No",1,0)</f>
        <v>0</v>
      </c>
    </row>
    <row r="708" spans="1:20" x14ac:dyDescent="0.3">
      <c r="A708" t="s">
        <v>733</v>
      </c>
      <c r="B708" t="s">
        <v>23</v>
      </c>
      <c r="C708" s="1">
        <v>45108</v>
      </c>
      <c r="D708" s="1">
        <v>45114</v>
      </c>
      <c r="E708" t="s">
        <v>21</v>
      </c>
      <c r="F708" t="s">
        <v>18</v>
      </c>
      <c r="G708">
        <v>803</v>
      </c>
      <c r="H708">
        <v>67.81</v>
      </c>
      <c r="I708">
        <v>61.53</v>
      </c>
      <c r="J708">
        <v>78</v>
      </c>
      <c r="K708" t="s">
        <v>15</v>
      </c>
      <c r="L708">
        <f>Procurement_kpi_Analysis[[#This Row],[Quantity]]*Procurement_kpi_Analysis[[#This Row],[Negotiated_Price]]</f>
        <v>49408.590000000004</v>
      </c>
      <c r="M708">
        <f>IF(Procurement_kpi_Analysis[[#This Row],[Delivery_Date]]="","",Procurement_kpi_Analysis[[#This Row],[Delivery_Date]]-Procurement_kpi_Analysis[[#This Row],[Order_Date]])</f>
        <v>6</v>
      </c>
      <c r="N708" s="2">
        <f>Procurement_kpi_Analysis[[#This Row],[Defective_Units]]/Procurement_kpi_Analysis[[#This Row],[Quantity]]</f>
        <v>9.7135740971357409E-2</v>
      </c>
      <c r="O708" s="2">
        <f>(Procurement_kpi_Analysis[[#This Row],[Unit_Price]]-Procurement_kpi_Analysis[[#This Row],[Negotiated_Price]])*Procurement_kpi_Analysis[[#This Row],[Quantity]]</f>
        <v>5042.8400000000011</v>
      </c>
      <c r="P708" s="2">
        <f>Procurement_kpi_Analysis[[#This Row],[Total Savings]]/Procurement_kpi_Analysis[[#This Row],[Total Spend]]</f>
        <v>0.10206403380464815</v>
      </c>
      <c r="Q708" s="2" t="str">
        <f>IF(Procurement_kpi_Analysis[[#This Row],[Lead Time]]&lt;=14,"On Time","Late")</f>
        <v>On Time</v>
      </c>
      <c r="R708" s="2">
        <f>Procurement_kpi_Analysis[[#This Row],[Unit_Price]]*Procurement_kpi_Analysis[[#This Row],[Quantity]]</f>
        <v>54451.43</v>
      </c>
      <c r="S708" s="2">
        <f>IF(Procurement_kpi_Analysis[[#This Row],[Compliance]]="Yes",1,0)</f>
        <v>1</v>
      </c>
      <c r="T708" s="2">
        <f>IF(Procurement_kpi_Analysis[[#This Row],[Compliance]]="No",1,0)</f>
        <v>0</v>
      </c>
    </row>
    <row r="709" spans="1:20" x14ac:dyDescent="0.3">
      <c r="A709" t="s">
        <v>734</v>
      </c>
      <c r="B709" t="s">
        <v>12</v>
      </c>
      <c r="C709" s="1">
        <v>44589</v>
      </c>
      <c r="D709" s="1">
        <v>44607</v>
      </c>
      <c r="E709" t="s">
        <v>21</v>
      </c>
      <c r="F709" t="s">
        <v>18</v>
      </c>
      <c r="G709">
        <v>84</v>
      </c>
      <c r="H709">
        <v>18.23</v>
      </c>
      <c r="I709">
        <v>15.55</v>
      </c>
      <c r="J709">
        <v>0</v>
      </c>
      <c r="K709" t="s">
        <v>15</v>
      </c>
      <c r="L709">
        <f>Procurement_kpi_Analysis[[#This Row],[Quantity]]*Procurement_kpi_Analysis[[#This Row],[Negotiated_Price]]</f>
        <v>1306.2</v>
      </c>
      <c r="M709">
        <f>IF(Procurement_kpi_Analysis[[#This Row],[Delivery_Date]]="","",Procurement_kpi_Analysis[[#This Row],[Delivery_Date]]-Procurement_kpi_Analysis[[#This Row],[Order_Date]])</f>
        <v>18</v>
      </c>
      <c r="N709" s="2">
        <f>Procurement_kpi_Analysis[[#This Row],[Defective_Units]]/Procurement_kpi_Analysis[[#This Row],[Quantity]]</f>
        <v>0</v>
      </c>
      <c r="O709" s="2">
        <f>(Procurement_kpi_Analysis[[#This Row],[Unit_Price]]-Procurement_kpi_Analysis[[#This Row],[Negotiated_Price]])*Procurement_kpi_Analysis[[#This Row],[Quantity]]</f>
        <v>225.11999999999998</v>
      </c>
      <c r="P709" s="2">
        <f>Procurement_kpi_Analysis[[#This Row],[Total Savings]]/Procurement_kpi_Analysis[[#This Row],[Total Spend]]</f>
        <v>0.17234726688102892</v>
      </c>
      <c r="Q709" s="2" t="str">
        <f>IF(Procurement_kpi_Analysis[[#This Row],[Lead Time]]&lt;=14,"On Time","Late")</f>
        <v>Late</v>
      </c>
      <c r="R709" s="2">
        <f>Procurement_kpi_Analysis[[#This Row],[Unit_Price]]*Procurement_kpi_Analysis[[#This Row],[Quantity]]</f>
        <v>1531.32</v>
      </c>
      <c r="S709" s="2">
        <f>IF(Procurement_kpi_Analysis[[#This Row],[Compliance]]="Yes",1,0)</f>
        <v>1</v>
      </c>
      <c r="T709" s="2">
        <f>IF(Procurement_kpi_Analysis[[#This Row],[Compliance]]="No",1,0)</f>
        <v>0</v>
      </c>
    </row>
    <row r="710" spans="1:20" x14ac:dyDescent="0.3">
      <c r="A710" t="s">
        <v>735</v>
      </c>
      <c r="B710" t="s">
        <v>29</v>
      </c>
      <c r="C710" s="1">
        <v>44965</v>
      </c>
      <c r="D710" s="1">
        <v>44977</v>
      </c>
      <c r="E710" t="s">
        <v>24</v>
      </c>
      <c r="F710" t="s">
        <v>18</v>
      </c>
      <c r="G710">
        <v>776</v>
      </c>
      <c r="H710">
        <v>94.75</v>
      </c>
      <c r="I710">
        <v>90.89</v>
      </c>
      <c r="J710">
        <v>19</v>
      </c>
      <c r="K710" t="s">
        <v>15</v>
      </c>
      <c r="L710">
        <f>Procurement_kpi_Analysis[[#This Row],[Quantity]]*Procurement_kpi_Analysis[[#This Row],[Negotiated_Price]]</f>
        <v>70530.64</v>
      </c>
      <c r="M710">
        <f>IF(Procurement_kpi_Analysis[[#This Row],[Delivery_Date]]="","",Procurement_kpi_Analysis[[#This Row],[Delivery_Date]]-Procurement_kpi_Analysis[[#This Row],[Order_Date]])</f>
        <v>12</v>
      </c>
      <c r="N710" s="2">
        <f>Procurement_kpi_Analysis[[#This Row],[Defective_Units]]/Procurement_kpi_Analysis[[#This Row],[Quantity]]</f>
        <v>2.4484536082474227E-2</v>
      </c>
      <c r="O710" s="2">
        <f>(Procurement_kpi_Analysis[[#This Row],[Unit_Price]]-Procurement_kpi_Analysis[[#This Row],[Negotiated_Price]])*Procurement_kpi_Analysis[[#This Row],[Quantity]]</f>
        <v>2995.3599999999997</v>
      </c>
      <c r="P710" s="2">
        <f>Procurement_kpi_Analysis[[#This Row],[Total Savings]]/Procurement_kpi_Analysis[[#This Row],[Total Spend]]</f>
        <v>4.24689184728793E-2</v>
      </c>
      <c r="Q710" s="2" t="str">
        <f>IF(Procurement_kpi_Analysis[[#This Row],[Lead Time]]&lt;=14,"On Time","Late")</f>
        <v>On Time</v>
      </c>
      <c r="R710" s="2">
        <f>Procurement_kpi_Analysis[[#This Row],[Unit_Price]]*Procurement_kpi_Analysis[[#This Row],[Quantity]]</f>
        <v>73526</v>
      </c>
      <c r="S710" s="2">
        <f>IF(Procurement_kpi_Analysis[[#This Row],[Compliance]]="Yes",1,0)</f>
        <v>1</v>
      </c>
      <c r="T710" s="2">
        <f>IF(Procurement_kpi_Analysis[[#This Row],[Compliance]]="No",1,0)</f>
        <v>0</v>
      </c>
    </row>
    <row r="711" spans="1:20" x14ac:dyDescent="0.3">
      <c r="A711" t="s">
        <v>736</v>
      </c>
      <c r="B711" t="s">
        <v>12</v>
      </c>
      <c r="C711" s="1">
        <v>45168</v>
      </c>
      <c r="D711" s="1">
        <v>45177</v>
      </c>
      <c r="E711" t="s">
        <v>21</v>
      </c>
      <c r="F711" t="s">
        <v>18</v>
      </c>
      <c r="G711">
        <v>898</v>
      </c>
      <c r="H711">
        <v>37.119999999999997</v>
      </c>
      <c r="I711">
        <v>35.54</v>
      </c>
      <c r="J711">
        <v>18</v>
      </c>
      <c r="K711" t="s">
        <v>27</v>
      </c>
      <c r="L711">
        <f>Procurement_kpi_Analysis[[#This Row],[Quantity]]*Procurement_kpi_Analysis[[#This Row],[Negotiated_Price]]</f>
        <v>31914.92</v>
      </c>
      <c r="M711">
        <f>IF(Procurement_kpi_Analysis[[#This Row],[Delivery_Date]]="","",Procurement_kpi_Analysis[[#This Row],[Delivery_Date]]-Procurement_kpi_Analysis[[#This Row],[Order_Date]])</f>
        <v>9</v>
      </c>
      <c r="N711" s="2">
        <f>Procurement_kpi_Analysis[[#This Row],[Defective_Units]]/Procurement_kpi_Analysis[[#This Row],[Quantity]]</f>
        <v>2.0044543429844099E-2</v>
      </c>
      <c r="O711" s="2">
        <f>(Procurement_kpi_Analysis[[#This Row],[Unit_Price]]-Procurement_kpi_Analysis[[#This Row],[Negotiated_Price]])*Procurement_kpi_Analysis[[#This Row],[Quantity]]</f>
        <v>1418.8399999999986</v>
      </c>
      <c r="P711" s="2">
        <f>Procurement_kpi_Analysis[[#This Row],[Total Savings]]/Procurement_kpi_Analysis[[#This Row],[Total Spend]]</f>
        <v>4.4456949915588025E-2</v>
      </c>
      <c r="Q711" s="2" t="str">
        <f>IF(Procurement_kpi_Analysis[[#This Row],[Lead Time]]&lt;=14,"On Time","Late")</f>
        <v>On Time</v>
      </c>
      <c r="R711" s="2">
        <f>Procurement_kpi_Analysis[[#This Row],[Unit_Price]]*Procurement_kpi_Analysis[[#This Row],[Quantity]]</f>
        <v>33333.759999999995</v>
      </c>
      <c r="S711" s="2">
        <f>IF(Procurement_kpi_Analysis[[#This Row],[Compliance]]="Yes",1,0)</f>
        <v>0</v>
      </c>
      <c r="T711" s="2">
        <f>IF(Procurement_kpi_Analysis[[#This Row],[Compliance]]="No",1,0)</f>
        <v>1</v>
      </c>
    </row>
    <row r="712" spans="1:20" x14ac:dyDescent="0.3">
      <c r="A712" t="s">
        <v>737</v>
      </c>
      <c r="B712" t="s">
        <v>23</v>
      </c>
      <c r="C712" s="1">
        <v>45139</v>
      </c>
      <c r="D712" s="1">
        <v>45146</v>
      </c>
      <c r="E712" t="s">
        <v>13</v>
      </c>
      <c r="F712" t="s">
        <v>14</v>
      </c>
      <c r="G712">
        <v>139</v>
      </c>
      <c r="H712">
        <v>23.71</v>
      </c>
      <c r="I712">
        <v>20.18</v>
      </c>
      <c r="J712">
        <v>14</v>
      </c>
      <c r="K712" t="s">
        <v>15</v>
      </c>
      <c r="L712">
        <f>Procurement_kpi_Analysis[[#This Row],[Quantity]]*Procurement_kpi_Analysis[[#This Row],[Negotiated_Price]]</f>
        <v>2805.02</v>
      </c>
      <c r="M712">
        <f>IF(Procurement_kpi_Analysis[[#This Row],[Delivery_Date]]="","",Procurement_kpi_Analysis[[#This Row],[Delivery_Date]]-Procurement_kpi_Analysis[[#This Row],[Order_Date]])</f>
        <v>7</v>
      </c>
      <c r="N712" s="2">
        <f>Procurement_kpi_Analysis[[#This Row],[Defective_Units]]/Procurement_kpi_Analysis[[#This Row],[Quantity]]</f>
        <v>0.10071942446043165</v>
      </c>
      <c r="O712" s="2">
        <f>(Procurement_kpi_Analysis[[#This Row],[Unit_Price]]-Procurement_kpi_Analysis[[#This Row],[Negotiated_Price]])*Procurement_kpi_Analysis[[#This Row],[Quantity]]</f>
        <v>490.67000000000019</v>
      </c>
      <c r="P712" s="2">
        <f>Procurement_kpi_Analysis[[#This Row],[Total Savings]]/Procurement_kpi_Analysis[[#This Row],[Total Spend]]</f>
        <v>0.17492566897918738</v>
      </c>
      <c r="Q712" s="2" t="str">
        <f>IF(Procurement_kpi_Analysis[[#This Row],[Lead Time]]&lt;=14,"On Time","Late")</f>
        <v>On Time</v>
      </c>
      <c r="R712" s="2">
        <f>Procurement_kpi_Analysis[[#This Row],[Unit_Price]]*Procurement_kpi_Analysis[[#This Row],[Quantity]]</f>
        <v>3295.69</v>
      </c>
      <c r="S712" s="2">
        <f>IF(Procurement_kpi_Analysis[[#This Row],[Compliance]]="Yes",1,0)</f>
        <v>1</v>
      </c>
      <c r="T712" s="2">
        <f>IF(Procurement_kpi_Analysis[[#This Row],[Compliance]]="No",1,0)</f>
        <v>0</v>
      </c>
    </row>
    <row r="713" spans="1:20" x14ac:dyDescent="0.3">
      <c r="A713" t="s">
        <v>738</v>
      </c>
      <c r="B713" t="s">
        <v>20</v>
      </c>
      <c r="C713" s="1">
        <v>45240</v>
      </c>
      <c r="D713" s="1"/>
      <c r="E713" t="s">
        <v>26</v>
      </c>
      <c r="F713" t="s">
        <v>18</v>
      </c>
      <c r="G713">
        <v>825</v>
      </c>
      <c r="H713">
        <v>99.89</v>
      </c>
      <c r="I713">
        <v>97.65</v>
      </c>
      <c r="J713">
        <v>30</v>
      </c>
      <c r="K713" t="s">
        <v>15</v>
      </c>
      <c r="L713">
        <f>Procurement_kpi_Analysis[[#This Row],[Quantity]]*Procurement_kpi_Analysis[[#This Row],[Negotiated_Price]]</f>
        <v>80561.25</v>
      </c>
      <c r="M713" t="str">
        <f>IF(Procurement_kpi_Analysis[[#This Row],[Delivery_Date]]="","",Procurement_kpi_Analysis[[#This Row],[Delivery_Date]]-Procurement_kpi_Analysis[[#This Row],[Order_Date]])</f>
        <v/>
      </c>
      <c r="N713" s="2">
        <f>Procurement_kpi_Analysis[[#This Row],[Defective_Units]]/Procurement_kpi_Analysis[[#This Row],[Quantity]]</f>
        <v>3.6363636363636362E-2</v>
      </c>
      <c r="O713" s="2">
        <f>(Procurement_kpi_Analysis[[#This Row],[Unit_Price]]-Procurement_kpi_Analysis[[#This Row],[Negotiated_Price]])*Procurement_kpi_Analysis[[#This Row],[Quantity]]</f>
        <v>1847.9999999999957</v>
      </c>
      <c r="P713" s="2">
        <f>Procurement_kpi_Analysis[[#This Row],[Total Savings]]/Procurement_kpi_Analysis[[#This Row],[Total Spend]]</f>
        <v>2.2939068100358371E-2</v>
      </c>
      <c r="Q713" s="2" t="str">
        <f>IF(Procurement_kpi_Analysis[[#This Row],[Lead Time]]&lt;=14,"On Time","Late")</f>
        <v>Late</v>
      </c>
      <c r="R713" s="2">
        <f>Procurement_kpi_Analysis[[#This Row],[Unit_Price]]*Procurement_kpi_Analysis[[#This Row],[Quantity]]</f>
        <v>82409.25</v>
      </c>
      <c r="S713" s="2">
        <f>IF(Procurement_kpi_Analysis[[#This Row],[Compliance]]="Yes",1,0)</f>
        <v>1</v>
      </c>
      <c r="T713" s="2">
        <f>IF(Procurement_kpi_Analysis[[#This Row],[Compliance]]="No",1,0)</f>
        <v>0</v>
      </c>
    </row>
    <row r="714" spans="1:20" x14ac:dyDescent="0.3">
      <c r="A714" t="s">
        <v>739</v>
      </c>
      <c r="B714" t="s">
        <v>12</v>
      </c>
      <c r="C714" s="1">
        <v>44589</v>
      </c>
      <c r="D714" s="1">
        <v>44599</v>
      </c>
      <c r="E714" t="s">
        <v>21</v>
      </c>
      <c r="F714" t="s">
        <v>18</v>
      </c>
      <c r="G714">
        <v>654</v>
      </c>
      <c r="H714">
        <v>96.01</v>
      </c>
      <c r="I714">
        <v>90.31</v>
      </c>
      <c r="J714">
        <v>10</v>
      </c>
      <c r="K714" t="s">
        <v>15</v>
      </c>
      <c r="L714">
        <f>Procurement_kpi_Analysis[[#This Row],[Quantity]]*Procurement_kpi_Analysis[[#This Row],[Negotiated_Price]]</f>
        <v>59062.74</v>
      </c>
      <c r="M714">
        <f>IF(Procurement_kpi_Analysis[[#This Row],[Delivery_Date]]="","",Procurement_kpi_Analysis[[#This Row],[Delivery_Date]]-Procurement_kpi_Analysis[[#This Row],[Order_Date]])</f>
        <v>10</v>
      </c>
      <c r="N714" s="2">
        <f>Procurement_kpi_Analysis[[#This Row],[Defective_Units]]/Procurement_kpi_Analysis[[#This Row],[Quantity]]</f>
        <v>1.5290519877675841E-2</v>
      </c>
      <c r="O714" s="2">
        <f>(Procurement_kpi_Analysis[[#This Row],[Unit_Price]]-Procurement_kpi_Analysis[[#This Row],[Negotiated_Price]])*Procurement_kpi_Analysis[[#This Row],[Quantity]]</f>
        <v>3727.800000000002</v>
      </c>
      <c r="P714" s="2">
        <f>Procurement_kpi_Analysis[[#This Row],[Total Savings]]/Procurement_kpi_Analysis[[#This Row],[Total Spend]]</f>
        <v>6.3115934005093605E-2</v>
      </c>
      <c r="Q714" s="2" t="str">
        <f>IF(Procurement_kpi_Analysis[[#This Row],[Lead Time]]&lt;=14,"On Time","Late")</f>
        <v>On Time</v>
      </c>
      <c r="R714" s="2">
        <f>Procurement_kpi_Analysis[[#This Row],[Unit_Price]]*Procurement_kpi_Analysis[[#This Row],[Quantity]]</f>
        <v>62790.54</v>
      </c>
      <c r="S714" s="2">
        <f>IF(Procurement_kpi_Analysis[[#This Row],[Compliance]]="Yes",1,0)</f>
        <v>1</v>
      </c>
      <c r="T714" s="2">
        <f>IF(Procurement_kpi_Analysis[[#This Row],[Compliance]]="No",1,0)</f>
        <v>0</v>
      </c>
    </row>
    <row r="715" spans="1:20" x14ac:dyDescent="0.3">
      <c r="A715" t="s">
        <v>740</v>
      </c>
      <c r="B715" t="s">
        <v>20</v>
      </c>
      <c r="C715" s="1">
        <v>44647</v>
      </c>
      <c r="D715" s="1">
        <v>44657</v>
      </c>
      <c r="E715" t="s">
        <v>21</v>
      </c>
      <c r="F715" t="s">
        <v>18</v>
      </c>
      <c r="G715">
        <v>1995</v>
      </c>
      <c r="H715">
        <v>88.47</v>
      </c>
      <c r="I715">
        <v>82.65</v>
      </c>
      <c r="J715">
        <v>87</v>
      </c>
      <c r="K715" t="s">
        <v>27</v>
      </c>
      <c r="L715">
        <f>Procurement_kpi_Analysis[[#This Row],[Quantity]]*Procurement_kpi_Analysis[[#This Row],[Negotiated_Price]]</f>
        <v>164886.75</v>
      </c>
      <c r="M715">
        <f>IF(Procurement_kpi_Analysis[[#This Row],[Delivery_Date]]="","",Procurement_kpi_Analysis[[#This Row],[Delivery_Date]]-Procurement_kpi_Analysis[[#This Row],[Order_Date]])</f>
        <v>10</v>
      </c>
      <c r="N715" s="2">
        <f>Procurement_kpi_Analysis[[#This Row],[Defective_Units]]/Procurement_kpi_Analysis[[#This Row],[Quantity]]</f>
        <v>4.3609022556390979E-2</v>
      </c>
      <c r="O715" s="2">
        <f>(Procurement_kpi_Analysis[[#This Row],[Unit_Price]]-Procurement_kpi_Analysis[[#This Row],[Negotiated_Price]])*Procurement_kpi_Analysis[[#This Row],[Quantity]]</f>
        <v>11610.899999999987</v>
      </c>
      <c r="P715" s="2">
        <f>Procurement_kpi_Analysis[[#This Row],[Total Savings]]/Procurement_kpi_Analysis[[#This Row],[Total Spend]]</f>
        <v>7.0417422867513527E-2</v>
      </c>
      <c r="Q715" s="2" t="str">
        <f>IF(Procurement_kpi_Analysis[[#This Row],[Lead Time]]&lt;=14,"On Time","Late")</f>
        <v>On Time</v>
      </c>
      <c r="R715" s="2">
        <f>Procurement_kpi_Analysis[[#This Row],[Unit_Price]]*Procurement_kpi_Analysis[[#This Row],[Quantity]]</f>
        <v>176497.65</v>
      </c>
      <c r="S715" s="2">
        <f>IF(Procurement_kpi_Analysis[[#This Row],[Compliance]]="Yes",1,0)</f>
        <v>0</v>
      </c>
      <c r="T715" s="2">
        <f>IF(Procurement_kpi_Analysis[[#This Row],[Compliance]]="No",1,0)</f>
        <v>1</v>
      </c>
    </row>
    <row r="716" spans="1:20" x14ac:dyDescent="0.3">
      <c r="A716" t="s">
        <v>741</v>
      </c>
      <c r="B716" t="s">
        <v>23</v>
      </c>
      <c r="C716" s="1">
        <v>45220</v>
      </c>
      <c r="D716" s="1">
        <v>45227</v>
      </c>
      <c r="E716" t="s">
        <v>21</v>
      </c>
      <c r="F716" t="s">
        <v>18</v>
      </c>
      <c r="G716">
        <v>1019</v>
      </c>
      <c r="H716">
        <v>91.56</v>
      </c>
      <c r="I716">
        <v>77.930000000000007</v>
      </c>
      <c r="J716">
        <v>111</v>
      </c>
      <c r="K716" t="s">
        <v>27</v>
      </c>
      <c r="L716">
        <f>Procurement_kpi_Analysis[[#This Row],[Quantity]]*Procurement_kpi_Analysis[[#This Row],[Negotiated_Price]]</f>
        <v>79410.670000000013</v>
      </c>
      <c r="M716">
        <f>IF(Procurement_kpi_Analysis[[#This Row],[Delivery_Date]]="","",Procurement_kpi_Analysis[[#This Row],[Delivery_Date]]-Procurement_kpi_Analysis[[#This Row],[Order_Date]])</f>
        <v>7</v>
      </c>
      <c r="N716" s="2">
        <f>Procurement_kpi_Analysis[[#This Row],[Defective_Units]]/Procurement_kpi_Analysis[[#This Row],[Quantity]]</f>
        <v>0.10893032384690873</v>
      </c>
      <c r="O716" s="2">
        <f>(Procurement_kpi_Analysis[[#This Row],[Unit_Price]]-Procurement_kpi_Analysis[[#This Row],[Negotiated_Price]])*Procurement_kpi_Analysis[[#This Row],[Quantity]]</f>
        <v>13888.969999999996</v>
      </c>
      <c r="P716" s="2">
        <f>Procurement_kpi_Analysis[[#This Row],[Total Savings]]/Procurement_kpi_Analysis[[#This Row],[Total Spend]]</f>
        <v>0.1749005517772359</v>
      </c>
      <c r="Q716" s="2" t="str">
        <f>IF(Procurement_kpi_Analysis[[#This Row],[Lead Time]]&lt;=14,"On Time","Late")</f>
        <v>On Time</v>
      </c>
      <c r="R716" s="2">
        <f>Procurement_kpi_Analysis[[#This Row],[Unit_Price]]*Procurement_kpi_Analysis[[#This Row],[Quantity]]</f>
        <v>93299.64</v>
      </c>
      <c r="S716" s="2">
        <f>IF(Procurement_kpi_Analysis[[#This Row],[Compliance]]="Yes",1,0)</f>
        <v>0</v>
      </c>
      <c r="T716" s="2">
        <f>IF(Procurement_kpi_Analysis[[#This Row],[Compliance]]="No",1,0)</f>
        <v>1</v>
      </c>
    </row>
    <row r="717" spans="1:20" x14ac:dyDescent="0.3">
      <c r="A717" t="s">
        <v>742</v>
      </c>
      <c r="B717" t="s">
        <v>29</v>
      </c>
      <c r="C717" s="1">
        <v>45000</v>
      </c>
      <c r="D717" s="1">
        <v>45016</v>
      </c>
      <c r="E717" t="s">
        <v>24</v>
      </c>
      <c r="F717" t="s">
        <v>35</v>
      </c>
      <c r="G717">
        <v>1675</v>
      </c>
      <c r="H717">
        <v>73.8</v>
      </c>
      <c r="I717">
        <v>65.34</v>
      </c>
      <c r="J717">
        <v>42</v>
      </c>
      <c r="K717" t="s">
        <v>15</v>
      </c>
      <c r="L717">
        <f>Procurement_kpi_Analysis[[#This Row],[Quantity]]*Procurement_kpi_Analysis[[#This Row],[Negotiated_Price]]</f>
        <v>109444.5</v>
      </c>
      <c r="M717">
        <f>IF(Procurement_kpi_Analysis[[#This Row],[Delivery_Date]]="","",Procurement_kpi_Analysis[[#This Row],[Delivery_Date]]-Procurement_kpi_Analysis[[#This Row],[Order_Date]])</f>
        <v>16</v>
      </c>
      <c r="N717" s="2">
        <f>Procurement_kpi_Analysis[[#This Row],[Defective_Units]]/Procurement_kpi_Analysis[[#This Row],[Quantity]]</f>
        <v>2.5074626865671641E-2</v>
      </c>
      <c r="O717" s="2">
        <f>(Procurement_kpi_Analysis[[#This Row],[Unit_Price]]-Procurement_kpi_Analysis[[#This Row],[Negotiated_Price]])*Procurement_kpi_Analysis[[#This Row],[Quantity]]</f>
        <v>14170.499999999989</v>
      </c>
      <c r="P717" s="2">
        <f>Procurement_kpi_Analysis[[#This Row],[Total Savings]]/Procurement_kpi_Analysis[[#This Row],[Total Spend]]</f>
        <v>0.12947658402203846</v>
      </c>
      <c r="Q717" s="2" t="str">
        <f>IF(Procurement_kpi_Analysis[[#This Row],[Lead Time]]&lt;=14,"On Time","Late")</f>
        <v>Late</v>
      </c>
      <c r="R717" s="2">
        <f>Procurement_kpi_Analysis[[#This Row],[Unit_Price]]*Procurement_kpi_Analysis[[#This Row],[Quantity]]</f>
        <v>123615</v>
      </c>
      <c r="S717" s="2">
        <f>IF(Procurement_kpi_Analysis[[#This Row],[Compliance]]="Yes",1,0)</f>
        <v>1</v>
      </c>
      <c r="T717" s="2">
        <f>IF(Procurement_kpi_Analysis[[#This Row],[Compliance]]="No",1,0)</f>
        <v>0</v>
      </c>
    </row>
    <row r="718" spans="1:20" x14ac:dyDescent="0.3">
      <c r="A718" t="s">
        <v>743</v>
      </c>
      <c r="B718" t="s">
        <v>20</v>
      </c>
      <c r="C718" s="1">
        <v>44700</v>
      </c>
      <c r="D718" s="1">
        <v>44712</v>
      </c>
      <c r="E718" t="s">
        <v>26</v>
      </c>
      <c r="F718" t="s">
        <v>35</v>
      </c>
      <c r="G718">
        <v>1071</v>
      </c>
      <c r="H718">
        <v>60.77</v>
      </c>
      <c r="I718">
        <v>58.5</v>
      </c>
      <c r="J718">
        <v>0</v>
      </c>
      <c r="K718" t="s">
        <v>15</v>
      </c>
      <c r="L718">
        <f>Procurement_kpi_Analysis[[#This Row],[Quantity]]*Procurement_kpi_Analysis[[#This Row],[Negotiated_Price]]</f>
        <v>62653.5</v>
      </c>
      <c r="M718">
        <f>IF(Procurement_kpi_Analysis[[#This Row],[Delivery_Date]]="","",Procurement_kpi_Analysis[[#This Row],[Delivery_Date]]-Procurement_kpi_Analysis[[#This Row],[Order_Date]])</f>
        <v>12</v>
      </c>
      <c r="N718" s="2">
        <f>Procurement_kpi_Analysis[[#This Row],[Defective_Units]]/Procurement_kpi_Analysis[[#This Row],[Quantity]]</f>
        <v>0</v>
      </c>
      <c r="O718" s="2">
        <f>(Procurement_kpi_Analysis[[#This Row],[Unit_Price]]-Procurement_kpi_Analysis[[#This Row],[Negotiated_Price]])*Procurement_kpi_Analysis[[#This Row],[Quantity]]</f>
        <v>2431.1700000000033</v>
      </c>
      <c r="P718" s="2">
        <f>Procurement_kpi_Analysis[[#This Row],[Total Savings]]/Procurement_kpi_Analysis[[#This Row],[Total Spend]]</f>
        <v>3.8803418803418858E-2</v>
      </c>
      <c r="Q718" s="2" t="str">
        <f>IF(Procurement_kpi_Analysis[[#This Row],[Lead Time]]&lt;=14,"On Time","Late")</f>
        <v>On Time</v>
      </c>
      <c r="R718" s="2">
        <f>Procurement_kpi_Analysis[[#This Row],[Unit_Price]]*Procurement_kpi_Analysis[[#This Row],[Quantity]]</f>
        <v>65084.670000000006</v>
      </c>
      <c r="S718" s="2">
        <f>IF(Procurement_kpi_Analysis[[#This Row],[Compliance]]="Yes",1,0)</f>
        <v>1</v>
      </c>
      <c r="T718" s="2">
        <f>IF(Procurement_kpi_Analysis[[#This Row],[Compliance]]="No",1,0)</f>
        <v>0</v>
      </c>
    </row>
    <row r="719" spans="1:20" x14ac:dyDescent="0.3">
      <c r="A719" t="s">
        <v>744</v>
      </c>
      <c r="B719" t="s">
        <v>23</v>
      </c>
      <c r="C719" s="1">
        <v>45034</v>
      </c>
      <c r="D719" s="1">
        <v>45043</v>
      </c>
      <c r="E719" t="s">
        <v>13</v>
      </c>
      <c r="F719" t="s">
        <v>18</v>
      </c>
      <c r="G719">
        <v>467</v>
      </c>
      <c r="H719">
        <v>19.170000000000002</v>
      </c>
      <c r="I719">
        <v>17.11</v>
      </c>
      <c r="J719">
        <v>49</v>
      </c>
      <c r="K719" t="s">
        <v>15</v>
      </c>
      <c r="L719">
        <f>Procurement_kpi_Analysis[[#This Row],[Quantity]]*Procurement_kpi_Analysis[[#This Row],[Negotiated_Price]]</f>
        <v>7990.37</v>
      </c>
      <c r="M719">
        <f>IF(Procurement_kpi_Analysis[[#This Row],[Delivery_Date]]="","",Procurement_kpi_Analysis[[#This Row],[Delivery_Date]]-Procurement_kpi_Analysis[[#This Row],[Order_Date]])</f>
        <v>9</v>
      </c>
      <c r="N719" s="2">
        <f>Procurement_kpi_Analysis[[#This Row],[Defective_Units]]/Procurement_kpi_Analysis[[#This Row],[Quantity]]</f>
        <v>0.10492505353319058</v>
      </c>
      <c r="O719" s="2">
        <f>(Procurement_kpi_Analysis[[#This Row],[Unit_Price]]-Procurement_kpi_Analysis[[#This Row],[Negotiated_Price]])*Procurement_kpi_Analysis[[#This Row],[Quantity]]</f>
        <v>962.02000000000112</v>
      </c>
      <c r="P719" s="2">
        <f>Procurement_kpi_Analysis[[#This Row],[Total Savings]]/Procurement_kpi_Analysis[[#This Row],[Total Spend]]</f>
        <v>0.12039742840444199</v>
      </c>
      <c r="Q719" s="2" t="str">
        <f>IF(Procurement_kpi_Analysis[[#This Row],[Lead Time]]&lt;=14,"On Time","Late")</f>
        <v>On Time</v>
      </c>
      <c r="R719" s="2">
        <f>Procurement_kpi_Analysis[[#This Row],[Unit_Price]]*Procurement_kpi_Analysis[[#This Row],[Quantity]]</f>
        <v>8952.3900000000012</v>
      </c>
      <c r="S719" s="2">
        <f>IF(Procurement_kpi_Analysis[[#This Row],[Compliance]]="Yes",1,0)</f>
        <v>1</v>
      </c>
      <c r="T719" s="2">
        <f>IF(Procurement_kpi_Analysis[[#This Row],[Compliance]]="No",1,0)</f>
        <v>0</v>
      </c>
    </row>
    <row r="720" spans="1:20" x14ac:dyDescent="0.3">
      <c r="A720" t="s">
        <v>745</v>
      </c>
      <c r="B720" t="s">
        <v>17</v>
      </c>
      <c r="C720" s="1">
        <v>44748</v>
      </c>
      <c r="D720" s="1">
        <v>44767</v>
      </c>
      <c r="E720" t="s">
        <v>21</v>
      </c>
      <c r="F720" t="s">
        <v>35</v>
      </c>
      <c r="G720">
        <v>164</v>
      </c>
      <c r="H720">
        <v>48.16</v>
      </c>
      <c r="I720">
        <v>47.46</v>
      </c>
      <c r="J720">
        <v>27</v>
      </c>
      <c r="K720" t="s">
        <v>15</v>
      </c>
      <c r="L720">
        <f>Procurement_kpi_Analysis[[#This Row],[Quantity]]*Procurement_kpi_Analysis[[#This Row],[Negotiated_Price]]</f>
        <v>7783.4400000000005</v>
      </c>
      <c r="M720">
        <f>IF(Procurement_kpi_Analysis[[#This Row],[Delivery_Date]]="","",Procurement_kpi_Analysis[[#This Row],[Delivery_Date]]-Procurement_kpi_Analysis[[#This Row],[Order_Date]])</f>
        <v>19</v>
      </c>
      <c r="N720" s="2">
        <f>Procurement_kpi_Analysis[[#This Row],[Defective_Units]]/Procurement_kpi_Analysis[[#This Row],[Quantity]]</f>
        <v>0.16463414634146342</v>
      </c>
      <c r="O720" s="2">
        <f>(Procurement_kpi_Analysis[[#This Row],[Unit_Price]]-Procurement_kpi_Analysis[[#This Row],[Negotiated_Price]])*Procurement_kpi_Analysis[[#This Row],[Quantity]]</f>
        <v>114.7999999999993</v>
      </c>
      <c r="P720" s="2">
        <f>Procurement_kpi_Analysis[[#This Row],[Total Savings]]/Procurement_kpi_Analysis[[#This Row],[Total Spend]]</f>
        <v>1.4749262536873066E-2</v>
      </c>
      <c r="Q720" s="2" t="str">
        <f>IF(Procurement_kpi_Analysis[[#This Row],[Lead Time]]&lt;=14,"On Time","Late")</f>
        <v>Late</v>
      </c>
      <c r="R720" s="2">
        <f>Procurement_kpi_Analysis[[#This Row],[Unit_Price]]*Procurement_kpi_Analysis[[#This Row],[Quantity]]</f>
        <v>7898.24</v>
      </c>
      <c r="S720" s="2">
        <f>IF(Procurement_kpi_Analysis[[#This Row],[Compliance]]="Yes",1,0)</f>
        <v>1</v>
      </c>
      <c r="T720" s="2">
        <f>IF(Procurement_kpi_Analysis[[#This Row],[Compliance]]="No",1,0)</f>
        <v>0</v>
      </c>
    </row>
    <row r="721" spans="1:20" x14ac:dyDescent="0.3">
      <c r="A721" t="s">
        <v>746</v>
      </c>
      <c r="B721" t="s">
        <v>29</v>
      </c>
      <c r="C721" s="1">
        <v>44613</v>
      </c>
      <c r="D721" s="1">
        <v>44626</v>
      </c>
      <c r="E721" t="s">
        <v>39</v>
      </c>
      <c r="F721" t="s">
        <v>14</v>
      </c>
      <c r="G721">
        <v>666</v>
      </c>
      <c r="H721">
        <v>43.76</v>
      </c>
      <c r="I721">
        <v>41.13</v>
      </c>
      <c r="J721">
        <v>18</v>
      </c>
      <c r="K721" t="s">
        <v>15</v>
      </c>
      <c r="L721">
        <f>Procurement_kpi_Analysis[[#This Row],[Quantity]]*Procurement_kpi_Analysis[[#This Row],[Negotiated_Price]]</f>
        <v>27392.58</v>
      </c>
      <c r="M721">
        <f>IF(Procurement_kpi_Analysis[[#This Row],[Delivery_Date]]="","",Procurement_kpi_Analysis[[#This Row],[Delivery_Date]]-Procurement_kpi_Analysis[[#This Row],[Order_Date]])</f>
        <v>13</v>
      </c>
      <c r="N721" s="2">
        <f>Procurement_kpi_Analysis[[#This Row],[Defective_Units]]/Procurement_kpi_Analysis[[#This Row],[Quantity]]</f>
        <v>2.7027027027027029E-2</v>
      </c>
      <c r="O721" s="2">
        <f>(Procurement_kpi_Analysis[[#This Row],[Unit_Price]]-Procurement_kpi_Analysis[[#This Row],[Negotiated_Price]])*Procurement_kpi_Analysis[[#This Row],[Quantity]]</f>
        <v>1751.579999999997</v>
      </c>
      <c r="P721" s="2">
        <f>Procurement_kpi_Analysis[[#This Row],[Total Savings]]/Procurement_kpi_Analysis[[#This Row],[Total Spend]]</f>
        <v>6.3943593484074773E-2</v>
      </c>
      <c r="Q721" s="2" t="str">
        <f>IF(Procurement_kpi_Analysis[[#This Row],[Lead Time]]&lt;=14,"On Time","Late")</f>
        <v>On Time</v>
      </c>
      <c r="R721" s="2">
        <f>Procurement_kpi_Analysis[[#This Row],[Unit_Price]]*Procurement_kpi_Analysis[[#This Row],[Quantity]]</f>
        <v>29144.16</v>
      </c>
      <c r="S721" s="2">
        <f>IF(Procurement_kpi_Analysis[[#This Row],[Compliance]]="Yes",1,0)</f>
        <v>1</v>
      </c>
      <c r="T721" s="2">
        <f>IF(Procurement_kpi_Analysis[[#This Row],[Compliance]]="No",1,0)</f>
        <v>0</v>
      </c>
    </row>
    <row r="722" spans="1:20" x14ac:dyDescent="0.3">
      <c r="A722" t="s">
        <v>747</v>
      </c>
      <c r="B722" t="s">
        <v>17</v>
      </c>
      <c r="C722" s="1">
        <v>44828</v>
      </c>
      <c r="D722" s="1">
        <v>44841</v>
      </c>
      <c r="E722" t="s">
        <v>24</v>
      </c>
      <c r="F722" t="s">
        <v>33</v>
      </c>
      <c r="G722">
        <v>1976</v>
      </c>
      <c r="H722">
        <v>34.71</v>
      </c>
      <c r="I722">
        <v>31.56</v>
      </c>
      <c r="J722">
        <v>286</v>
      </c>
      <c r="K722" t="s">
        <v>27</v>
      </c>
      <c r="L722">
        <f>Procurement_kpi_Analysis[[#This Row],[Quantity]]*Procurement_kpi_Analysis[[#This Row],[Negotiated_Price]]</f>
        <v>62362.559999999998</v>
      </c>
      <c r="M722">
        <f>IF(Procurement_kpi_Analysis[[#This Row],[Delivery_Date]]="","",Procurement_kpi_Analysis[[#This Row],[Delivery_Date]]-Procurement_kpi_Analysis[[#This Row],[Order_Date]])</f>
        <v>13</v>
      </c>
      <c r="N722" s="2">
        <f>Procurement_kpi_Analysis[[#This Row],[Defective_Units]]/Procurement_kpi_Analysis[[#This Row],[Quantity]]</f>
        <v>0.14473684210526316</v>
      </c>
      <c r="O722" s="2">
        <f>(Procurement_kpi_Analysis[[#This Row],[Unit_Price]]-Procurement_kpi_Analysis[[#This Row],[Negotiated_Price]])*Procurement_kpi_Analysis[[#This Row],[Quantity]]</f>
        <v>6224.4000000000042</v>
      </c>
      <c r="P722" s="2">
        <f>Procurement_kpi_Analysis[[#This Row],[Total Savings]]/Procurement_kpi_Analysis[[#This Row],[Total Spend]]</f>
        <v>9.9809885931559011E-2</v>
      </c>
      <c r="Q722" s="2" t="str">
        <f>IF(Procurement_kpi_Analysis[[#This Row],[Lead Time]]&lt;=14,"On Time","Late")</f>
        <v>On Time</v>
      </c>
      <c r="R722" s="2">
        <f>Procurement_kpi_Analysis[[#This Row],[Unit_Price]]*Procurement_kpi_Analysis[[#This Row],[Quantity]]</f>
        <v>68586.960000000006</v>
      </c>
      <c r="S722" s="2">
        <f>IF(Procurement_kpi_Analysis[[#This Row],[Compliance]]="Yes",1,0)</f>
        <v>0</v>
      </c>
      <c r="T722" s="2">
        <f>IF(Procurement_kpi_Analysis[[#This Row],[Compliance]]="No",1,0)</f>
        <v>1</v>
      </c>
    </row>
    <row r="723" spans="1:20" x14ac:dyDescent="0.3">
      <c r="A723" t="s">
        <v>748</v>
      </c>
      <c r="B723" t="s">
        <v>29</v>
      </c>
      <c r="C723" s="1">
        <v>44950</v>
      </c>
      <c r="D723" s="1">
        <v>44955</v>
      </c>
      <c r="E723" t="s">
        <v>21</v>
      </c>
      <c r="F723" t="s">
        <v>18</v>
      </c>
      <c r="G723">
        <v>1269</v>
      </c>
      <c r="H723">
        <v>79.61</v>
      </c>
      <c r="I723">
        <v>71.86</v>
      </c>
      <c r="J723">
        <v>47</v>
      </c>
      <c r="K723" t="s">
        <v>15</v>
      </c>
      <c r="L723">
        <f>Procurement_kpi_Analysis[[#This Row],[Quantity]]*Procurement_kpi_Analysis[[#This Row],[Negotiated_Price]]</f>
        <v>91190.34</v>
      </c>
      <c r="M723">
        <f>IF(Procurement_kpi_Analysis[[#This Row],[Delivery_Date]]="","",Procurement_kpi_Analysis[[#This Row],[Delivery_Date]]-Procurement_kpi_Analysis[[#This Row],[Order_Date]])</f>
        <v>5</v>
      </c>
      <c r="N723" s="2">
        <f>Procurement_kpi_Analysis[[#This Row],[Defective_Units]]/Procurement_kpi_Analysis[[#This Row],[Quantity]]</f>
        <v>3.7037037037037035E-2</v>
      </c>
      <c r="O723" s="2">
        <f>(Procurement_kpi_Analysis[[#This Row],[Unit_Price]]-Procurement_kpi_Analysis[[#This Row],[Negotiated_Price]])*Procurement_kpi_Analysis[[#This Row],[Quantity]]</f>
        <v>9834.75</v>
      </c>
      <c r="P723" s="2">
        <f>Procurement_kpi_Analysis[[#This Row],[Total Savings]]/Procurement_kpi_Analysis[[#This Row],[Total Spend]]</f>
        <v>0.10784859448928473</v>
      </c>
      <c r="Q723" s="2" t="str">
        <f>IF(Procurement_kpi_Analysis[[#This Row],[Lead Time]]&lt;=14,"On Time","Late")</f>
        <v>On Time</v>
      </c>
      <c r="R723" s="2">
        <f>Procurement_kpi_Analysis[[#This Row],[Unit_Price]]*Procurement_kpi_Analysis[[#This Row],[Quantity]]</f>
        <v>101025.09</v>
      </c>
      <c r="S723" s="2">
        <f>IF(Procurement_kpi_Analysis[[#This Row],[Compliance]]="Yes",1,0)</f>
        <v>1</v>
      </c>
      <c r="T723" s="2">
        <f>IF(Procurement_kpi_Analysis[[#This Row],[Compliance]]="No",1,0)</f>
        <v>0</v>
      </c>
    </row>
    <row r="724" spans="1:20" x14ac:dyDescent="0.3">
      <c r="A724" t="s">
        <v>749</v>
      </c>
      <c r="B724" t="s">
        <v>29</v>
      </c>
      <c r="C724" s="1">
        <v>44897</v>
      </c>
      <c r="D724" s="1">
        <v>44907</v>
      </c>
      <c r="E724" t="s">
        <v>21</v>
      </c>
      <c r="F724" t="s">
        <v>18</v>
      </c>
      <c r="G724">
        <v>875</v>
      </c>
      <c r="H724">
        <v>57.63</v>
      </c>
      <c r="I724">
        <v>51.8</v>
      </c>
      <c r="J724">
        <v>16</v>
      </c>
      <c r="K724" t="s">
        <v>15</v>
      </c>
      <c r="L724">
        <f>Procurement_kpi_Analysis[[#This Row],[Quantity]]*Procurement_kpi_Analysis[[#This Row],[Negotiated_Price]]</f>
        <v>45325</v>
      </c>
      <c r="M724">
        <f>IF(Procurement_kpi_Analysis[[#This Row],[Delivery_Date]]="","",Procurement_kpi_Analysis[[#This Row],[Delivery_Date]]-Procurement_kpi_Analysis[[#This Row],[Order_Date]])</f>
        <v>10</v>
      </c>
      <c r="N724" s="2">
        <f>Procurement_kpi_Analysis[[#This Row],[Defective_Units]]/Procurement_kpi_Analysis[[#This Row],[Quantity]]</f>
        <v>1.8285714285714287E-2</v>
      </c>
      <c r="O724" s="2">
        <f>(Procurement_kpi_Analysis[[#This Row],[Unit_Price]]-Procurement_kpi_Analysis[[#This Row],[Negotiated_Price]])*Procurement_kpi_Analysis[[#This Row],[Quantity]]</f>
        <v>5101.2500000000045</v>
      </c>
      <c r="P724" s="2">
        <f>Procurement_kpi_Analysis[[#This Row],[Total Savings]]/Procurement_kpi_Analysis[[#This Row],[Total Spend]]</f>
        <v>0.11254826254826265</v>
      </c>
      <c r="Q724" s="2" t="str">
        <f>IF(Procurement_kpi_Analysis[[#This Row],[Lead Time]]&lt;=14,"On Time","Late")</f>
        <v>On Time</v>
      </c>
      <c r="R724" s="2">
        <f>Procurement_kpi_Analysis[[#This Row],[Unit_Price]]*Procurement_kpi_Analysis[[#This Row],[Quantity]]</f>
        <v>50426.25</v>
      </c>
      <c r="S724" s="2">
        <f>IF(Procurement_kpi_Analysis[[#This Row],[Compliance]]="Yes",1,0)</f>
        <v>1</v>
      </c>
      <c r="T724" s="2">
        <f>IF(Procurement_kpi_Analysis[[#This Row],[Compliance]]="No",1,0)</f>
        <v>0</v>
      </c>
    </row>
    <row r="725" spans="1:20" x14ac:dyDescent="0.3">
      <c r="A725" t="s">
        <v>750</v>
      </c>
      <c r="B725" t="s">
        <v>12</v>
      </c>
      <c r="C725" s="1">
        <v>44778</v>
      </c>
      <c r="D725" s="1"/>
      <c r="E725" t="s">
        <v>24</v>
      </c>
      <c r="F725" t="s">
        <v>33</v>
      </c>
      <c r="G725">
        <v>1574</v>
      </c>
      <c r="H725">
        <v>17.899999999999999</v>
      </c>
      <c r="I725">
        <v>15.85</v>
      </c>
      <c r="J725">
        <v>31</v>
      </c>
      <c r="K725" t="s">
        <v>15</v>
      </c>
      <c r="L725">
        <f>Procurement_kpi_Analysis[[#This Row],[Quantity]]*Procurement_kpi_Analysis[[#This Row],[Negotiated_Price]]</f>
        <v>24947.899999999998</v>
      </c>
      <c r="M725" t="str">
        <f>IF(Procurement_kpi_Analysis[[#This Row],[Delivery_Date]]="","",Procurement_kpi_Analysis[[#This Row],[Delivery_Date]]-Procurement_kpi_Analysis[[#This Row],[Order_Date]])</f>
        <v/>
      </c>
      <c r="N725" s="2">
        <f>Procurement_kpi_Analysis[[#This Row],[Defective_Units]]/Procurement_kpi_Analysis[[#This Row],[Quantity]]</f>
        <v>1.9695044472681066E-2</v>
      </c>
      <c r="O725" s="2">
        <f>(Procurement_kpi_Analysis[[#This Row],[Unit_Price]]-Procurement_kpi_Analysis[[#This Row],[Negotiated_Price]])*Procurement_kpi_Analysis[[#This Row],[Quantity]]</f>
        <v>3226.6999999999985</v>
      </c>
      <c r="P725" s="2">
        <f>Procurement_kpi_Analysis[[#This Row],[Total Savings]]/Procurement_kpi_Analysis[[#This Row],[Total Spend]]</f>
        <v>0.1293375394321766</v>
      </c>
      <c r="Q725" s="2" t="str">
        <f>IF(Procurement_kpi_Analysis[[#This Row],[Lead Time]]&lt;=14,"On Time","Late")</f>
        <v>Late</v>
      </c>
      <c r="R725" s="2">
        <f>Procurement_kpi_Analysis[[#This Row],[Unit_Price]]*Procurement_kpi_Analysis[[#This Row],[Quantity]]</f>
        <v>28174.6</v>
      </c>
      <c r="S725" s="2">
        <f>IF(Procurement_kpi_Analysis[[#This Row],[Compliance]]="Yes",1,0)</f>
        <v>1</v>
      </c>
      <c r="T725" s="2">
        <f>IF(Procurement_kpi_Analysis[[#This Row],[Compliance]]="No",1,0)</f>
        <v>0</v>
      </c>
    </row>
    <row r="726" spans="1:20" x14ac:dyDescent="0.3">
      <c r="A726" t="s">
        <v>751</v>
      </c>
      <c r="B726" t="s">
        <v>29</v>
      </c>
      <c r="C726" s="1">
        <v>45027</v>
      </c>
      <c r="D726" s="1">
        <v>45042</v>
      </c>
      <c r="E726" t="s">
        <v>13</v>
      </c>
      <c r="F726" t="s">
        <v>33</v>
      </c>
      <c r="G726">
        <v>1699</v>
      </c>
      <c r="H726">
        <v>32.049999999999997</v>
      </c>
      <c r="I726">
        <v>29.34</v>
      </c>
      <c r="J726">
        <v>69</v>
      </c>
      <c r="K726" t="s">
        <v>15</v>
      </c>
      <c r="L726">
        <f>Procurement_kpi_Analysis[[#This Row],[Quantity]]*Procurement_kpi_Analysis[[#This Row],[Negotiated_Price]]</f>
        <v>49848.659999999996</v>
      </c>
      <c r="M726">
        <f>IF(Procurement_kpi_Analysis[[#This Row],[Delivery_Date]]="","",Procurement_kpi_Analysis[[#This Row],[Delivery_Date]]-Procurement_kpi_Analysis[[#This Row],[Order_Date]])</f>
        <v>15</v>
      </c>
      <c r="N726" s="2">
        <f>Procurement_kpi_Analysis[[#This Row],[Defective_Units]]/Procurement_kpi_Analysis[[#This Row],[Quantity]]</f>
        <v>4.061212477928193E-2</v>
      </c>
      <c r="O726" s="2">
        <f>(Procurement_kpi_Analysis[[#This Row],[Unit_Price]]-Procurement_kpi_Analysis[[#This Row],[Negotiated_Price]])*Procurement_kpi_Analysis[[#This Row],[Quantity]]</f>
        <v>4604.2899999999954</v>
      </c>
      <c r="P726" s="2">
        <f>Procurement_kpi_Analysis[[#This Row],[Total Savings]]/Procurement_kpi_Analysis[[#This Row],[Total Spend]]</f>
        <v>9.236537150647571E-2</v>
      </c>
      <c r="Q726" s="2" t="str">
        <f>IF(Procurement_kpi_Analysis[[#This Row],[Lead Time]]&lt;=14,"On Time","Late")</f>
        <v>Late</v>
      </c>
      <c r="R726" s="2">
        <f>Procurement_kpi_Analysis[[#This Row],[Unit_Price]]*Procurement_kpi_Analysis[[#This Row],[Quantity]]</f>
        <v>54452.95</v>
      </c>
      <c r="S726" s="2">
        <f>IF(Procurement_kpi_Analysis[[#This Row],[Compliance]]="Yes",1,0)</f>
        <v>1</v>
      </c>
      <c r="T726" s="2">
        <f>IF(Procurement_kpi_Analysis[[#This Row],[Compliance]]="No",1,0)</f>
        <v>0</v>
      </c>
    </row>
    <row r="727" spans="1:20" x14ac:dyDescent="0.3">
      <c r="A727" t="s">
        <v>752</v>
      </c>
      <c r="B727" t="s">
        <v>12</v>
      </c>
      <c r="C727" s="1">
        <v>44896</v>
      </c>
      <c r="D727" s="1">
        <v>44912</v>
      </c>
      <c r="E727" t="s">
        <v>39</v>
      </c>
      <c r="F727" t="s">
        <v>18</v>
      </c>
      <c r="G727">
        <v>1566</v>
      </c>
      <c r="H727">
        <v>75.430000000000007</v>
      </c>
      <c r="I727">
        <v>71.27</v>
      </c>
      <c r="J727">
        <v>27</v>
      </c>
      <c r="K727" t="s">
        <v>15</v>
      </c>
      <c r="L727">
        <f>Procurement_kpi_Analysis[[#This Row],[Quantity]]*Procurement_kpi_Analysis[[#This Row],[Negotiated_Price]]</f>
        <v>111608.81999999999</v>
      </c>
      <c r="M727">
        <f>IF(Procurement_kpi_Analysis[[#This Row],[Delivery_Date]]="","",Procurement_kpi_Analysis[[#This Row],[Delivery_Date]]-Procurement_kpi_Analysis[[#This Row],[Order_Date]])</f>
        <v>16</v>
      </c>
      <c r="N727" s="2">
        <f>Procurement_kpi_Analysis[[#This Row],[Defective_Units]]/Procurement_kpi_Analysis[[#This Row],[Quantity]]</f>
        <v>1.7241379310344827E-2</v>
      </c>
      <c r="O727" s="2">
        <f>(Procurement_kpi_Analysis[[#This Row],[Unit_Price]]-Procurement_kpi_Analysis[[#This Row],[Negotiated_Price]])*Procurement_kpi_Analysis[[#This Row],[Quantity]]</f>
        <v>6514.5600000000168</v>
      </c>
      <c r="P727" s="2">
        <f>Procurement_kpi_Analysis[[#This Row],[Total Savings]]/Procurement_kpi_Analysis[[#This Row],[Total Spend]]</f>
        <v>5.8369580468640533E-2</v>
      </c>
      <c r="Q727" s="2" t="str">
        <f>IF(Procurement_kpi_Analysis[[#This Row],[Lead Time]]&lt;=14,"On Time","Late")</f>
        <v>Late</v>
      </c>
      <c r="R727" s="2">
        <f>Procurement_kpi_Analysis[[#This Row],[Unit_Price]]*Procurement_kpi_Analysis[[#This Row],[Quantity]]</f>
        <v>118123.38</v>
      </c>
      <c r="S727" s="2">
        <f>IF(Procurement_kpi_Analysis[[#This Row],[Compliance]]="Yes",1,0)</f>
        <v>1</v>
      </c>
      <c r="T727" s="2">
        <f>IF(Procurement_kpi_Analysis[[#This Row],[Compliance]]="No",1,0)</f>
        <v>0</v>
      </c>
    </row>
    <row r="728" spans="1:20" x14ac:dyDescent="0.3">
      <c r="A728" t="s">
        <v>753</v>
      </c>
      <c r="B728" t="s">
        <v>20</v>
      </c>
      <c r="C728" s="1">
        <v>44907</v>
      </c>
      <c r="D728" s="1">
        <v>44925</v>
      </c>
      <c r="E728" t="s">
        <v>39</v>
      </c>
      <c r="F728" t="s">
        <v>18</v>
      </c>
      <c r="G728">
        <v>1148</v>
      </c>
      <c r="H728">
        <v>17.78</v>
      </c>
      <c r="I728">
        <v>17.16</v>
      </c>
      <c r="J728">
        <v>61</v>
      </c>
      <c r="K728" t="s">
        <v>15</v>
      </c>
      <c r="L728">
        <f>Procurement_kpi_Analysis[[#This Row],[Quantity]]*Procurement_kpi_Analysis[[#This Row],[Negotiated_Price]]</f>
        <v>19699.68</v>
      </c>
      <c r="M728">
        <f>IF(Procurement_kpi_Analysis[[#This Row],[Delivery_Date]]="","",Procurement_kpi_Analysis[[#This Row],[Delivery_Date]]-Procurement_kpi_Analysis[[#This Row],[Order_Date]])</f>
        <v>18</v>
      </c>
      <c r="N728" s="2">
        <f>Procurement_kpi_Analysis[[#This Row],[Defective_Units]]/Procurement_kpi_Analysis[[#This Row],[Quantity]]</f>
        <v>5.3135888501742161E-2</v>
      </c>
      <c r="O728" s="2">
        <f>(Procurement_kpi_Analysis[[#This Row],[Unit_Price]]-Procurement_kpi_Analysis[[#This Row],[Negotiated_Price]])*Procurement_kpi_Analysis[[#This Row],[Quantity]]</f>
        <v>711.76000000000113</v>
      </c>
      <c r="P728" s="2">
        <f>Procurement_kpi_Analysis[[#This Row],[Total Savings]]/Procurement_kpi_Analysis[[#This Row],[Total Spend]]</f>
        <v>3.6130536130536184E-2</v>
      </c>
      <c r="Q728" s="2" t="str">
        <f>IF(Procurement_kpi_Analysis[[#This Row],[Lead Time]]&lt;=14,"On Time","Late")</f>
        <v>Late</v>
      </c>
      <c r="R728" s="2">
        <f>Procurement_kpi_Analysis[[#This Row],[Unit_Price]]*Procurement_kpi_Analysis[[#This Row],[Quantity]]</f>
        <v>20411.440000000002</v>
      </c>
      <c r="S728" s="2">
        <f>IF(Procurement_kpi_Analysis[[#This Row],[Compliance]]="Yes",1,0)</f>
        <v>1</v>
      </c>
      <c r="T728" s="2">
        <f>IF(Procurement_kpi_Analysis[[#This Row],[Compliance]]="No",1,0)</f>
        <v>0</v>
      </c>
    </row>
    <row r="729" spans="1:20" x14ac:dyDescent="0.3">
      <c r="A729" t="s">
        <v>754</v>
      </c>
      <c r="B729" t="s">
        <v>29</v>
      </c>
      <c r="C729" s="1">
        <v>44950</v>
      </c>
      <c r="D729" s="1">
        <v>44968</v>
      </c>
      <c r="E729" t="s">
        <v>13</v>
      </c>
      <c r="F729" t="s">
        <v>18</v>
      </c>
      <c r="G729">
        <v>462</v>
      </c>
      <c r="H729">
        <v>91.81</v>
      </c>
      <c r="I729">
        <v>83.14</v>
      </c>
      <c r="J729">
        <v>11</v>
      </c>
      <c r="K729" t="s">
        <v>15</v>
      </c>
      <c r="L729">
        <f>Procurement_kpi_Analysis[[#This Row],[Quantity]]*Procurement_kpi_Analysis[[#This Row],[Negotiated_Price]]</f>
        <v>38410.68</v>
      </c>
      <c r="M729">
        <f>IF(Procurement_kpi_Analysis[[#This Row],[Delivery_Date]]="","",Procurement_kpi_Analysis[[#This Row],[Delivery_Date]]-Procurement_kpi_Analysis[[#This Row],[Order_Date]])</f>
        <v>18</v>
      </c>
      <c r="N729" s="2">
        <f>Procurement_kpi_Analysis[[#This Row],[Defective_Units]]/Procurement_kpi_Analysis[[#This Row],[Quantity]]</f>
        <v>2.3809523809523808E-2</v>
      </c>
      <c r="O729" s="2">
        <f>(Procurement_kpi_Analysis[[#This Row],[Unit_Price]]-Procurement_kpi_Analysis[[#This Row],[Negotiated_Price]])*Procurement_kpi_Analysis[[#This Row],[Quantity]]</f>
        <v>4005.5400000000009</v>
      </c>
      <c r="P729" s="2">
        <f>Procurement_kpi_Analysis[[#This Row],[Total Savings]]/Procurement_kpi_Analysis[[#This Row],[Total Spend]]</f>
        <v>0.10428193408708206</v>
      </c>
      <c r="Q729" s="2" t="str">
        <f>IF(Procurement_kpi_Analysis[[#This Row],[Lead Time]]&lt;=14,"On Time","Late")</f>
        <v>Late</v>
      </c>
      <c r="R729" s="2">
        <f>Procurement_kpi_Analysis[[#This Row],[Unit_Price]]*Procurement_kpi_Analysis[[#This Row],[Quantity]]</f>
        <v>42416.22</v>
      </c>
      <c r="S729" s="2">
        <f>IF(Procurement_kpi_Analysis[[#This Row],[Compliance]]="Yes",1,0)</f>
        <v>1</v>
      </c>
      <c r="T729" s="2">
        <f>IF(Procurement_kpi_Analysis[[#This Row],[Compliance]]="No",1,0)</f>
        <v>0</v>
      </c>
    </row>
    <row r="730" spans="1:20" x14ac:dyDescent="0.3">
      <c r="A730" t="s">
        <v>755</v>
      </c>
      <c r="B730" t="s">
        <v>20</v>
      </c>
      <c r="C730" s="1">
        <v>44846</v>
      </c>
      <c r="D730" s="1">
        <v>44851</v>
      </c>
      <c r="E730" t="s">
        <v>24</v>
      </c>
      <c r="F730" t="s">
        <v>18</v>
      </c>
      <c r="G730">
        <v>1449</v>
      </c>
      <c r="H730">
        <v>57.02</v>
      </c>
      <c r="I730">
        <v>49.28</v>
      </c>
      <c r="J730">
        <v>71</v>
      </c>
      <c r="K730" t="s">
        <v>15</v>
      </c>
      <c r="L730">
        <f>Procurement_kpi_Analysis[[#This Row],[Quantity]]*Procurement_kpi_Analysis[[#This Row],[Negotiated_Price]]</f>
        <v>71406.720000000001</v>
      </c>
      <c r="M730">
        <f>IF(Procurement_kpi_Analysis[[#This Row],[Delivery_Date]]="","",Procurement_kpi_Analysis[[#This Row],[Delivery_Date]]-Procurement_kpi_Analysis[[#This Row],[Order_Date]])</f>
        <v>5</v>
      </c>
      <c r="N730" s="2">
        <f>Procurement_kpi_Analysis[[#This Row],[Defective_Units]]/Procurement_kpi_Analysis[[#This Row],[Quantity]]</f>
        <v>4.8999309868875088E-2</v>
      </c>
      <c r="O730" s="2">
        <f>(Procurement_kpi_Analysis[[#This Row],[Unit_Price]]-Procurement_kpi_Analysis[[#This Row],[Negotiated_Price]])*Procurement_kpi_Analysis[[#This Row],[Quantity]]</f>
        <v>11215.260000000002</v>
      </c>
      <c r="P730" s="2">
        <f>Procurement_kpi_Analysis[[#This Row],[Total Savings]]/Procurement_kpi_Analysis[[#This Row],[Total Spend]]</f>
        <v>0.15706168831168835</v>
      </c>
      <c r="Q730" s="2" t="str">
        <f>IF(Procurement_kpi_Analysis[[#This Row],[Lead Time]]&lt;=14,"On Time","Late")</f>
        <v>On Time</v>
      </c>
      <c r="R730" s="2">
        <f>Procurement_kpi_Analysis[[#This Row],[Unit_Price]]*Procurement_kpi_Analysis[[#This Row],[Quantity]]</f>
        <v>82621.98000000001</v>
      </c>
      <c r="S730" s="2">
        <f>IF(Procurement_kpi_Analysis[[#This Row],[Compliance]]="Yes",1,0)</f>
        <v>1</v>
      </c>
      <c r="T730" s="2">
        <f>IF(Procurement_kpi_Analysis[[#This Row],[Compliance]]="No",1,0)</f>
        <v>0</v>
      </c>
    </row>
    <row r="731" spans="1:20" x14ac:dyDescent="0.3">
      <c r="A731" t="s">
        <v>756</v>
      </c>
      <c r="B731" t="s">
        <v>29</v>
      </c>
      <c r="C731" s="1">
        <v>44993</v>
      </c>
      <c r="D731" s="1">
        <v>45012</v>
      </c>
      <c r="E731" t="s">
        <v>21</v>
      </c>
      <c r="F731" t="s">
        <v>18</v>
      </c>
      <c r="G731">
        <v>1493</v>
      </c>
      <c r="H731">
        <v>56.98</v>
      </c>
      <c r="I731">
        <v>52.51</v>
      </c>
      <c r="J731">
        <v>43</v>
      </c>
      <c r="K731" t="s">
        <v>15</v>
      </c>
      <c r="L731">
        <f>Procurement_kpi_Analysis[[#This Row],[Quantity]]*Procurement_kpi_Analysis[[#This Row],[Negotiated_Price]]</f>
        <v>78397.429999999993</v>
      </c>
      <c r="M731">
        <f>IF(Procurement_kpi_Analysis[[#This Row],[Delivery_Date]]="","",Procurement_kpi_Analysis[[#This Row],[Delivery_Date]]-Procurement_kpi_Analysis[[#This Row],[Order_Date]])</f>
        <v>19</v>
      </c>
      <c r="N731" s="2">
        <f>Procurement_kpi_Analysis[[#This Row],[Defective_Units]]/Procurement_kpi_Analysis[[#This Row],[Quantity]]</f>
        <v>2.8801071667782986E-2</v>
      </c>
      <c r="O731" s="2">
        <f>(Procurement_kpi_Analysis[[#This Row],[Unit_Price]]-Procurement_kpi_Analysis[[#This Row],[Negotiated_Price]])*Procurement_kpi_Analysis[[#This Row],[Quantity]]</f>
        <v>6673.7099999999982</v>
      </c>
      <c r="P731" s="2">
        <f>Procurement_kpi_Analysis[[#This Row],[Total Savings]]/Procurement_kpi_Analysis[[#This Row],[Total Spend]]</f>
        <v>8.5126642544277265E-2</v>
      </c>
      <c r="Q731" s="2" t="str">
        <f>IF(Procurement_kpi_Analysis[[#This Row],[Lead Time]]&lt;=14,"On Time","Late")</f>
        <v>Late</v>
      </c>
      <c r="R731" s="2">
        <f>Procurement_kpi_Analysis[[#This Row],[Unit_Price]]*Procurement_kpi_Analysis[[#This Row],[Quantity]]</f>
        <v>85071.14</v>
      </c>
      <c r="S731" s="2">
        <f>IF(Procurement_kpi_Analysis[[#This Row],[Compliance]]="Yes",1,0)</f>
        <v>1</v>
      </c>
      <c r="T731" s="2">
        <f>IF(Procurement_kpi_Analysis[[#This Row],[Compliance]]="No",1,0)</f>
        <v>0</v>
      </c>
    </row>
    <row r="732" spans="1:20" x14ac:dyDescent="0.3">
      <c r="A732" t="s">
        <v>757</v>
      </c>
      <c r="B732" t="s">
        <v>12</v>
      </c>
      <c r="C732" s="1">
        <v>44820</v>
      </c>
      <c r="D732" s="1">
        <v>44822</v>
      </c>
      <c r="E732" t="s">
        <v>13</v>
      </c>
      <c r="F732" t="s">
        <v>18</v>
      </c>
      <c r="G732">
        <v>778</v>
      </c>
      <c r="H732">
        <v>65.849999999999994</v>
      </c>
      <c r="I732">
        <v>62.08</v>
      </c>
      <c r="J732">
        <v>0</v>
      </c>
      <c r="K732" t="s">
        <v>27</v>
      </c>
      <c r="L732">
        <f>Procurement_kpi_Analysis[[#This Row],[Quantity]]*Procurement_kpi_Analysis[[#This Row],[Negotiated_Price]]</f>
        <v>48298.239999999998</v>
      </c>
      <c r="M732">
        <f>IF(Procurement_kpi_Analysis[[#This Row],[Delivery_Date]]="","",Procurement_kpi_Analysis[[#This Row],[Delivery_Date]]-Procurement_kpi_Analysis[[#This Row],[Order_Date]])</f>
        <v>2</v>
      </c>
      <c r="N732" s="2">
        <f>Procurement_kpi_Analysis[[#This Row],[Defective_Units]]/Procurement_kpi_Analysis[[#This Row],[Quantity]]</f>
        <v>0</v>
      </c>
      <c r="O732" s="2">
        <f>(Procurement_kpi_Analysis[[#This Row],[Unit_Price]]-Procurement_kpi_Analysis[[#This Row],[Negotiated_Price]])*Procurement_kpi_Analysis[[#This Row],[Quantity]]</f>
        <v>2933.0599999999968</v>
      </c>
      <c r="P732" s="2">
        <f>Procurement_kpi_Analysis[[#This Row],[Total Savings]]/Procurement_kpi_Analysis[[#This Row],[Total Spend]]</f>
        <v>6.0728092783505092E-2</v>
      </c>
      <c r="Q732" s="2" t="str">
        <f>IF(Procurement_kpi_Analysis[[#This Row],[Lead Time]]&lt;=14,"On Time","Late")</f>
        <v>On Time</v>
      </c>
      <c r="R732" s="2">
        <f>Procurement_kpi_Analysis[[#This Row],[Unit_Price]]*Procurement_kpi_Analysis[[#This Row],[Quantity]]</f>
        <v>51231.299999999996</v>
      </c>
      <c r="S732" s="2">
        <f>IF(Procurement_kpi_Analysis[[#This Row],[Compliance]]="Yes",1,0)</f>
        <v>0</v>
      </c>
      <c r="T732" s="2">
        <f>IF(Procurement_kpi_Analysis[[#This Row],[Compliance]]="No",1,0)</f>
        <v>1</v>
      </c>
    </row>
    <row r="733" spans="1:20" x14ac:dyDescent="0.3">
      <c r="A733" t="s">
        <v>758</v>
      </c>
      <c r="B733" t="s">
        <v>17</v>
      </c>
      <c r="C733" s="1">
        <v>44645</v>
      </c>
      <c r="D733" s="1">
        <v>44662</v>
      </c>
      <c r="E733" t="s">
        <v>24</v>
      </c>
      <c r="F733" t="s">
        <v>33</v>
      </c>
      <c r="G733">
        <v>1350</v>
      </c>
      <c r="H733">
        <v>85.06</v>
      </c>
      <c r="I733">
        <v>82.34</v>
      </c>
      <c r="J733">
        <v>0</v>
      </c>
      <c r="K733" t="s">
        <v>27</v>
      </c>
      <c r="L733">
        <f>Procurement_kpi_Analysis[[#This Row],[Quantity]]*Procurement_kpi_Analysis[[#This Row],[Negotiated_Price]]</f>
        <v>111159</v>
      </c>
      <c r="M733">
        <f>IF(Procurement_kpi_Analysis[[#This Row],[Delivery_Date]]="","",Procurement_kpi_Analysis[[#This Row],[Delivery_Date]]-Procurement_kpi_Analysis[[#This Row],[Order_Date]])</f>
        <v>17</v>
      </c>
      <c r="N733" s="2">
        <f>Procurement_kpi_Analysis[[#This Row],[Defective_Units]]/Procurement_kpi_Analysis[[#This Row],[Quantity]]</f>
        <v>0</v>
      </c>
      <c r="O733" s="2">
        <f>(Procurement_kpi_Analysis[[#This Row],[Unit_Price]]-Procurement_kpi_Analysis[[#This Row],[Negotiated_Price]])*Procurement_kpi_Analysis[[#This Row],[Quantity]]</f>
        <v>3671.9999999999986</v>
      </c>
      <c r="P733" s="2">
        <f>Procurement_kpi_Analysis[[#This Row],[Total Savings]]/Procurement_kpi_Analysis[[#This Row],[Total Spend]]</f>
        <v>3.3033762448384733E-2</v>
      </c>
      <c r="Q733" s="2" t="str">
        <f>IF(Procurement_kpi_Analysis[[#This Row],[Lead Time]]&lt;=14,"On Time","Late")</f>
        <v>Late</v>
      </c>
      <c r="R733" s="2">
        <f>Procurement_kpi_Analysis[[#This Row],[Unit_Price]]*Procurement_kpi_Analysis[[#This Row],[Quantity]]</f>
        <v>114831</v>
      </c>
      <c r="S733" s="2">
        <f>IF(Procurement_kpi_Analysis[[#This Row],[Compliance]]="Yes",1,0)</f>
        <v>0</v>
      </c>
      <c r="T733" s="2">
        <f>IF(Procurement_kpi_Analysis[[#This Row],[Compliance]]="No",1,0)</f>
        <v>1</v>
      </c>
    </row>
    <row r="734" spans="1:20" x14ac:dyDescent="0.3">
      <c r="A734" t="s">
        <v>759</v>
      </c>
      <c r="B734" t="s">
        <v>29</v>
      </c>
      <c r="C734" s="1">
        <v>45043</v>
      </c>
      <c r="D734" s="1">
        <v>45051</v>
      </c>
      <c r="E734" t="s">
        <v>24</v>
      </c>
      <c r="F734" t="s">
        <v>18</v>
      </c>
      <c r="G734">
        <v>1070</v>
      </c>
      <c r="H734">
        <v>44.4</v>
      </c>
      <c r="I734">
        <v>40.07</v>
      </c>
      <c r="J734">
        <v>26</v>
      </c>
      <c r="K734" t="s">
        <v>15</v>
      </c>
      <c r="L734">
        <f>Procurement_kpi_Analysis[[#This Row],[Quantity]]*Procurement_kpi_Analysis[[#This Row],[Negotiated_Price]]</f>
        <v>42874.9</v>
      </c>
      <c r="M734">
        <f>IF(Procurement_kpi_Analysis[[#This Row],[Delivery_Date]]="","",Procurement_kpi_Analysis[[#This Row],[Delivery_Date]]-Procurement_kpi_Analysis[[#This Row],[Order_Date]])</f>
        <v>8</v>
      </c>
      <c r="N734" s="2">
        <f>Procurement_kpi_Analysis[[#This Row],[Defective_Units]]/Procurement_kpi_Analysis[[#This Row],[Quantity]]</f>
        <v>2.4299065420560748E-2</v>
      </c>
      <c r="O734" s="2">
        <f>(Procurement_kpi_Analysis[[#This Row],[Unit_Price]]-Procurement_kpi_Analysis[[#This Row],[Negotiated_Price]])*Procurement_kpi_Analysis[[#This Row],[Quantity]]</f>
        <v>4633.0999999999985</v>
      </c>
      <c r="P734" s="2">
        <f>Procurement_kpi_Analysis[[#This Row],[Total Savings]]/Procurement_kpi_Analysis[[#This Row],[Total Spend]]</f>
        <v>0.10806089343648612</v>
      </c>
      <c r="Q734" s="2" t="str">
        <f>IF(Procurement_kpi_Analysis[[#This Row],[Lead Time]]&lt;=14,"On Time","Late")</f>
        <v>On Time</v>
      </c>
      <c r="R734" s="2">
        <f>Procurement_kpi_Analysis[[#This Row],[Unit_Price]]*Procurement_kpi_Analysis[[#This Row],[Quantity]]</f>
        <v>47508</v>
      </c>
      <c r="S734" s="2">
        <f>IF(Procurement_kpi_Analysis[[#This Row],[Compliance]]="Yes",1,0)</f>
        <v>1</v>
      </c>
      <c r="T734" s="2">
        <f>IF(Procurement_kpi_Analysis[[#This Row],[Compliance]]="No",1,0)</f>
        <v>0</v>
      </c>
    </row>
    <row r="735" spans="1:20" x14ac:dyDescent="0.3">
      <c r="A735" t="s">
        <v>760</v>
      </c>
      <c r="B735" t="s">
        <v>23</v>
      </c>
      <c r="C735" s="1">
        <v>44581</v>
      </c>
      <c r="D735" s="1">
        <v>44595</v>
      </c>
      <c r="E735" t="s">
        <v>24</v>
      </c>
      <c r="F735" t="s">
        <v>35</v>
      </c>
      <c r="G735">
        <v>810</v>
      </c>
      <c r="H735">
        <v>71.02</v>
      </c>
      <c r="I735">
        <v>66.8</v>
      </c>
      <c r="J735">
        <v>73</v>
      </c>
      <c r="K735" t="s">
        <v>15</v>
      </c>
      <c r="L735">
        <f>Procurement_kpi_Analysis[[#This Row],[Quantity]]*Procurement_kpi_Analysis[[#This Row],[Negotiated_Price]]</f>
        <v>54108</v>
      </c>
      <c r="M735">
        <f>IF(Procurement_kpi_Analysis[[#This Row],[Delivery_Date]]="","",Procurement_kpi_Analysis[[#This Row],[Delivery_Date]]-Procurement_kpi_Analysis[[#This Row],[Order_Date]])</f>
        <v>14</v>
      </c>
      <c r="N735" s="2">
        <f>Procurement_kpi_Analysis[[#This Row],[Defective_Units]]/Procurement_kpi_Analysis[[#This Row],[Quantity]]</f>
        <v>9.0123456790123457E-2</v>
      </c>
      <c r="O735" s="2">
        <f>(Procurement_kpi_Analysis[[#This Row],[Unit_Price]]-Procurement_kpi_Analysis[[#This Row],[Negotiated_Price]])*Procurement_kpi_Analysis[[#This Row],[Quantity]]</f>
        <v>3418.1999999999989</v>
      </c>
      <c r="P735" s="2">
        <f>Procurement_kpi_Analysis[[#This Row],[Total Savings]]/Procurement_kpi_Analysis[[#This Row],[Total Spend]]</f>
        <v>6.3173652694610755E-2</v>
      </c>
      <c r="Q735" s="2" t="str">
        <f>IF(Procurement_kpi_Analysis[[#This Row],[Lead Time]]&lt;=14,"On Time","Late")</f>
        <v>On Time</v>
      </c>
      <c r="R735" s="2">
        <f>Procurement_kpi_Analysis[[#This Row],[Unit_Price]]*Procurement_kpi_Analysis[[#This Row],[Quantity]]</f>
        <v>57526.2</v>
      </c>
      <c r="S735" s="2">
        <f>IF(Procurement_kpi_Analysis[[#This Row],[Compliance]]="Yes",1,0)</f>
        <v>1</v>
      </c>
      <c r="T735" s="2">
        <f>IF(Procurement_kpi_Analysis[[#This Row],[Compliance]]="No",1,0)</f>
        <v>0</v>
      </c>
    </row>
    <row r="736" spans="1:20" x14ac:dyDescent="0.3">
      <c r="A736" t="s">
        <v>761</v>
      </c>
      <c r="B736" t="s">
        <v>17</v>
      </c>
      <c r="C736" s="1">
        <v>45114</v>
      </c>
      <c r="D736" s="1">
        <v>45130</v>
      </c>
      <c r="E736" t="s">
        <v>24</v>
      </c>
      <c r="F736" t="s">
        <v>14</v>
      </c>
      <c r="G736">
        <v>725</v>
      </c>
      <c r="H736">
        <v>66.400000000000006</v>
      </c>
      <c r="I736">
        <v>62.1</v>
      </c>
      <c r="J736">
        <v>118</v>
      </c>
      <c r="K736" t="s">
        <v>15</v>
      </c>
      <c r="L736">
        <f>Procurement_kpi_Analysis[[#This Row],[Quantity]]*Procurement_kpi_Analysis[[#This Row],[Negotiated_Price]]</f>
        <v>45022.5</v>
      </c>
      <c r="M736">
        <f>IF(Procurement_kpi_Analysis[[#This Row],[Delivery_Date]]="","",Procurement_kpi_Analysis[[#This Row],[Delivery_Date]]-Procurement_kpi_Analysis[[#This Row],[Order_Date]])</f>
        <v>16</v>
      </c>
      <c r="N736" s="2">
        <f>Procurement_kpi_Analysis[[#This Row],[Defective_Units]]/Procurement_kpi_Analysis[[#This Row],[Quantity]]</f>
        <v>0.16275862068965516</v>
      </c>
      <c r="O736" s="2">
        <f>(Procurement_kpi_Analysis[[#This Row],[Unit_Price]]-Procurement_kpi_Analysis[[#This Row],[Negotiated_Price]])*Procurement_kpi_Analysis[[#This Row],[Quantity]]</f>
        <v>3117.5000000000032</v>
      </c>
      <c r="P736" s="2">
        <f>Procurement_kpi_Analysis[[#This Row],[Total Savings]]/Procurement_kpi_Analysis[[#This Row],[Total Spend]]</f>
        <v>6.924315619967801E-2</v>
      </c>
      <c r="Q736" s="2" t="str">
        <f>IF(Procurement_kpi_Analysis[[#This Row],[Lead Time]]&lt;=14,"On Time","Late")</f>
        <v>Late</v>
      </c>
      <c r="R736" s="2">
        <f>Procurement_kpi_Analysis[[#This Row],[Unit_Price]]*Procurement_kpi_Analysis[[#This Row],[Quantity]]</f>
        <v>48140.000000000007</v>
      </c>
      <c r="S736" s="2">
        <f>IF(Procurement_kpi_Analysis[[#This Row],[Compliance]]="Yes",1,0)</f>
        <v>1</v>
      </c>
      <c r="T736" s="2">
        <f>IF(Procurement_kpi_Analysis[[#This Row],[Compliance]]="No",1,0)</f>
        <v>0</v>
      </c>
    </row>
    <row r="737" spans="1:20" x14ac:dyDescent="0.3">
      <c r="A737" t="s">
        <v>762</v>
      </c>
      <c r="B737" t="s">
        <v>12</v>
      </c>
      <c r="C737" s="1">
        <v>44615</v>
      </c>
      <c r="D737" s="1">
        <v>44620</v>
      </c>
      <c r="E737" t="s">
        <v>39</v>
      </c>
      <c r="F737" t="s">
        <v>18</v>
      </c>
      <c r="G737">
        <v>1467</v>
      </c>
      <c r="H737">
        <v>34.200000000000003</v>
      </c>
      <c r="I737">
        <v>30.5</v>
      </c>
      <c r="J737">
        <v>25</v>
      </c>
      <c r="K737" t="s">
        <v>15</v>
      </c>
      <c r="L737">
        <f>Procurement_kpi_Analysis[[#This Row],[Quantity]]*Procurement_kpi_Analysis[[#This Row],[Negotiated_Price]]</f>
        <v>44743.5</v>
      </c>
      <c r="M737">
        <f>IF(Procurement_kpi_Analysis[[#This Row],[Delivery_Date]]="","",Procurement_kpi_Analysis[[#This Row],[Delivery_Date]]-Procurement_kpi_Analysis[[#This Row],[Order_Date]])</f>
        <v>5</v>
      </c>
      <c r="N737" s="2">
        <f>Procurement_kpi_Analysis[[#This Row],[Defective_Units]]/Procurement_kpi_Analysis[[#This Row],[Quantity]]</f>
        <v>1.7041581458759374E-2</v>
      </c>
      <c r="O737" s="2">
        <f>(Procurement_kpi_Analysis[[#This Row],[Unit_Price]]-Procurement_kpi_Analysis[[#This Row],[Negotiated_Price]])*Procurement_kpi_Analysis[[#This Row],[Quantity]]</f>
        <v>5427.9000000000042</v>
      </c>
      <c r="P737" s="2">
        <f>Procurement_kpi_Analysis[[#This Row],[Total Savings]]/Procurement_kpi_Analysis[[#This Row],[Total Spend]]</f>
        <v>0.12131147540983615</v>
      </c>
      <c r="Q737" s="2" t="str">
        <f>IF(Procurement_kpi_Analysis[[#This Row],[Lead Time]]&lt;=14,"On Time","Late")</f>
        <v>On Time</v>
      </c>
      <c r="R737" s="2">
        <f>Procurement_kpi_Analysis[[#This Row],[Unit_Price]]*Procurement_kpi_Analysis[[#This Row],[Quantity]]</f>
        <v>50171.4</v>
      </c>
      <c r="S737" s="2">
        <f>IF(Procurement_kpi_Analysis[[#This Row],[Compliance]]="Yes",1,0)</f>
        <v>1</v>
      </c>
      <c r="T737" s="2">
        <f>IF(Procurement_kpi_Analysis[[#This Row],[Compliance]]="No",1,0)</f>
        <v>0</v>
      </c>
    </row>
    <row r="738" spans="1:20" x14ac:dyDescent="0.3">
      <c r="A738" t="s">
        <v>763</v>
      </c>
      <c r="B738" t="s">
        <v>23</v>
      </c>
      <c r="C738" s="1">
        <v>44920</v>
      </c>
      <c r="D738" s="1">
        <v>44938</v>
      </c>
      <c r="E738" t="s">
        <v>24</v>
      </c>
      <c r="F738" t="s">
        <v>18</v>
      </c>
      <c r="G738">
        <v>1942</v>
      </c>
      <c r="H738">
        <v>93.98</v>
      </c>
      <c r="I738">
        <v>81.31</v>
      </c>
      <c r="J738">
        <v>198</v>
      </c>
      <c r="K738" t="s">
        <v>15</v>
      </c>
      <c r="L738">
        <f>Procurement_kpi_Analysis[[#This Row],[Quantity]]*Procurement_kpi_Analysis[[#This Row],[Negotiated_Price]]</f>
        <v>157904.02000000002</v>
      </c>
      <c r="M738">
        <f>IF(Procurement_kpi_Analysis[[#This Row],[Delivery_Date]]="","",Procurement_kpi_Analysis[[#This Row],[Delivery_Date]]-Procurement_kpi_Analysis[[#This Row],[Order_Date]])</f>
        <v>18</v>
      </c>
      <c r="N738" s="2">
        <f>Procurement_kpi_Analysis[[#This Row],[Defective_Units]]/Procurement_kpi_Analysis[[#This Row],[Quantity]]</f>
        <v>0.101956745623069</v>
      </c>
      <c r="O738" s="2">
        <f>(Procurement_kpi_Analysis[[#This Row],[Unit_Price]]-Procurement_kpi_Analysis[[#This Row],[Negotiated_Price]])*Procurement_kpi_Analysis[[#This Row],[Quantity]]</f>
        <v>24605.140000000003</v>
      </c>
      <c r="P738" s="2">
        <f>Procurement_kpi_Analysis[[#This Row],[Total Savings]]/Procurement_kpi_Analysis[[#This Row],[Total Spend]]</f>
        <v>0.15582339195670888</v>
      </c>
      <c r="Q738" s="2" t="str">
        <f>IF(Procurement_kpi_Analysis[[#This Row],[Lead Time]]&lt;=14,"On Time","Late")</f>
        <v>Late</v>
      </c>
      <c r="R738" s="2">
        <f>Procurement_kpi_Analysis[[#This Row],[Unit_Price]]*Procurement_kpi_Analysis[[#This Row],[Quantity]]</f>
        <v>182509.16</v>
      </c>
      <c r="S738" s="2">
        <f>IF(Procurement_kpi_Analysis[[#This Row],[Compliance]]="Yes",1,0)</f>
        <v>1</v>
      </c>
      <c r="T738" s="2">
        <f>IF(Procurement_kpi_Analysis[[#This Row],[Compliance]]="No",1,0)</f>
        <v>0</v>
      </c>
    </row>
    <row r="739" spans="1:20" x14ac:dyDescent="0.3">
      <c r="A739" t="s">
        <v>764</v>
      </c>
      <c r="B739" t="s">
        <v>20</v>
      </c>
      <c r="C739" s="1">
        <v>44791</v>
      </c>
      <c r="D739" s="1"/>
      <c r="E739" t="s">
        <v>13</v>
      </c>
      <c r="F739" t="s">
        <v>18</v>
      </c>
      <c r="G739">
        <v>506</v>
      </c>
      <c r="H739">
        <v>84.63</v>
      </c>
      <c r="I739">
        <v>72.69</v>
      </c>
      <c r="J739">
        <v>20</v>
      </c>
      <c r="K739" t="s">
        <v>15</v>
      </c>
      <c r="L739">
        <f>Procurement_kpi_Analysis[[#This Row],[Quantity]]*Procurement_kpi_Analysis[[#This Row],[Negotiated_Price]]</f>
        <v>36781.14</v>
      </c>
      <c r="M739" t="str">
        <f>IF(Procurement_kpi_Analysis[[#This Row],[Delivery_Date]]="","",Procurement_kpi_Analysis[[#This Row],[Delivery_Date]]-Procurement_kpi_Analysis[[#This Row],[Order_Date]])</f>
        <v/>
      </c>
      <c r="N739" s="2">
        <f>Procurement_kpi_Analysis[[#This Row],[Defective_Units]]/Procurement_kpi_Analysis[[#This Row],[Quantity]]</f>
        <v>3.9525691699604744E-2</v>
      </c>
      <c r="O739" s="2">
        <f>(Procurement_kpi_Analysis[[#This Row],[Unit_Price]]-Procurement_kpi_Analysis[[#This Row],[Negotiated_Price]])*Procurement_kpi_Analysis[[#This Row],[Quantity]]</f>
        <v>6041.6399999999985</v>
      </c>
      <c r="P739" s="2">
        <f>Procurement_kpi_Analysis[[#This Row],[Total Savings]]/Procurement_kpi_Analysis[[#This Row],[Total Spend]]</f>
        <v>0.16425918283120094</v>
      </c>
      <c r="Q739" s="2" t="str">
        <f>IF(Procurement_kpi_Analysis[[#This Row],[Lead Time]]&lt;=14,"On Time","Late")</f>
        <v>Late</v>
      </c>
      <c r="R739" s="2">
        <f>Procurement_kpi_Analysis[[#This Row],[Unit_Price]]*Procurement_kpi_Analysis[[#This Row],[Quantity]]</f>
        <v>42822.78</v>
      </c>
      <c r="S739" s="2">
        <f>IF(Procurement_kpi_Analysis[[#This Row],[Compliance]]="Yes",1,0)</f>
        <v>1</v>
      </c>
      <c r="T739" s="2">
        <f>IF(Procurement_kpi_Analysis[[#This Row],[Compliance]]="No",1,0)</f>
        <v>0</v>
      </c>
    </row>
    <row r="740" spans="1:20" x14ac:dyDescent="0.3">
      <c r="A740" t="s">
        <v>765</v>
      </c>
      <c r="B740" t="s">
        <v>12</v>
      </c>
      <c r="C740" s="1">
        <v>45227</v>
      </c>
      <c r="D740" s="1">
        <v>45243</v>
      </c>
      <c r="E740" t="s">
        <v>21</v>
      </c>
      <c r="F740" t="s">
        <v>18</v>
      </c>
      <c r="G740">
        <v>969</v>
      </c>
      <c r="H740">
        <v>76.53</v>
      </c>
      <c r="I740">
        <v>75.64</v>
      </c>
      <c r="J740">
        <v>30</v>
      </c>
      <c r="K740" t="s">
        <v>15</v>
      </c>
      <c r="L740">
        <f>Procurement_kpi_Analysis[[#This Row],[Quantity]]*Procurement_kpi_Analysis[[#This Row],[Negotiated_Price]]</f>
        <v>73295.16</v>
      </c>
      <c r="M740">
        <f>IF(Procurement_kpi_Analysis[[#This Row],[Delivery_Date]]="","",Procurement_kpi_Analysis[[#This Row],[Delivery_Date]]-Procurement_kpi_Analysis[[#This Row],[Order_Date]])</f>
        <v>16</v>
      </c>
      <c r="N740" s="2">
        <f>Procurement_kpi_Analysis[[#This Row],[Defective_Units]]/Procurement_kpi_Analysis[[#This Row],[Quantity]]</f>
        <v>3.0959752321981424E-2</v>
      </c>
      <c r="O740" s="2">
        <f>(Procurement_kpi_Analysis[[#This Row],[Unit_Price]]-Procurement_kpi_Analysis[[#This Row],[Negotiated_Price]])*Procurement_kpi_Analysis[[#This Row],[Quantity]]</f>
        <v>862.41000000000054</v>
      </c>
      <c r="P740" s="2">
        <f>Procurement_kpi_Analysis[[#This Row],[Total Savings]]/Procurement_kpi_Analysis[[#This Row],[Total Spend]]</f>
        <v>1.1766261237440515E-2</v>
      </c>
      <c r="Q740" s="2" t="str">
        <f>IF(Procurement_kpi_Analysis[[#This Row],[Lead Time]]&lt;=14,"On Time","Late")</f>
        <v>Late</v>
      </c>
      <c r="R740" s="2">
        <f>Procurement_kpi_Analysis[[#This Row],[Unit_Price]]*Procurement_kpi_Analysis[[#This Row],[Quantity]]</f>
        <v>74157.570000000007</v>
      </c>
      <c r="S740" s="2">
        <f>IF(Procurement_kpi_Analysis[[#This Row],[Compliance]]="Yes",1,0)</f>
        <v>1</v>
      </c>
      <c r="T740" s="2">
        <f>IF(Procurement_kpi_Analysis[[#This Row],[Compliance]]="No",1,0)</f>
        <v>0</v>
      </c>
    </row>
    <row r="741" spans="1:20" x14ac:dyDescent="0.3">
      <c r="A741" t="s">
        <v>766</v>
      </c>
      <c r="B741" t="s">
        <v>17</v>
      </c>
      <c r="C741" s="1">
        <v>44632</v>
      </c>
      <c r="D741" s="1">
        <v>44639</v>
      </c>
      <c r="E741" t="s">
        <v>21</v>
      </c>
      <c r="F741" t="s">
        <v>18</v>
      </c>
      <c r="G741">
        <v>241</v>
      </c>
      <c r="H741">
        <v>87.42</v>
      </c>
      <c r="I741">
        <v>82.15</v>
      </c>
      <c r="J741">
        <v>0</v>
      </c>
      <c r="K741" t="s">
        <v>15</v>
      </c>
      <c r="L741">
        <f>Procurement_kpi_Analysis[[#This Row],[Quantity]]*Procurement_kpi_Analysis[[#This Row],[Negotiated_Price]]</f>
        <v>19798.150000000001</v>
      </c>
      <c r="M741">
        <f>IF(Procurement_kpi_Analysis[[#This Row],[Delivery_Date]]="","",Procurement_kpi_Analysis[[#This Row],[Delivery_Date]]-Procurement_kpi_Analysis[[#This Row],[Order_Date]])</f>
        <v>7</v>
      </c>
      <c r="N741" s="2">
        <f>Procurement_kpi_Analysis[[#This Row],[Defective_Units]]/Procurement_kpi_Analysis[[#This Row],[Quantity]]</f>
        <v>0</v>
      </c>
      <c r="O741" s="2">
        <f>(Procurement_kpi_Analysis[[#This Row],[Unit_Price]]-Procurement_kpi_Analysis[[#This Row],[Negotiated_Price]])*Procurement_kpi_Analysis[[#This Row],[Quantity]]</f>
        <v>1270.069999999999</v>
      </c>
      <c r="P741" s="2">
        <f>Procurement_kpi_Analysis[[#This Row],[Total Savings]]/Procurement_kpi_Analysis[[#This Row],[Total Spend]]</f>
        <v>6.4150943396226359E-2</v>
      </c>
      <c r="Q741" s="2" t="str">
        <f>IF(Procurement_kpi_Analysis[[#This Row],[Lead Time]]&lt;=14,"On Time","Late")</f>
        <v>On Time</v>
      </c>
      <c r="R741" s="2">
        <f>Procurement_kpi_Analysis[[#This Row],[Unit_Price]]*Procurement_kpi_Analysis[[#This Row],[Quantity]]</f>
        <v>21068.22</v>
      </c>
      <c r="S741" s="2">
        <f>IF(Procurement_kpi_Analysis[[#This Row],[Compliance]]="Yes",1,0)</f>
        <v>1</v>
      </c>
      <c r="T741" s="2">
        <f>IF(Procurement_kpi_Analysis[[#This Row],[Compliance]]="No",1,0)</f>
        <v>0</v>
      </c>
    </row>
    <row r="742" spans="1:20" x14ac:dyDescent="0.3">
      <c r="A742" t="s">
        <v>767</v>
      </c>
      <c r="B742" t="s">
        <v>20</v>
      </c>
      <c r="C742" s="1">
        <v>45229</v>
      </c>
      <c r="D742" s="1">
        <v>45239</v>
      </c>
      <c r="E742" t="s">
        <v>26</v>
      </c>
      <c r="F742" t="s">
        <v>18</v>
      </c>
      <c r="G742">
        <v>788</v>
      </c>
      <c r="H742">
        <v>97.3</v>
      </c>
      <c r="I742">
        <v>94.44</v>
      </c>
      <c r="J742">
        <v>32</v>
      </c>
      <c r="K742" t="s">
        <v>15</v>
      </c>
      <c r="L742">
        <f>Procurement_kpi_Analysis[[#This Row],[Quantity]]*Procurement_kpi_Analysis[[#This Row],[Negotiated_Price]]</f>
        <v>74418.720000000001</v>
      </c>
      <c r="M742">
        <f>IF(Procurement_kpi_Analysis[[#This Row],[Delivery_Date]]="","",Procurement_kpi_Analysis[[#This Row],[Delivery_Date]]-Procurement_kpi_Analysis[[#This Row],[Order_Date]])</f>
        <v>10</v>
      </c>
      <c r="N742" s="2">
        <f>Procurement_kpi_Analysis[[#This Row],[Defective_Units]]/Procurement_kpi_Analysis[[#This Row],[Quantity]]</f>
        <v>4.060913705583756E-2</v>
      </c>
      <c r="O742" s="2">
        <f>(Procurement_kpi_Analysis[[#This Row],[Unit_Price]]-Procurement_kpi_Analysis[[#This Row],[Negotiated_Price]])*Procurement_kpi_Analysis[[#This Row],[Quantity]]</f>
        <v>2253.6799999999994</v>
      </c>
      <c r="P742" s="2">
        <f>Procurement_kpi_Analysis[[#This Row],[Total Savings]]/Procurement_kpi_Analysis[[#This Row],[Total Spend]]</f>
        <v>3.0283778060143998E-2</v>
      </c>
      <c r="Q742" s="2" t="str">
        <f>IF(Procurement_kpi_Analysis[[#This Row],[Lead Time]]&lt;=14,"On Time","Late")</f>
        <v>On Time</v>
      </c>
      <c r="R742" s="2">
        <f>Procurement_kpi_Analysis[[#This Row],[Unit_Price]]*Procurement_kpi_Analysis[[#This Row],[Quantity]]</f>
        <v>76672.399999999994</v>
      </c>
      <c r="S742" s="2">
        <f>IF(Procurement_kpi_Analysis[[#This Row],[Compliance]]="Yes",1,0)</f>
        <v>1</v>
      </c>
      <c r="T742" s="2">
        <f>IF(Procurement_kpi_Analysis[[#This Row],[Compliance]]="No",1,0)</f>
        <v>0</v>
      </c>
    </row>
    <row r="743" spans="1:20" x14ac:dyDescent="0.3">
      <c r="A743" t="s">
        <v>768</v>
      </c>
      <c r="B743" t="s">
        <v>20</v>
      </c>
      <c r="C743" s="1">
        <v>44603</v>
      </c>
      <c r="D743" s="1">
        <v>44605</v>
      </c>
      <c r="E743" t="s">
        <v>13</v>
      </c>
      <c r="F743" t="s">
        <v>18</v>
      </c>
      <c r="G743">
        <v>1762</v>
      </c>
      <c r="H743">
        <v>74.12</v>
      </c>
      <c r="I743">
        <v>65.709999999999994</v>
      </c>
      <c r="J743">
        <v>94</v>
      </c>
      <c r="K743" t="s">
        <v>15</v>
      </c>
      <c r="L743">
        <f>Procurement_kpi_Analysis[[#This Row],[Quantity]]*Procurement_kpi_Analysis[[#This Row],[Negotiated_Price]]</f>
        <v>115781.01999999999</v>
      </c>
      <c r="M743">
        <f>IF(Procurement_kpi_Analysis[[#This Row],[Delivery_Date]]="","",Procurement_kpi_Analysis[[#This Row],[Delivery_Date]]-Procurement_kpi_Analysis[[#This Row],[Order_Date]])</f>
        <v>2</v>
      </c>
      <c r="N743" s="2">
        <f>Procurement_kpi_Analysis[[#This Row],[Defective_Units]]/Procurement_kpi_Analysis[[#This Row],[Quantity]]</f>
        <v>5.3348467650397274E-2</v>
      </c>
      <c r="O743" s="2">
        <f>(Procurement_kpi_Analysis[[#This Row],[Unit_Price]]-Procurement_kpi_Analysis[[#This Row],[Negotiated_Price]])*Procurement_kpi_Analysis[[#This Row],[Quantity]]</f>
        <v>14818.420000000018</v>
      </c>
      <c r="P743" s="2">
        <f>Procurement_kpi_Analysis[[#This Row],[Total Savings]]/Procurement_kpi_Analysis[[#This Row],[Total Spend]]</f>
        <v>0.12798660782224944</v>
      </c>
      <c r="Q743" s="2" t="str">
        <f>IF(Procurement_kpi_Analysis[[#This Row],[Lead Time]]&lt;=14,"On Time","Late")</f>
        <v>On Time</v>
      </c>
      <c r="R743" s="2">
        <f>Procurement_kpi_Analysis[[#This Row],[Unit_Price]]*Procurement_kpi_Analysis[[#This Row],[Quantity]]</f>
        <v>130599.44</v>
      </c>
      <c r="S743" s="2">
        <f>IF(Procurement_kpi_Analysis[[#This Row],[Compliance]]="Yes",1,0)</f>
        <v>1</v>
      </c>
      <c r="T743" s="2">
        <f>IF(Procurement_kpi_Analysis[[#This Row],[Compliance]]="No",1,0)</f>
        <v>0</v>
      </c>
    </row>
    <row r="744" spans="1:20" x14ac:dyDescent="0.3">
      <c r="A744" t="s">
        <v>769</v>
      </c>
      <c r="B744" t="s">
        <v>12</v>
      </c>
      <c r="C744" s="1">
        <v>44593</v>
      </c>
      <c r="D744" s="1"/>
      <c r="E744" t="s">
        <v>26</v>
      </c>
      <c r="F744" t="s">
        <v>35</v>
      </c>
      <c r="G744">
        <v>1172</v>
      </c>
      <c r="H744">
        <v>85.76</v>
      </c>
      <c r="I744">
        <v>81.430000000000007</v>
      </c>
      <c r="J744">
        <v>25</v>
      </c>
      <c r="K744" t="s">
        <v>15</v>
      </c>
      <c r="L744">
        <f>Procurement_kpi_Analysis[[#This Row],[Quantity]]*Procurement_kpi_Analysis[[#This Row],[Negotiated_Price]]</f>
        <v>95435.96</v>
      </c>
      <c r="M744" t="str">
        <f>IF(Procurement_kpi_Analysis[[#This Row],[Delivery_Date]]="","",Procurement_kpi_Analysis[[#This Row],[Delivery_Date]]-Procurement_kpi_Analysis[[#This Row],[Order_Date]])</f>
        <v/>
      </c>
      <c r="N744" s="2">
        <f>Procurement_kpi_Analysis[[#This Row],[Defective_Units]]/Procurement_kpi_Analysis[[#This Row],[Quantity]]</f>
        <v>2.1331058020477817E-2</v>
      </c>
      <c r="O744" s="2">
        <f>(Procurement_kpi_Analysis[[#This Row],[Unit_Price]]-Procurement_kpi_Analysis[[#This Row],[Negotiated_Price]])*Procurement_kpi_Analysis[[#This Row],[Quantity]]</f>
        <v>5074.7599999999984</v>
      </c>
      <c r="P744" s="2">
        <f>Procurement_kpi_Analysis[[#This Row],[Total Savings]]/Procurement_kpi_Analysis[[#This Row],[Total Spend]]</f>
        <v>5.3174505710426111E-2</v>
      </c>
      <c r="Q744" s="2" t="str">
        <f>IF(Procurement_kpi_Analysis[[#This Row],[Lead Time]]&lt;=14,"On Time","Late")</f>
        <v>Late</v>
      </c>
      <c r="R744" s="2">
        <f>Procurement_kpi_Analysis[[#This Row],[Unit_Price]]*Procurement_kpi_Analysis[[#This Row],[Quantity]]</f>
        <v>100510.72</v>
      </c>
      <c r="S744" s="2">
        <f>IF(Procurement_kpi_Analysis[[#This Row],[Compliance]]="Yes",1,0)</f>
        <v>1</v>
      </c>
      <c r="T744" s="2">
        <f>IF(Procurement_kpi_Analysis[[#This Row],[Compliance]]="No",1,0)</f>
        <v>0</v>
      </c>
    </row>
    <row r="745" spans="1:20" x14ac:dyDescent="0.3">
      <c r="A745" t="s">
        <v>770</v>
      </c>
      <c r="B745" t="s">
        <v>17</v>
      </c>
      <c r="C745" s="1">
        <v>44815</v>
      </c>
      <c r="D745" s="1">
        <v>44834</v>
      </c>
      <c r="E745" t="s">
        <v>13</v>
      </c>
      <c r="F745" t="s">
        <v>18</v>
      </c>
      <c r="G745">
        <v>1621</v>
      </c>
      <c r="H745">
        <v>75.680000000000007</v>
      </c>
      <c r="I745">
        <v>73.78</v>
      </c>
      <c r="J745">
        <v>226</v>
      </c>
      <c r="K745" t="s">
        <v>27</v>
      </c>
      <c r="L745">
        <f>Procurement_kpi_Analysis[[#This Row],[Quantity]]*Procurement_kpi_Analysis[[#This Row],[Negotiated_Price]]</f>
        <v>119597.38</v>
      </c>
      <c r="M745">
        <f>IF(Procurement_kpi_Analysis[[#This Row],[Delivery_Date]]="","",Procurement_kpi_Analysis[[#This Row],[Delivery_Date]]-Procurement_kpi_Analysis[[#This Row],[Order_Date]])</f>
        <v>19</v>
      </c>
      <c r="N745" s="2">
        <f>Procurement_kpi_Analysis[[#This Row],[Defective_Units]]/Procurement_kpi_Analysis[[#This Row],[Quantity]]</f>
        <v>0.13942011104256632</v>
      </c>
      <c r="O745" s="2">
        <f>(Procurement_kpi_Analysis[[#This Row],[Unit_Price]]-Procurement_kpi_Analysis[[#This Row],[Negotiated_Price]])*Procurement_kpi_Analysis[[#This Row],[Quantity]]</f>
        <v>3079.9000000000092</v>
      </c>
      <c r="P745" s="2">
        <f>Procurement_kpi_Analysis[[#This Row],[Total Savings]]/Procurement_kpi_Analysis[[#This Row],[Total Spend]]</f>
        <v>2.5752236378422413E-2</v>
      </c>
      <c r="Q745" s="2" t="str">
        <f>IF(Procurement_kpi_Analysis[[#This Row],[Lead Time]]&lt;=14,"On Time","Late")</f>
        <v>Late</v>
      </c>
      <c r="R745" s="2">
        <f>Procurement_kpi_Analysis[[#This Row],[Unit_Price]]*Procurement_kpi_Analysis[[#This Row],[Quantity]]</f>
        <v>122677.28000000001</v>
      </c>
      <c r="S745" s="2">
        <f>IF(Procurement_kpi_Analysis[[#This Row],[Compliance]]="Yes",1,0)</f>
        <v>0</v>
      </c>
      <c r="T745" s="2">
        <f>IF(Procurement_kpi_Analysis[[#This Row],[Compliance]]="No",1,0)</f>
        <v>1</v>
      </c>
    </row>
    <row r="746" spans="1:20" x14ac:dyDescent="0.3">
      <c r="A746" t="s">
        <v>771</v>
      </c>
      <c r="B746" t="s">
        <v>12</v>
      </c>
      <c r="C746" s="1">
        <v>44766</v>
      </c>
      <c r="D746" s="1">
        <v>44768</v>
      </c>
      <c r="E746" t="s">
        <v>24</v>
      </c>
      <c r="F746" t="s">
        <v>18</v>
      </c>
      <c r="G746">
        <v>1027</v>
      </c>
      <c r="H746">
        <v>73.349999999999994</v>
      </c>
      <c r="I746">
        <v>65.42</v>
      </c>
      <c r="J746">
        <v>24</v>
      </c>
      <c r="K746" t="s">
        <v>27</v>
      </c>
      <c r="L746">
        <f>Procurement_kpi_Analysis[[#This Row],[Quantity]]*Procurement_kpi_Analysis[[#This Row],[Negotiated_Price]]</f>
        <v>67186.34</v>
      </c>
      <c r="M746">
        <f>IF(Procurement_kpi_Analysis[[#This Row],[Delivery_Date]]="","",Procurement_kpi_Analysis[[#This Row],[Delivery_Date]]-Procurement_kpi_Analysis[[#This Row],[Order_Date]])</f>
        <v>2</v>
      </c>
      <c r="N746" s="2">
        <f>Procurement_kpi_Analysis[[#This Row],[Defective_Units]]/Procurement_kpi_Analysis[[#This Row],[Quantity]]</f>
        <v>2.3369036027263874E-2</v>
      </c>
      <c r="O746" s="2">
        <f>(Procurement_kpi_Analysis[[#This Row],[Unit_Price]]-Procurement_kpi_Analysis[[#This Row],[Negotiated_Price]])*Procurement_kpi_Analysis[[#This Row],[Quantity]]</f>
        <v>8144.1099999999924</v>
      </c>
      <c r="P746" s="2">
        <f>Procurement_kpi_Analysis[[#This Row],[Total Savings]]/Procurement_kpi_Analysis[[#This Row],[Total Spend]]</f>
        <v>0.12121675328645663</v>
      </c>
      <c r="Q746" s="2" t="str">
        <f>IF(Procurement_kpi_Analysis[[#This Row],[Lead Time]]&lt;=14,"On Time","Late")</f>
        <v>On Time</v>
      </c>
      <c r="R746" s="2">
        <f>Procurement_kpi_Analysis[[#This Row],[Unit_Price]]*Procurement_kpi_Analysis[[#This Row],[Quantity]]</f>
        <v>75330.45</v>
      </c>
      <c r="S746" s="2">
        <f>IF(Procurement_kpi_Analysis[[#This Row],[Compliance]]="Yes",1,0)</f>
        <v>0</v>
      </c>
      <c r="T746" s="2">
        <f>IF(Procurement_kpi_Analysis[[#This Row],[Compliance]]="No",1,0)</f>
        <v>1</v>
      </c>
    </row>
    <row r="747" spans="1:20" x14ac:dyDescent="0.3">
      <c r="A747" t="s">
        <v>772</v>
      </c>
      <c r="B747" t="s">
        <v>23</v>
      </c>
      <c r="C747" s="1">
        <v>44582</v>
      </c>
      <c r="D747" s="1"/>
      <c r="E747" t="s">
        <v>26</v>
      </c>
      <c r="F747" t="s">
        <v>18</v>
      </c>
      <c r="G747">
        <v>1058</v>
      </c>
      <c r="H747">
        <v>65.680000000000007</v>
      </c>
      <c r="I747">
        <v>57.21</v>
      </c>
      <c r="J747">
        <v>101</v>
      </c>
      <c r="K747" t="s">
        <v>15</v>
      </c>
      <c r="L747">
        <f>Procurement_kpi_Analysis[[#This Row],[Quantity]]*Procurement_kpi_Analysis[[#This Row],[Negotiated_Price]]</f>
        <v>60528.18</v>
      </c>
      <c r="M747" t="str">
        <f>IF(Procurement_kpi_Analysis[[#This Row],[Delivery_Date]]="","",Procurement_kpi_Analysis[[#This Row],[Delivery_Date]]-Procurement_kpi_Analysis[[#This Row],[Order_Date]])</f>
        <v/>
      </c>
      <c r="N747" s="2">
        <f>Procurement_kpi_Analysis[[#This Row],[Defective_Units]]/Procurement_kpi_Analysis[[#This Row],[Quantity]]</f>
        <v>9.5463137996219277E-2</v>
      </c>
      <c r="O747" s="2">
        <f>(Procurement_kpi_Analysis[[#This Row],[Unit_Price]]-Procurement_kpi_Analysis[[#This Row],[Negotiated_Price]])*Procurement_kpi_Analysis[[#This Row],[Quantity]]</f>
        <v>8961.2600000000057</v>
      </c>
      <c r="P747" s="2">
        <f>Procurement_kpi_Analysis[[#This Row],[Total Savings]]/Procurement_kpi_Analysis[[#This Row],[Total Spend]]</f>
        <v>0.14805104002796723</v>
      </c>
      <c r="Q747" s="2" t="str">
        <f>IF(Procurement_kpi_Analysis[[#This Row],[Lead Time]]&lt;=14,"On Time","Late")</f>
        <v>Late</v>
      </c>
      <c r="R747" s="2">
        <f>Procurement_kpi_Analysis[[#This Row],[Unit_Price]]*Procurement_kpi_Analysis[[#This Row],[Quantity]]</f>
        <v>69489.440000000002</v>
      </c>
      <c r="S747" s="2">
        <f>IF(Procurement_kpi_Analysis[[#This Row],[Compliance]]="Yes",1,0)</f>
        <v>1</v>
      </c>
      <c r="T747" s="2">
        <f>IF(Procurement_kpi_Analysis[[#This Row],[Compliance]]="No",1,0)</f>
        <v>0</v>
      </c>
    </row>
    <row r="748" spans="1:20" x14ac:dyDescent="0.3">
      <c r="A748" t="s">
        <v>773</v>
      </c>
      <c r="B748" t="s">
        <v>23</v>
      </c>
      <c r="C748" s="1">
        <v>45198</v>
      </c>
      <c r="D748" s="1">
        <v>45204</v>
      </c>
      <c r="E748" t="s">
        <v>24</v>
      </c>
      <c r="F748" t="s">
        <v>18</v>
      </c>
      <c r="G748">
        <v>145</v>
      </c>
      <c r="H748">
        <v>85.52</v>
      </c>
      <c r="I748">
        <v>81.86</v>
      </c>
      <c r="J748">
        <v>11</v>
      </c>
      <c r="K748" t="s">
        <v>27</v>
      </c>
      <c r="L748">
        <f>Procurement_kpi_Analysis[[#This Row],[Quantity]]*Procurement_kpi_Analysis[[#This Row],[Negotiated_Price]]</f>
        <v>11869.7</v>
      </c>
      <c r="M748">
        <f>IF(Procurement_kpi_Analysis[[#This Row],[Delivery_Date]]="","",Procurement_kpi_Analysis[[#This Row],[Delivery_Date]]-Procurement_kpi_Analysis[[#This Row],[Order_Date]])</f>
        <v>6</v>
      </c>
      <c r="N748" s="2">
        <f>Procurement_kpi_Analysis[[#This Row],[Defective_Units]]/Procurement_kpi_Analysis[[#This Row],[Quantity]]</f>
        <v>7.586206896551724E-2</v>
      </c>
      <c r="O748" s="2">
        <f>(Procurement_kpi_Analysis[[#This Row],[Unit_Price]]-Procurement_kpi_Analysis[[#This Row],[Negotiated_Price]])*Procurement_kpi_Analysis[[#This Row],[Quantity]]</f>
        <v>530.69999999999948</v>
      </c>
      <c r="P748" s="2">
        <f>Procurement_kpi_Analysis[[#This Row],[Total Savings]]/Procurement_kpi_Analysis[[#This Row],[Total Spend]]</f>
        <v>4.4710481309552845E-2</v>
      </c>
      <c r="Q748" s="2" t="str">
        <f>IF(Procurement_kpi_Analysis[[#This Row],[Lead Time]]&lt;=14,"On Time","Late")</f>
        <v>On Time</v>
      </c>
      <c r="R748" s="2">
        <f>Procurement_kpi_Analysis[[#This Row],[Unit_Price]]*Procurement_kpi_Analysis[[#This Row],[Quantity]]</f>
        <v>12400.4</v>
      </c>
      <c r="S748" s="2">
        <f>IF(Procurement_kpi_Analysis[[#This Row],[Compliance]]="Yes",1,0)</f>
        <v>0</v>
      </c>
      <c r="T748" s="2">
        <f>IF(Procurement_kpi_Analysis[[#This Row],[Compliance]]="No",1,0)</f>
        <v>1</v>
      </c>
    </row>
    <row r="749" spans="1:20" x14ac:dyDescent="0.3">
      <c r="A749" t="s">
        <v>774</v>
      </c>
      <c r="B749" t="s">
        <v>29</v>
      </c>
      <c r="C749" s="1">
        <v>44718</v>
      </c>
      <c r="D749" s="1"/>
      <c r="E749" t="s">
        <v>13</v>
      </c>
      <c r="F749" t="s">
        <v>18</v>
      </c>
      <c r="G749">
        <v>1737</v>
      </c>
      <c r="H749">
        <v>24.88</v>
      </c>
      <c r="I749">
        <v>24.28</v>
      </c>
      <c r="J749">
        <v>46</v>
      </c>
      <c r="K749" t="s">
        <v>15</v>
      </c>
      <c r="L749">
        <f>Procurement_kpi_Analysis[[#This Row],[Quantity]]*Procurement_kpi_Analysis[[#This Row],[Negotiated_Price]]</f>
        <v>42174.36</v>
      </c>
      <c r="M749" t="str">
        <f>IF(Procurement_kpi_Analysis[[#This Row],[Delivery_Date]]="","",Procurement_kpi_Analysis[[#This Row],[Delivery_Date]]-Procurement_kpi_Analysis[[#This Row],[Order_Date]])</f>
        <v/>
      </c>
      <c r="N749" s="2">
        <f>Procurement_kpi_Analysis[[#This Row],[Defective_Units]]/Procurement_kpi_Analysis[[#This Row],[Quantity]]</f>
        <v>2.6482440990213012E-2</v>
      </c>
      <c r="O749" s="2">
        <f>(Procurement_kpi_Analysis[[#This Row],[Unit_Price]]-Procurement_kpi_Analysis[[#This Row],[Negotiated_Price]])*Procurement_kpi_Analysis[[#This Row],[Quantity]]</f>
        <v>1042.1999999999964</v>
      </c>
      <c r="P749" s="2">
        <f>Procurement_kpi_Analysis[[#This Row],[Total Savings]]/Procurement_kpi_Analysis[[#This Row],[Total Spend]]</f>
        <v>2.4711696869851644E-2</v>
      </c>
      <c r="Q749" s="2" t="str">
        <f>IF(Procurement_kpi_Analysis[[#This Row],[Lead Time]]&lt;=14,"On Time","Late")</f>
        <v>Late</v>
      </c>
      <c r="R749" s="2">
        <f>Procurement_kpi_Analysis[[#This Row],[Unit_Price]]*Procurement_kpi_Analysis[[#This Row],[Quantity]]</f>
        <v>43216.56</v>
      </c>
      <c r="S749" s="2">
        <f>IF(Procurement_kpi_Analysis[[#This Row],[Compliance]]="Yes",1,0)</f>
        <v>1</v>
      </c>
      <c r="T749" s="2">
        <f>IF(Procurement_kpi_Analysis[[#This Row],[Compliance]]="No",1,0)</f>
        <v>0</v>
      </c>
    </row>
    <row r="750" spans="1:20" x14ac:dyDescent="0.3">
      <c r="A750" t="s">
        <v>775</v>
      </c>
      <c r="B750" t="s">
        <v>20</v>
      </c>
      <c r="C750" s="1">
        <v>44806</v>
      </c>
      <c r="D750" s="1">
        <v>44819</v>
      </c>
      <c r="E750" t="s">
        <v>39</v>
      </c>
      <c r="F750" t="s">
        <v>18</v>
      </c>
      <c r="G750">
        <v>712</v>
      </c>
      <c r="H750">
        <v>92.85</v>
      </c>
      <c r="I750">
        <v>89.39</v>
      </c>
      <c r="J750">
        <v>43</v>
      </c>
      <c r="K750" t="s">
        <v>15</v>
      </c>
      <c r="L750">
        <f>Procurement_kpi_Analysis[[#This Row],[Quantity]]*Procurement_kpi_Analysis[[#This Row],[Negotiated_Price]]</f>
        <v>63645.68</v>
      </c>
      <c r="M750">
        <f>IF(Procurement_kpi_Analysis[[#This Row],[Delivery_Date]]="","",Procurement_kpi_Analysis[[#This Row],[Delivery_Date]]-Procurement_kpi_Analysis[[#This Row],[Order_Date]])</f>
        <v>13</v>
      </c>
      <c r="N750" s="2">
        <f>Procurement_kpi_Analysis[[#This Row],[Defective_Units]]/Procurement_kpi_Analysis[[#This Row],[Quantity]]</f>
        <v>6.0393258426966294E-2</v>
      </c>
      <c r="O750" s="2">
        <f>(Procurement_kpi_Analysis[[#This Row],[Unit_Price]]-Procurement_kpi_Analysis[[#This Row],[Negotiated_Price]])*Procurement_kpi_Analysis[[#This Row],[Quantity]]</f>
        <v>2463.5199999999954</v>
      </c>
      <c r="P750" s="2">
        <f>Procurement_kpi_Analysis[[#This Row],[Total Savings]]/Procurement_kpi_Analysis[[#This Row],[Total Spend]]</f>
        <v>3.8706790468732447E-2</v>
      </c>
      <c r="Q750" s="2" t="str">
        <f>IF(Procurement_kpi_Analysis[[#This Row],[Lead Time]]&lt;=14,"On Time","Late")</f>
        <v>On Time</v>
      </c>
      <c r="R750" s="2">
        <f>Procurement_kpi_Analysis[[#This Row],[Unit_Price]]*Procurement_kpi_Analysis[[#This Row],[Quantity]]</f>
        <v>66109.2</v>
      </c>
      <c r="S750" s="2">
        <f>IF(Procurement_kpi_Analysis[[#This Row],[Compliance]]="Yes",1,0)</f>
        <v>1</v>
      </c>
      <c r="T750" s="2">
        <f>IF(Procurement_kpi_Analysis[[#This Row],[Compliance]]="No",1,0)</f>
        <v>0</v>
      </c>
    </row>
    <row r="751" spans="1:20" x14ac:dyDescent="0.3">
      <c r="A751" t="s">
        <v>776</v>
      </c>
      <c r="B751" t="s">
        <v>29</v>
      </c>
      <c r="C751" s="1">
        <v>44691</v>
      </c>
      <c r="D751" s="1">
        <v>44697</v>
      </c>
      <c r="E751" t="s">
        <v>39</v>
      </c>
      <c r="F751" t="s">
        <v>18</v>
      </c>
      <c r="G751">
        <v>1263</v>
      </c>
      <c r="H751">
        <v>90.24</v>
      </c>
      <c r="I751">
        <v>86.84</v>
      </c>
      <c r="J751">
        <v>28</v>
      </c>
      <c r="K751" t="s">
        <v>15</v>
      </c>
      <c r="L751">
        <f>Procurement_kpi_Analysis[[#This Row],[Quantity]]*Procurement_kpi_Analysis[[#This Row],[Negotiated_Price]]</f>
        <v>109678.92</v>
      </c>
      <c r="M751">
        <f>IF(Procurement_kpi_Analysis[[#This Row],[Delivery_Date]]="","",Procurement_kpi_Analysis[[#This Row],[Delivery_Date]]-Procurement_kpi_Analysis[[#This Row],[Order_Date]])</f>
        <v>6</v>
      </c>
      <c r="N751" s="2">
        <f>Procurement_kpi_Analysis[[#This Row],[Defective_Units]]/Procurement_kpi_Analysis[[#This Row],[Quantity]]</f>
        <v>2.2169437846397466E-2</v>
      </c>
      <c r="O751" s="2">
        <f>(Procurement_kpi_Analysis[[#This Row],[Unit_Price]]-Procurement_kpi_Analysis[[#This Row],[Negotiated_Price]])*Procurement_kpi_Analysis[[#This Row],[Quantity]]</f>
        <v>4294.1999999999889</v>
      </c>
      <c r="P751" s="2">
        <f>Procurement_kpi_Analysis[[#This Row],[Total Savings]]/Procurement_kpi_Analysis[[#This Row],[Total Spend]]</f>
        <v>3.9152464302164798E-2</v>
      </c>
      <c r="Q751" s="2" t="str">
        <f>IF(Procurement_kpi_Analysis[[#This Row],[Lead Time]]&lt;=14,"On Time","Late")</f>
        <v>On Time</v>
      </c>
      <c r="R751" s="2">
        <f>Procurement_kpi_Analysis[[#This Row],[Unit_Price]]*Procurement_kpi_Analysis[[#This Row],[Quantity]]</f>
        <v>113973.12</v>
      </c>
      <c r="S751" s="2">
        <f>IF(Procurement_kpi_Analysis[[#This Row],[Compliance]]="Yes",1,0)</f>
        <v>1</v>
      </c>
      <c r="T751" s="2">
        <f>IF(Procurement_kpi_Analysis[[#This Row],[Compliance]]="No",1,0)</f>
        <v>0</v>
      </c>
    </row>
    <row r="752" spans="1:20" x14ac:dyDescent="0.3">
      <c r="A752" t="s">
        <v>777</v>
      </c>
      <c r="B752" t="s">
        <v>17</v>
      </c>
      <c r="C752" s="1">
        <v>45046</v>
      </c>
      <c r="D752" s="1"/>
      <c r="E752" t="s">
        <v>39</v>
      </c>
      <c r="F752" t="s">
        <v>18</v>
      </c>
      <c r="G752">
        <v>1809</v>
      </c>
      <c r="H752">
        <v>13.58</v>
      </c>
      <c r="I752">
        <v>12.68</v>
      </c>
      <c r="J752">
        <v>0</v>
      </c>
      <c r="K752" t="s">
        <v>27</v>
      </c>
      <c r="L752">
        <f>Procurement_kpi_Analysis[[#This Row],[Quantity]]*Procurement_kpi_Analysis[[#This Row],[Negotiated_Price]]</f>
        <v>22938.12</v>
      </c>
      <c r="M752" t="str">
        <f>IF(Procurement_kpi_Analysis[[#This Row],[Delivery_Date]]="","",Procurement_kpi_Analysis[[#This Row],[Delivery_Date]]-Procurement_kpi_Analysis[[#This Row],[Order_Date]])</f>
        <v/>
      </c>
      <c r="N752" s="2">
        <f>Procurement_kpi_Analysis[[#This Row],[Defective_Units]]/Procurement_kpi_Analysis[[#This Row],[Quantity]]</f>
        <v>0</v>
      </c>
      <c r="O752" s="2">
        <f>(Procurement_kpi_Analysis[[#This Row],[Unit_Price]]-Procurement_kpi_Analysis[[#This Row],[Negotiated_Price]])*Procurement_kpi_Analysis[[#This Row],[Quantity]]</f>
        <v>1628.1000000000006</v>
      </c>
      <c r="P752" s="2">
        <f>Procurement_kpi_Analysis[[#This Row],[Total Savings]]/Procurement_kpi_Analysis[[#This Row],[Total Spend]]</f>
        <v>7.0977917981072586E-2</v>
      </c>
      <c r="Q752" s="2" t="str">
        <f>IF(Procurement_kpi_Analysis[[#This Row],[Lead Time]]&lt;=14,"On Time","Late")</f>
        <v>Late</v>
      </c>
      <c r="R752" s="2">
        <f>Procurement_kpi_Analysis[[#This Row],[Unit_Price]]*Procurement_kpi_Analysis[[#This Row],[Quantity]]</f>
        <v>24566.22</v>
      </c>
      <c r="S752" s="2">
        <f>IF(Procurement_kpi_Analysis[[#This Row],[Compliance]]="Yes",1,0)</f>
        <v>0</v>
      </c>
      <c r="T752" s="2">
        <f>IF(Procurement_kpi_Analysis[[#This Row],[Compliance]]="No",1,0)</f>
        <v>1</v>
      </c>
    </row>
    <row r="753" spans="1:20" x14ac:dyDescent="0.3">
      <c r="A753" t="s">
        <v>778</v>
      </c>
      <c r="B753" t="s">
        <v>23</v>
      </c>
      <c r="C753" s="1">
        <v>45247</v>
      </c>
      <c r="D753" s="1"/>
      <c r="E753" t="s">
        <v>39</v>
      </c>
      <c r="F753" t="s">
        <v>14</v>
      </c>
      <c r="G753">
        <v>86</v>
      </c>
      <c r="H753">
        <v>93.6</v>
      </c>
      <c r="I753">
        <v>88.22</v>
      </c>
      <c r="J753">
        <v>5</v>
      </c>
      <c r="K753" t="s">
        <v>15</v>
      </c>
      <c r="L753">
        <f>Procurement_kpi_Analysis[[#This Row],[Quantity]]*Procurement_kpi_Analysis[[#This Row],[Negotiated_Price]]</f>
        <v>7586.92</v>
      </c>
      <c r="M753" t="str">
        <f>IF(Procurement_kpi_Analysis[[#This Row],[Delivery_Date]]="","",Procurement_kpi_Analysis[[#This Row],[Delivery_Date]]-Procurement_kpi_Analysis[[#This Row],[Order_Date]])</f>
        <v/>
      </c>
      <c r="N753" s="2">
        <f>Procurement_kpi_Analysis[[#This Row],[Defective_Units]]/Procurement_kpi_Analysis[[#This Row],[Quantity]]</f>
        <v>5.8139534883720929E-2</v>
      </c>
      <c r="O753" s="2">
        <f>(Procurement_kpi_Analysis[[#This Row],[Unit_Price]]-Procurement_kpi_Analysis[[#This Row],[Negotiated_Price]])*Procurement_kpi_Analysis[[#This Row],[Quantity]]</f>
        <v>462.67999999999961</v>
      </c>
      <c r="P753" s="2">
        <f>Procurement_kpi_Analysis[[#This Row],[Total Savings]]/Procurement_kpi_Analysis[[#This Row],[Total Spend]]</f>
        <v>6.0983903876671908E-2</v>
      </c>
      <c r="Q753" s="2" t="str">
        <f>IF(Procurement_kpi_Analysis[[#This Row],[Lead Time]]&lt;=14,"On Time","Late")</f>
        <v>Late</v>
      </c>
      <c r="R753" s="2">
        <f>Procurement_kpi_Analysis[[#This Row],[Unit_Price]]*Procurement_kpi_Analysis[[#This Row],[Quantity]]</f>
        <v>8049.5999999999995</v>
      </c>
      <c r="S753" s="2">
        <f>IF(Procurement_kpi_Analysis[[#This Row],[Compliance]]="Yes",1,0)</f>
        <v>1</v>
      </c>
      <c r="T753" s="2">
        <f>IF(Procurement_kpi_Analysis[[#This Row],[Compliance]]="No",1,0)</f>
        <v>0</v>
      </c>
    </row>
    <row r="754" spans="1:20" x14ac:dyDescent="0.3">
      <c r="A754" t="s">
        <v>779</v>
      </c>
      <c r="B754" t="s">
        <v>29</v>
      </c>
      <c r="C754" s="1">
        <v>44679</v>
      </c>
      <c r="D754" s="1"/>
      <c r="E754" t="s">
        <v>21</v>
      </c>
      <c r="F754" t="s">
        <v>18</v>
      </c>
      <c r="G754">
        <v>1853</v>
      </c>
      <c r="H754">
        <v>21.92</v>
      </c>
      <c r="I754">
        <v>20.72</v>
      </c>
      <c r="J754">
        <v>0</v>
      </c>
      <c r="K754" t="s">
        <v>15</v>
      </c>
      <c r="L754">
        <f>Procurement_kpi_Analysis[[#This Row],[Quantity]]*Procurement_kpi_Analysis[[#This Row],[Negotiated_Price]]</f>
        <v>38394.159999999996</v>
      </c>
      <c r="M754" t="str">
        <f>IF(Procurement_kpi_Analysis[[#This Row],[Delivery_Date]]="","",Procurement_kpi_Analysis[[#This Row],[Delivery_Date]]-Procurement_kpi_Analysis[[#This Row],[Order_Date]])</f>
        <v/>
      </c>
      <c r="N754" s="2">
        <f>Procurement_kpi_Analysis[[#This Row],[Defective_Units]]/Procurement_kpi_Analysis[[#This Row],[Quantity]]</f>
        <v>0</v>
      </c>
      <c r="O754" s="2">
        <f>(Procurement_kpi_Analysis[[#This Row],[Unit_Price]]-Procurement_kpi_Analysis[[#This Row],[Negotiated_Price]])*Procurement_kpi_Analysis[[#This Row],[Quantity]]</f>
        <v>2223.6000000000054</v>
      </c>
      <c r="P754" s="2">
        <f>Procurement_kpi_Analysis[[#This Row],[Total Savings]]/Procurement_kpi_Analysis[[#This Row],[Total Spend]]</f>
        <v>5.7915057915058063E-2</v>
      </c>
      <c r="Q754" s="2" t="str">
        <f>IF(Procurement_kpi_Analysis[[#This Row],[Lead Time]]&lt;=14,"On Time","Late")</f>
        <v>Late</v>
      </c>
      <c r="R754" s="2">
        <f>Procurement_kpi_Analysis[[#This Row],[Unit_Price]]*Procurement_kpi_Analysis[[#This Row],[Quantity]]</f>
        <v>40617.760000000002</v>
      </c>
      <c r="S754" s="2">
        <f>IF(Procurement_kpi_Analysis[[#This Row],[Compliance]]="Yes",1,0)</f>
        <v>1</v>
      </c>
      <c r="T754" s="2">
        <f>IF(Procurement_kpi_Analysis[[#This Row],[Compliance]]="No",1,0)</f>
        <v>0</v>
      </c>
    </row>
    <row r="755" spans="1:20" x14ac:dyDescent="0.3">
      <c r="A755" t="s">
        <v>780</v>
      </c>
      <c r="B755" t="s">
        <v>23</v>
      </c>
      <c r="C755" s="1">
        <v>45139</v>
      </c>
      <c r="D755" s="1">
        <v>45140</v>
      </c>
      <c r="E755" t="s">
        <v>39</v>
      </c>
      <c r="F755" t="s">
        <v>18</v>
      </c>
      <c r="G755">
        <v>1442</v>
      </c>
      <c r="H755">
        <v>43.98</v>
      </c>
      <c r="I755">
        <v>41.82</v>
      </c>
      <c r="J755">
        <v>140</v>
      </c>
      <c r="K755" t="s">
        <v>27</v>
      </c>
      <c r="L755">
        <f>Procurement_kpi_Analysis[[#This Row],[Quantity]]*Procurement_kpi_Analysis[[#This Row],[Negotiated_Price]]</f>
        <v>60304.44</v>
      </c>
      <c r="M755">
        <f>IF(Procurement_kpi_Analysis[[#This Row],[Delivery_Date]]="","",Procurement_kpi_Analysis[[#This Row],[Delivery_Date]]-Procurement_kpi_Analysis[[#This Row],[Order_Date]])</f>
        <v>1</v>
      </c>
      <c r="N755" s="2">
        <f>Procurement_kpi_Analysis[[#This Row],[Defective_Units]]/Procurement_kpi_Analysis[[#This Row],[Quantity]]</f>
        <v>9.7087378640776698E-2</v>
      </c>
      <c r="O755" s="2">
        <f>(Procurement_kpi_Analysis[[#This Row],[Unit_Price]]-Procurement_kpi_Analysis[[#This Row],[Negotiated_Price]])*Procurement_kpi_Analysis[[#This Row],[Quantity]]</f>
        <v>3114.7199999999953</v>
      </c>
      <c r="P755" s="2">
        <f>Procurement_kpi_Analysis[[#This Row],[Total Savings]]/Procurement_kpi_Analysis[[#This Row],[Total Spend]]</f>
        <v>5.164992826398844E-2</v>
      </c>
      <c r="Q755" s="2" t="str">
        <f>IF(Procurement_kpi_Analysis[[#This Row],[Lead Time]]&lt;=14,"On Time","Late")</f>
        <v>On Time</v>
      </c>
      <c r="R755" s="2">
        <f>Procurement_kpi_Analysis[[#This Row],[Unit_Price]]*Procurement_kpi_Analysis[[#This Row],[Quantity]]</f>
        <v>63419.159999999996</v>
      </c>
      <c r="S755" s="2">
        <f>IF(Procurement_kpi_Analysis[[#This Row],[Compliance]]="Yes",1,0)</f>
        <v>0</v>
      </c>
      <c r="T755" s="2">
        <f>IF(Procurement_kpi_Analysis[[#This Row],[Compliance]]="No",1,0)</f>
        <v>1</v>
      </c>
    </row>
    <row r="756" spans="1:20" x14ac:dyDescent="0.3">
      <c r="A756" t="s">
        <v>781</v>
      </c>
      <c r="B756" t="s">
        <v>23</v>
      </c>
      <c r="C756" s="1">
        <v>44785</v>
      </c>
      <c r="D756" s="1">
        <v>44805</v>
      </c>
      <c r="E756" t="s">
        <v>13</v>
      </c>
      <c r="F756" t="s">
        <v>35</v>
      </c>
      <c r="G756">
        <v>1768</v>
      </c>
      <c r="H756">
        <v>79.61</v>
      </c>
      <c r="I756">
        <v>74.97</v>
      </c>
      <c r="J756">
        <v>207</v>
      </c>
      <c r="K756" t="s">
        <v>27</v>
      </c>
      <c r="L756">
        <f>Procurement_kpi_Analysis[[#This Row],[Quantity]]*Procurement_kpi_Analysis[[#This Row],[Negotiated_Price]]</f>
        <v>132546.96</v>
      </c>
      <c r="M756">
        <f>IF(Procurement_kpi_Analysis[[#This Row],[Delivery_Date]]="","",Procurement_kpi_Analysis[[#This Row],[Delivery_Date]]-Procurement_kpi_Analysis[[#This Row],[Order_Date]])</f>
        <v>20</v>
      </c>
      <c r="N756" s="2">
        <f>Procurement_kpi_Analysis[[#This Row],[Defective_Units]]/Procurement_kpi_Analysis[[#This Row],[Quantity]]</f>
        <v>0.11708144796380091</v>
      </c>
      <c r="O756" s="2">
        <f>(Procurement_kpi_Analysis[[#This Row],[Unit_Price]]-Procurement_kpi_Analysis[[#This Row],[Negotiated_Price]])*Procurement_kpi_Analysis[[#This Row],[Quantity]]</f>
        <v>8203.52</v>
      </c>
      <c r="P756" s="2">
        <f>Procurement_kpi_Analysis[[#This Row],[Total Savings]]/Procurement_kpi_Analysis[[#This Row],[Total Spend]]</f>
        <v>6.1891423235961057E-2</v>
      </c>
      <c r="Q756" s="2" t="str">
        <f>IF(Procurement_kpi_Analysis[[#This Row],[Lead Time]]&lt;=14,"On Time","Late")</f>
        <v>Late</v>
      </c>
      <c r="R756" s="2">
        <f>Procurement_kpi_Analysis[[#This Row],[Unit_Price]]*Procurement_kpi_Analysis[[#This Row],[Quantity]]</f>
        <v>140750.48000000001</v>
      </c>
      <c r="S756" s="2">
        <f>IF(Procurement_kpi_Analysis[[#This Row],[Compliance]]="Yes",1,0)</f>
        <v>0</v>
      </c>
      <c r="T756" s="2">
        <f>IF(Procurement_kpi_Analysis[[#This Row],[Compliance]]="No",1,0)</f>
        <v>1</v>
      </c>
    </row>
    <row r="757" spans="1:20" x14ac:dyDescent="0.3">
      <c r="A757" t="s">
        <v>782</v>
      </c>
      <c r="B757" t="s">
        <v>23</v>
      </c>
      <c r="C757" s="1">
        <v>45038</v>
      </c>
      <c r="D757" s="1">
        <v>45049</v>
      </c>
      <c r="E757" t="s">
        <v>39</v>
      </c>
      <c r="F757" t="s">
        <v>33</v>
      </c>
      <c r="G757">
        <v>1598</v>
      </c>
      <c r="H757">
        <v>26.3</v>
      </c>
      <c r="I757">
        <v>26.03</v>
      </c>
      <c r="J757">
        <v>154</v>
      </c>
      <c r="K757" t="s">
        <v>27</v>
      </c>
      <c r="L757">
        <f>Procurement_kpi_Analysis[[#This Row],[Quantity]]*Procurement_kpi_Analysis[[#This Row],[Negotiated_Price]]</f>
        <v>41595.94</v>
      </c>
      <c r="M757">
        <f>IF(Procurement_kpi_Analysis[[#This Row],[Delivery_Date]]="","",Procurement_kpi_Analysis[[#This Row],[Delivery_Date]]-Procurement_kpi_Analysis[[#This Row],[Order_Date]])</f>
        <v>11</v>
      </c>
      <c r="N757" s="2">
        <f>Procurement_kpi_Analysis[[#This Row],[Defective_Units]]/Procurement_kpi_Analysis[[#This Row],[Quantity]]</f>
        <v>9.6370463078848556E-2</v>
      </c>
      <c r="O757" s="2">
        <f>(Procurement_kpi_Analysis[[#This Row],[Unit_Price]]-Procurement_kpi_Analysis[[#This Row],[Negotiated_Price]])*Procurement_kpi_Analysis[[#This Row],[Quantity]]</f>
        <v>431.4599999999993</v>
      </c>
      <c r="P757" s="2">
        <f>Procurement_kpi_Analysis[[#This Row],[Total Savings]]/Procurement_kpi_Analysis[[#This Row],[Total Spend]]</f>
        <v>1.0372646945831714E-2</v>
      </c>
      <c r="Q757" s="2" t="str">
        <f>IF(Procurement_kpi_Analysis[[#This Row],[Lead Time]]&lt;=14,"On Time","Late")</f>
        <v>On Time</v>
      </c>
      <c r="R757" s="2">
        <f>Procurement_kpi_Analysis[[#This Row],[Unit_Price]]*Procurement_kpi_Analysis[[#This Row],[Quantity]]</f>
        <v>42027.4</v>
      </c>
      <c r="S757" s="2">
        <f>IF(Procurement_kpi_Analysis[[#This Row],[Compliance]]="Yes",1,0)</f>
        <v>0</v>
      </c>
      <c r="T757" s="2">
        <f>IF(Procurement_kpi_Analysis[[#This Row],[Compliance]]="No",1,0)</f>
        <v>1</v>
      </c>
    </row>
    <row r="758" spans="1:20" x14ac:dyDescent="0.3">
      <c r="A758" t="s">
        <v>783</v>
      </c>
      <c r="B758" t="s">
        <v>12</v>
      </c>
      <c r="C758" s="1">
        <v>45278</v>
      </c>
      <c r="D758" s="1">
        <v>45296</v>
      </c>
      <c r="E758" t="s">
        <v>21</v>
      </c>
      <c r="F758" t="s">
        <v>14</v>
      </c>
      <c r="G758">
        <v>328</v>
      </c>
      <c r="H758">
        <v>93.23</v>
      </c>
      <c r="I758">
        <v>82.63</v>
      </c>
      <c r="J758">
        <v>6</v>
      </c>
      <c r="K758" t="s">
        <v>15</v>
      </c>
      <c r="L758">
        <f>Procurement_kpi_Analysis[[#This Row],[Quantity]]*Procurement_kpi_Analysis[[#This Row],[Negotiated_Price]]</f>
        <v>27102.639999999999</v>
      </c>
      <c r="M758">
        <f>IF(Procurement_kpi_Analysis[[#This Row],[Delivery_Date]]="","",Procurement_kpi_Analysis[[#This Row],[Delivery_Date]]-Procurement_kpi_Analysis[[#This Row],[Order_Date]])</f>
        <v>18</v>
      </c>
      <c r="N758" s="2">
        <f>Procurement_kpi_Analysis[[#This Row],[Defective_Units]]/Procurement_kpi_Analysis[[#This Row],[Quantity]]</f>
        <v>1.8292682926829267E-2</v>
      </c>
      <c r="O758" s="2">
        <f>(Procurement_kpi_Analysis[[#This Row],[Unit_Price]]-Procurement_kpi_Analysis[[#This Row],[Negotiated_Price]])*Procurement_kpi_Analysis[[#This Row],[Quantity]]</f>
        <v>3476.8000000000029</v>
      </c>
      <c r="P758" s="2">
        <f>Procurement_kpi_Analysis[[#This Row],[Total Savings]]/Procurement_kpi_Analysis[[#This Row],[Total Spend]]</f>
        <v>0.12828270603896902</v>
      </c>
      <c r="Q758" s="2" t="str">
        <f>IF(Procurement_kpi_Analysis[[#This Row],[Lead Time]]&lt;=14,"On Time","Late")</f>
        <v>Late</v>
      </c>
      <c r="R758" s="2">
        <f>Procurement_kpi_Analysis[[#This Row],[Unit_Price]]*Procurement_kpi_Analysis[[#This Row],[Quantity]]</f>
        <v>30579.440000000002</v>
      </c>
      <c r="S758" s="2">
        <f>IF(Procurement_kpi_Analysis[[#This Row],[Compliance]]="Yes",1,0)</f>
        <v>1</v>
      </c>
      <c r="T758" s="2">
        <f>IF(Procurement_kpi_Analysis[[#This Row],[Compliance]]="No",1,0)</f>
        <v>0</v>
      </c>
    </row>
    <row r="759" spans="1:20" x14ac:dyDescent="0.3">
      <c r="A759" t="s">
        <v>784</v>
      </c>
      <c r="B759" t="s">
        <v>29</v>
      </c>
      <c r="C759" s="1">
        <v>44824</v>
      </c>
      <c r="D759" s="1">
        <v>44829</v>
      </c>
      <c r="E759" t="s">
        <v>24</v>
      </c>
      <c r="F759" t="s">
        <v>18</v>
      </c>
      <c r="G759">
        <v>266</v>
      </c>
      <c r="H759">
        <v>88.29</v>
      </c>
      <c r="I759">
        <v>80.22</v>
      </c>
      <c r="J759">
        <v>4</v>
      </c>
      <c r="K759" t="s">
        <v>15</v>
      </c>
      <c r="L759">
        <f>Procurement_kpi_Analysis[[#This Row],[Quantity]]*Procurement_kpi_Analysis[[#This Row],[Negotiated_Price]]</f>
        <v>21338.52</v>
      </c>
      <c r="M759">
        <f>IF(Procurement_kpi_Analysis[[#This Row],[Delivery_Date]]="","",Procurement_kpi_Analysis[[#This Row],[Delivery_Date]]-Procurement_kpi_Analysis[[#This Row],[Order_Date]])</f>
        <v>5</v>
      </c>
      <c r="N759" s="2">
        <f>Procurement_kpi_Analysis[[#This Row],[Defective_Units]]/Procurement_kpi_Analysis[[#This Row],[Quantity]]</f>
        <v>1.5037593984962405E-2</v>
      </c>
      <c r="O759" s="2">
        <f>(Procurement_kpi_Analysis[[#This Row],[Unit_Price]]-Procurement_kpi_Analysis[[#This Row],[Negotiated_Price]])*Procurement_kpi_Analysis[[#This Row],[Quantity]]</f>
        <v>2146.6200000000022</v>
      </c>
      <c r="P759" s="2">
        <f>Procurement_kpi_Analysis[[#This Row],[Total Savings]]/Procurement_kpi_Analysis[[#This Row],[Total Spend]]</f>
        <v>0.10059835452505619</v>
      </c>
      <c r="Q759" s="2" t="str">
        <f>IF(Procurement_kpi_Analysis[[#This Row],[Lead Time]]&lt;=14,"On Time","Late")</f>
        <v>On Time</v>
      </c>
      <c r="R759" s="2">
        <f>Procurement_kpi_Analysis[[#This Row],[Unit_Price]]*Procurement_kpi_Analysis[[#This Row],[Quantity]]</f>
        <v>23485.140000000003</v>
      </c>
      <c r="S759" s="2">
        <f>IF(Procurement_kpi_Analysis[[#This Row],[Compliance]]="Yes",1,0)</f>
        <v>1</v>
      </c>
      <c r="T759" s="2">
        <f>IF(Procurement_kpi_Analysis[[#This Row],[Compliance]]="No",1,0)</f>
        <v>0</v>
      </c>
    </row>
    <row r="760" spans="1:20" x14ac:dyDescent="0.3">
      <c r="A760" t="s">
        <v>785</v>
      </c>
      <c r="B760" t="s">
        <v>20</v>
      </c>
      <c r="C760" s="1">
        <v>44939</v>
      </c>
      <c r="D760" s="1">
        <v>44954</v>
      </c>
      <c r="E760" t="s">
        <v>26</v>
      </c>
      <c r="F760" t="s">
        <v>18</v>
      </c>
      <c r="G760">
        <v>916</v>
      </c>
      <c r="H760">
        <v>59.01</v>
      </c>
      <c r="I760">
        <v>53.37</v>
      </c>
      <c r="J760">
        <v>47</v>
      </c>
      <c r="K760" t="s">
        <v>15</v>
      </c>
      <c r="L760">
        <f>Procurement_kpi_Analysis[[#This Row],[Quantity]]*Procurement_kpi_Analysis[[#This Row],[Negotiated_Price]]</f>
        <v>48886.92</v>
      </c>
      <c r="M760">
        <f>IF(Procurement_kpi_Analysis[[#This Row],[Delivery_Date]]="","",Procurement_kpi_Analysis[[#This Row],[Delivery_Date]]-Procurement_kpi_Analysis[[#This Row],[Order_Date]])</f>
        <v>15</v>
      </c>
      <c r="N760" s="2">
        <f>Procurement_kpi_Analysis[[#This Row],[Defective_Units]]/Procurement_kpi_Analysis[[#This Row],[Quantity]]</f>
        <v>5.1310043668122272E-2</v>
      </c>
      <c r="O760" s="2">
        <f>(Procurement_kpi_Analysis[[#This Row],[Unit_Price]]-Procurement_kpi_Analysis[[#This Row],[Negotiated_Price]])*Procurement_kpi_Analysis[[#This Row],[Quantity]]</f>
        <v>5166.2400000000007</v>
      </c>
      <c r="P760" s="2">
        <f>Procurement_kpi_Analysis[[#This Row],[Total Savings]]/Procurement_kpi_Analysis[[#This Row],[Total Spend]]</f>
        <v>0.10567734682405848</v>
      </c>
      <c r="Q760" s="2" t="str">
        <f>IF(Procurement_kpi_Analysis[[#This Row],[Lead Time]]&lt;=14,"On Time","Late")</f>
        <v>Late</v>
      </c>
      <c r="R760" s="2">
        <f>Procurement_kpi_Analysis[[#This Row],[Unit_Price]]*Procurement_kpi_Analysis[[#This Row],[Quantity]]</f>
        <v>54053.159999999996</v>
      </c>
      <c r="S760" s="2">
        <f>IF(Procurement_kpi_Analysis[[#This Row],[Compliance]]="Yes",1,0)</f>
        <v>1</v>
      </c>
      <c r="T760" s="2">
        <f>IF(Procurement_kpi_Analysis[[#This Row],[Compliance]]="No",1,0)</f>
        <v>0</v>
      </c>
    </row>
    <row r="761" spans="1:20" x14ac:dyDescent="0.3">
      <c r="A761" t="s">
        <v>786</v>
      </c>
      <c r="B761" t="s">
        <v>29</v>
      </c>
      <c r="C761" s="1">
        <v>44733</v>
      </c>
      <c r="D761" s="1">
        <v>44737</v>
      </c>
      <c r="E761" t="s">
        <v>24</v>
      </c>
      <c r="F761" t="s">
        <v>14</v>
      </c>
      <c r="G761">
        <v>922</v>
      </c>
      <c r="H761">
        <v>10.84</v>
      </c>
      <c r="I761">
        <v>9.27</v>
      </c>
      <c r="J761">
        <v>29</v>
      </c>
      <c r="K761" t="s">
        <v>15</v>
      </c>
      <c r="L761">
        <f>Procurement_kpi_Analysis[[#This Row],[Quantity]]*Procurement_kpi_Analysis[[#This Row],[Negotiated_Price]]</f>
        <v>8546.94</v>
      </c>
      <c r="M761">
        <f>IF(Procurement_kpi_Analysis[[#This Row],[Delivery_Date]]="","",Procurement_kpi_Analysis[[#This Row],[Delivery_Date]]-Procurement_kpi_Analysis[[#This Row],[Order_Date]])</f>
        <v>4</v>
      </c>
      <c r="N761" s="2">
        <f>Procurement_kpi_Analysis[[#This Row],[Defective_Units]]/Procurement_kpi_Analysis[[#This Row],[Quantity]]</f>
        <v>3.1453362255965296E-2</v>
      </c>
      <c r="O761" s="2">
        <f>(Procurement_kpi_Analysis[[#This Row],[Unit_Price]]-Procurement_kpi_Analysis[[#This Row],[Negotiated_Price]])*Procurement_kpi_Analysis[[#This Row],[Quantity]]</f>
        <v>1447.5400000000002</v>
      </c>
      <c r="P761" s="2">
        <f>Procurement_kpi_Analysis[[#This Row],[Total Savings]]/Procurement_kpi_Analysis[[#This Row],[Total Spend]]</f>
        <v>0.16936353829557715</v>
      </c>
      <c r="Q761" s="2" t="str">
        <f>IF(Procurement_kpi_Analysis[[#This Row],[Lead Time]]&lt;=14,"On Time","Late")</f>
        <v>On Time</v>
      </c>
      <c r="R761" s="2">
        <f>Procurement_kpi_Analysis[[#This Row],[Unit_Price]]*Procurement_kpi_Analysis[[#This Row],[Quantity]]</f>
        <v>9994.48</v>
      </c>
      <c r="S761" s="2">
        <f>IF(Procurement_kpi_Analysis[[#This Row],[Compliance]]="Yes",1,0)</f>
        <v>1</v>
      </c>
      <c r="T761" s="2">
        <f>IF(Procurement_kpi_Analysis[[#This Row],[Compliance]]="No",1,0)</f>
        <v>0</v>
      </c>
    </row>
    <row r="762" spans="1:20" x14ac:dyDescent="0.3">
      <c r="A762" t="s">
        <v>787</v>
      </c>
      <c r="B762" t="s">
        <v>20</v>
      </c>
      <c r="C762" s="1">
        <v>45182</v>
      </c>
      <c r="D762" s="1">
        <v>45197</v>
      </c>
      <c r="E762" t="s">
        <v>24</v>
      </c>
      <c r="F762" t="s">
        <v>18</v>
      </c>
      <c r="G762">
        <v>1871</v>
      </c>
      <c r="H762">
        <v>39.42</v>
      </c>
      <c r="I762">
        <v>37.409999999999997</v>
      </c>
      <c r="J762">
        <v>101</v>
      </c>
      <c r="K762" t="s">
        <v>27</v>
      </c>
      <c r="L762">
        <f>Procurement_kpi_Analysis[[#This Row],[Quantity]]*Procurement_kpi_Analysis[[#This Row],[Negotiated_Price]]</f>
        <v>69994.11</v>
      </c>
      <c r="M762">
        <f>IF(Procurement_kpi_Analysis[[#This Row],[Delivery_Date]]="","",Procurement_kpi_Analysis[[#This Row],[Delivery_Date]]-Procurement_kpi_Analysis[[#This Row],[Order_Date]])</f>
        <v>15</v>
      </c>
      <c r="N762" s="2">
        <f>Procurement_kpi_Analysis[[#This Row],[Defective_Units]]/Procurement_kpi_Analysis[[#This Row],[Quantity]]</f>
        <v>5.3981827899518976E-2</v>
      </c>
      <c r="O762" s="2">
        <f>(Procurement_kpi_Analysis[[#This Row],[Unit_Price]]-Procurement_kpi_Analysis[[#This Row],[Negotiated_Price]])*Procurement_kpi_Analysis[[#This Row],[Quantity]]</f>
        <v>3760.7100000000096</v>
      </c>
      <c r="P762" s="2">
        <f>Procurement_kpi_Analysis[[#This Row],[Total Savings]]/Procurement_kpi_Analysis[[#This Row],[Total Spend]]</f>
        <v>5.3728949478749136E-2</v>
      </c>
      <c r="Q762" s="2" t="str">
        <f>IF(Procurement_kpi_Analysis[[#This Row],[Lead Time]]&lt;=14,"On Time","Late")</f>
        <v>Late</v>
      </c>
      <c r="R762" s="2">
        <f>Procurement_kpi_Analysis[[#This Row],[Unit_Price]]*Procurement_kpi_Analysis[[#This Row],[Quantity]]</f>
        <v>73754.820000000007</v>
      </c>
      <c r="S762" s="2">
        <f>IF(Procurement_kpi_Analysis[[#This Row],[Compliance]]="Yes",1,0)</f>
        <v>0</v>
      </c>
      <c r="T762" s="2">
        <f>IF(Procurement_kpi_Analysis[[#This Row],[Compliance]]="No",1,0)</f>
        <v>1</v>
      </c>
    </row>
    <row r="763" spans="1:20" x14ac:dyDescent="0.3">
      <c r="A763" t="s">
        <v>788</v>
      </c>
      <c r="B763" t="s">
        <v>29</v>
      </c>
      <c r="C763" s="1">
        <v>45183</v>
      </c>
      <c r="D763" s="1">
        <v>45189</v>
      </c>
      <c r="E763" t="s">
        <v>26</v>
      </c>
      <c r="F763" t="s">
        <v>18</v>
      </c>
      <c r="G763">
        <v>1346</v>
      </c>
      <c r="H763">
        <v>72.08</v>
      </c>
      <c r="I763">
        <v>67.040000000000006</v>
      </c>
      <c r="J763">
        <v>38</v>
      </c>
      <c r="K763" t="s">
        <v>15</v>
      </c>
      <c r="L763">
        <f>Procurement_kpi_Analysis[[#This Row],[Quantity]]*Procurement_kpi_Analysis[[#This Row],[Negotiated_Price]]</f>
        <v>90235.840000000011</v>
      </c>
      <c r="M763">
        <f>IF(Procurement_kpi_Analysis[[#This Row],[Delivery_Date]]="","",Procurement_kpi_Analysis[[#This Row],[Delivery_Date]]-Procurement_kpi_Analysis[[#This Row],[Order_Date]])</f>
        <v>6</v>
      </c>
      <c r="N763" s="2">
        <f>Procurement_kpi_Analysis[[#This Row],[Defective_Units]]/Procurement_kpi_Analysis[[#This Row],[Quantity]]</f>
        <v>2.8231797919762259E-2</v>
      </c>
      <c r="O763" s="2">
        <f>(Procurement_kpi_Analysis[[#This Row],[Unit_Price]]-Procurement_kpi_Analysis[[#This Row],[Negotiated_Price]])*Procurement_kpi_Analysis[[#This Row],[Quantity]]</f>
        <v>6783.8399999999892</v>
      </c>
      <c r="P763" s="2">
        <f>Procurement_kpi_Analysis[[#This Row],[Total Savings]]/Procurement_kpi_Analysis[[#This Row],[Total Spend]]</f>
        <v>7.5178997613365023E-2</v>
      </c>
      <c r="Q763" s="2" t="str">
        <f>IF(Procurement_kpi_Analysis[[#This Row],[Lead Time]]&lt;=14,"On Time","Late")</f>
        <v>On Time</v>
      </c>
      <c r="R763" s="2">
        <f>Procurement_kpi_Analysis[[#This Row],[Unit_Price]]*Procurement_kpi_Analysis[[#This Row],[Quantity]]</f>
        <v>97019.68</v>
      </c>
      <c r="S763" s="2">
        <f>IF(Procurement_kpi_Analysis[[#This Row],[Compliance]]="Yes",1,0)</f>
        <v>1</v>
      </c>
      <c r="T763" s="2">
        <f>IF(Procurement_kpi_Analysis[[#This Row],[Compliance]]="No",1,0)</f>
        <v>0</v>
      </c>
    </row>
    <row r="764" spans="1:20" x14ac:dyDescent="0.3">
      <c r="A764" t="s">
        <v>789</v>
      </c>
      <c r="B764" t="s">
        <v>29</v>
      </c>
      <c r="C764" s="1">
        <v>44679</v>
      </c>
      <c r="D764" s="1">
        <v>44690</v>
      </c>
      <c r="E764" t="s">
        <v>39</v>
      </c>
      <c r="F764" t="s">
        <v>18</v>
      </c>
      <c r="G764">
        <v>1954</v>
      </c>
      <c r="H764">
        <v>99.78</v>
      </c>
      <c r="I764">
        <v>87.47</v>
      </c>
      <c r="J764">
        <v>57</v>
      </c>
      <c r="K764" t="s">
        <v>15</v>
      </c>
      <c r="L764">
        <f>Procurement_kpi_Analysis[[#This Row],[Quantity]]*Procurement_kpi_Analysis[[#This Row],[Negotiated_Price]]</f>
        <v>170916.38</v>
      </c>
      <c r="M764">
        <f>IF(Procurement_kpi_Analysis[[#This Row],[Delivery_Date]]="","",Procurement_kpi_Analysis[[#This Row],[Delivery_Date]]-Procurement_kpi_Analysis[[#This Row],[Order_Date]])</f>
        <v>11</v>
      </c>
      <c r="N764" s="2">
        <f>Procurement_kpi_Analysis[[#This Row],[Defective_Units]]/Procurement_kpi_Analysis[[#This Row],[Quantity]]</f>
        <v>2.9170931422722621E-2</v>
      </c>
      <c r="O764" s="2">
        <f>(Procurement_kpi_Analysis[[#This Row],[Unit_Price]]-Procurement_kpi_Analysis[[#This Row],[Negotiated_Price]])*Procurement_kpi_Analysis[[#This Row],[Quantity]]</f>
        <v>24053.740000000005</v>
      </c>
      <c r="P764" s="2">
        <f>Procurement_kpi_Analysis[[#This Row],[Total Savings]]/Procurement_kpi_Analysis[[#This Row],[Total Spend]]</f>
        <v>0.14073396593117643</v>
      </c>
      <c r="Q764" s="2" t="str">
        <f>IF(Procurement_kpi_Analysis[[#This Row],[Lead Time]]&lt;=14,"On Time","Late")</f>
        <v>On Time</v>
      </c>
      <c r="R764" s="2">
        <f>Procurement_kpi_Analysis[[#This Row],[Unit_Price]]*Procurement_kpi_Analysis[[#This Row],[Quantity]]</f>
        <v>194970.12</v>
      </c>
      <c r="S764" s="2">
        <f>IF(Procurement_kpi_Analysis[[#This Row],[Compliance]]="Yes",1,0)</f>
        <v>1</v>
      </c>
      <c r="T764" s="2">
        <f>IF(Procurement_kpi_Analysis[[#This Row],[Compliance]]="No",1,0)</f>
        <v>0</v>
      </c>
    </row>
    <row r="765" spans="1:20" x14ac:dyDescent="0.3">
      <c r="A765" t="s">
        <v>790</v>
      </c>
      <c r="B765" t="s">
        <v>23</v>
      </c>
      <c r="C765" s="1">
        <v>44729</v>
      </c>
      <c r="D765" s="1">
        <v>44748</v>
      </c>
      <c r="E765" t="s">
        <v>39</v>
      </c>
      <c r="F765" t="s">
        <v>18</v>
      </c>
      <c r="G765">
        <v>111</v>
      </c>
      <c r="H765">
        <v>68.53</v>
      </c>
      <c r="I765">
        <v>65.22</v>
      </c>
      <c r="J765">
        <v>11</v>
      </c>
      <c r="K765" t="s">
        <v>15</v>
      </c>
      <c r="L765">
        <f>Procurement_kpi_Analysis[[#This Row],[Quantity]]*Procurement_kpi_Analysis[[#This Row],[Negotiated_Price]]</f>
        <v>7239.42</v>
      </c>
      <c r="M765">
        <f>IF(Procurement_kpi_Analysis[[#This Row],[Delivery_Date]]="","",Procurement_kpi_Analysis[[#This Row],[Delivery_Date]]-Procurement_kpi_Analysis[[#This Row],[Order_Date]])</f>
        <v>19</v>
      </c>
      <c r="N765" s="2">
        <f>Procurement_kpi_Analysis[[#This Row],[Defective_Units]]/Procurement_kpi_Analysis[[#This Row],[Quantity]]</f>
        <v>9.90990990990991E-2</v>
      </c>
      <c r="O765" s="2">
        <f>(Procurement_kpi_Analysis[[#This Row],[Unit_Price]]-Procurement_kpi_Analysis[[#This Row],[Negotiated_Price]])*Procurement_kpi_Analysis[[#This Row],[Quantity]]</f>
        <v>367.41000000000025</v>
      </c>
      <c r="P765" s="2">
        <f>Procurement_kpi_Analysis[[#This Row],[Total Savings]]/Procurement_kpi_Analysis[[#This Row],[Total Spend]]</f>
        <v>5.0751303281202122E-2</v>
      </c>
      <c r="Q765" s="2" t="str">
        <f>IF(Procurement_kpi_Analysis[[#This Row],[Lead Time]]&lt;=14,"On Time","Late")</f>
        <v>Late</v>
      </c>
      <c r="R765" s="2">
        <f>Procurement_kpi_Analysis[[#This Row],[Unit_Price]]*Procurement_kpi_Analysis[[#This Row],[Quantity]]</f>
        <v>7606.83</v>
      </c>
      <c r="S765" s="2">
        <f>IF(Procurement_kpi_Analysis[[#This Row],[Compliance]]="Yes",1,0)</f>
        <v>1</v>
      </c>
      <c r="T765" s="2">
        <f>IF(Procurement_kpi_Analysis[[#This Row],[Compliance]]="No",1,0)</f>
        <v>0</v>
      </c>
    </row>
    <row r="766" spans="1:20" x14ac:dyDescent="0.3">
      <c r="A766" t="s">
        <v>791</v>
      </c>
      <c r="B766" t="s">
        <v>20</v>
      </c>
      <c r="C766" s="1">
        <v>44880</v>
      </c>
      <c r="D766" s="1">
        <v>44887</v>
      </c>
      <c r="E766" t="s">
        <v>13</v>
      </c>
      <c r="F766" t="s">
        <v>35</v>
      </c>
      <c r="G766">
        <v>645</v>
      </c>
      <c r="H766">
        <v>35.049999999999997</v>
      </c>
      <c r="I766">
        <v>30.88</v>
      </c>
      <c r="J766">
        <v>27</v>
      </c>
      <c r="K766" t="s">
        <v>15</v>
      </c>
      <c r="L766">
        <f>Procurement_kpi_Analysis[[#This Row],[Quantity]]*Procurement_kpi_Analysis[[#This Row],[Negotiated_Price]]</f>
        <v>19917.599999999999</v>
      </c>
      <c r="M766">
        <f>IF(Procurement_kpi_Analysis[[#This Row],[Delivery_Date]]="","",Procurement_kpi_Analysis[[#This Row],[Delivery_Date]]-Procurement_kpi_Analysis[[#This Row],[Order_Date]])</f>
        <v>7</v>
      </c>
      <c r="N766" s="2">
        <f>Procurement_kpi_Analysis[[#This Row],[Defective_Units]]/Procurement_kpi_Analysis[[#This Row],[Quantity]]</f>
        <v>4.1860465116279069E-2</v>
      </c>
      <c r="O766" s="2">
        <f>(Procurement_kpi_Analysis[[#This Row],[Unit_Price]]-Procurement_kpi_Analysis[[#This Row],[Negotiated_Price]])*Procurement_kpi_Analysis[[#This Row],[Quantity]]</f>
        <v>2689.6499999999987</v>
      </c>
      <c r="P766" s="2">
        <f>Procurement_kpi_Analysis[[#This Row],[Total Savings]]/Procurement_kpi_Analysis[[#This Row],[Total Spend]]</f>
        <v>0.1350388601036269</v>
      </c>
      <c r="Q766" s="2" t="str">
        <f>IF(Procurement_kpi_Analysis[[#This Row],[Lead Time]]&lt;=14,"On Time","Late")</f>
        <v>On Time</v>
      </c>
      <c r="R766" s="2">
        <f>Procurement_kpi_Analysis[[#This Row],[Unit_Price]]*Procurement_kpi_Analysis[[#This Row],[Quantity]]</f>
        <v>22607.249999999996</v>
      </c>
      <c r="S766" s="2">
        <f>IF(Procurement_kpi_Analysis[[#This Row],[Compliance]]="Yes",1,0)</f>
        <v>1</v>
      </c>
      <c r="T766" s="2">
        <f>IF(Procurement_kpi_Analysis[[#This Row],[Compliance]]="No",1,0)</f>
        <v>0</v>
      </c>
    </row>
    <row r="767" spans="1:20" x14ac:dyDescent="0.3">
      <c r="A767" t="s">
        <v>792</v>
      </c>
      <c r="B767" t="s">
        <v>20</v>
      </c>
      <c r="C767" s="1">
        <v>44672</v>
      </c>
      <c r="D767" s="1">
        <v>44685</v>
      </c>
      <c r="E767" t="s">
        <v>39</v>
      </c>
      <c r="F767" t="s">
        <v>14</v>
      </c>
      <c r="G767">
        <v>1953</v>
      </c>
      <c r="H767">
        <v>68.069999999999993</v>
      </c>
      <c r="I767">
        <v>62.95</v>
      </c>
      <c r="J767">
        <v>87</v>
      </c>
      <c r="K767" t="s">
        <v>15</v>
      </c>
      <c r="L767">
        <f>Procurement_kpi_Analysis[[#This Row],[Quantity]]*Procurement_kpi_Analysis[[#This Row],[Negotiated_Price]]</f>
        <v>122941.35</v>
      </c>
      <c r="M767">
        <f>IF(Procurement_kpi_Analysis[[#This Row],[Delivery_Date]]="","",Procurement_kpi_Analysis[[#This Row],[Delivery_Date]]-Procurement_kpi_Analysis[[#This Row],[Order_Date]])</f>
        <v>13</v>
      </c>
      <c r="N767" s="2">
        <f>Procurement_kpi_Analysis[[#This Row],[Defective_Units]]/Procurement_kpi_Analysis[[#This Row],[Quantity]]</f>
        <v>4.4546850998463901E-2</v>
      </c>
      <c r="O767" s="2">
        <f>(Procurement_kpi_Analysis[[#This Row],[Unit_Price]]-Procurement_kpi_Analysis[[#This Row],[Negotiated_Price]])*Procurement_kpi_Analysis[[#This Row],[Quantity]]</f>
        <v>9999.3599999999806</v>
      </c>
      <c r="P767" s="2">
        <f>Procurement_kpi_Analysis[[#This Row],[Total Savings]]/Procurement_kpi_Analysis[[#This Row],[Total Spend]]</f>
        <v>8.1334392374900547E-2</v>
      </c>
      <c r="Q767" s="2" t="str">
        <f>IF(Procurement_kpi_Analysis[[#This Row],[Lead Time]]&lt;=14,"On Time","Late")</f>
        <v>On Time</v>
      </c>
      <c r="R767" s="2">
        <f>Procurement_kpi_Analysis[[#This Row],[Unit_Price]]*Procurement_kpi_Analysis[[#This Row],[Quantity]]</f>
        <v>132940.71</v>
      </c>
      <c r="S767" s="2">
        <f>IF(Procurement_kpi_Analysis[[#This Row],[Compliance]]="Yes",1,0)</f>
        <v>1</v>
      </c>
      <c r="T767" s="2">
        <f>IF(Procurement_kpi_Analysis[[#This Row],[Compliance]]="No",1,0)</f>
        <v>0</v>
      </c>
    </row>
    <row r="768" spans="1:20" x14ac:dyDescent="0.3">
      <c r="A768" t="s">
        <v>793</v>
      </c>
      <c r="B768" t="s">
        <v>20</v>
      </c>
      <c r="C768" s="1">
        <v>45154</v>
      </c>
      <c r="D768" s="1">
        <v>45171</v>
      </c>
      <c r="E768" t="s">
        <v>39</v>
      </c>
      <c r="F768" t="s">
        <v>18</v>
      </c>
      <c r="G768">
        <v>778</v>
      </c>
      <c r="H768">
        <v>64.17</v>
      </c>
      <c r="I768">
        <v>61.6</v>
      </c>
      <c r="J768">
        <v>47</v>
      </c>
      <c r="K768" t="s">
        <v>15</v>
      </c>
      <c r="L768">
        <f>Procurement_kpi_Analysis[[#This Row],[Quantity]]*Procurement_kpi_Analysis[[#This Row],[Negotiated_Price]]</f>
        <v>47924.800000000003</v>
      </c>
      <c r="M768">
        <f>IF(Procurement_kpi_Analysis[[#This Row],[Delivery_Date]]="","",Procurement_kpi_Analysis[[#This Row],[Delivery_Date]]-Procurement_kpi_Analysis[[#This Row],[Order_Date]])</f>
        <v>17</v>
      </c>
      <c r="N768" s="2">
        <f>Procurement_kpi_Analysis[[#This Row],[Defective_Units]]/Procurement_kpi_Analysis[[#This Row],[Quantity]]</f>
        <v>6.0411311053984576E-2</v>
      </c>
      <c r="O768" s="2">
        <f>(Procurement_kpi_Analysis[[#This Row],[Unit_Price]]-Procurement_kpi_Analysis[[#This Row],[Negotiated_Price]])*Procurement_kpi_Analysis[[#This Row],[Quantity]]</f>
        <v>1999.4600000000003</v>
      </c>
      <c r="P768" s="2">
        <f>Procurement_kpi_Analysis[[#This Row],[Total Savings]]/Procurement_kpi_Analysis[[#This Row],[Total Spend]]</f>
        <v>4.1720779220779221E-2</v>
      </c>
      <c r="Q768" s="2" t="str">
        <f>IF(Procurement_kpi_Analysis[[#This Row],[Lead Time]]&lt;=14,"On Time","Late")</f>
        <v>Late</v>
      </c>
      <c r="R768" s="2">
        <f>Procurement_kpi_Analysis[[#This Row],[Unit_Price]]*Procurement_kpi_Analysis[[#This Row],[Quantity]]</f>
        <v>49924.26</v>
      </c>
      <c r="S768" s="2">
        <f>IF(Procurement_kpi_Analysis[[#This Row],[Compliance]]="Yes",1,0)</f>
        <v>1</v>
      </c>
      <c r="T768" s="2">
        <f>IF(Procurement_kpi_Analysis[[#This Row],[Compliance]]="No",1,0)</f>
        <v>0</v>
      </c>
    </row>
    <row r="769" spans="1:20" x14ac:dyDescent="0.3">
      <c r="A769" t="s">
        <v>794</v>
      </c>
      <c r="B769" t="s">
        <v>29</v>
      </c>
      <c r="C769" s="1">
        <v>44588</v>
      </c>
      <c r="D769" s="1">
        <v>44601</v>
      </c>
      <c r="E769" t="s">
        <v>13</v>
      </c>
      <c r="F769" t="s">
        <v>18</v>
      </c>
      <c r="G769">
        <v>1415</v>
      </c>
      <c r="H769">
        <v>80.19</v>
      </c>
      <c r="I769">
        <v>78.34</v>
      </c>
      <c r="J769">
        <v>0</v>
      </c>
      <c r="K769" t="s">
        <v>15</v>
      </c>
      <c r="L769">
        <f>Procurement_kpi_Analysis[[#This Row],[Quantity]]*Procurement_kpi_Analysis[[#This Row],[Negotiated_Price]]</f>
        <v>110851.1</v>
      </c>
      <c r="M769">
        <f>IF(Procurement_kpi_Analysis[[#This Row],[Delivery_Date]]="","",Procurement_kpi_Analysis[[#This Row],[Delivery_Date]]-Procurement_kpi_Analysis[[#This Row],[Order_Date]])</f>
        <v>13</v>
      </c>
      <c r="N769" s="2">
        <f>Procurement_kpi_Analysis[[#This Row],[Defective_Units]]/Procurement_kpi_Analysis[[#This Row],[Quantity]]</f>
        <v>0</v>
      </c>
      <c r="O769" s="2">
        <f>(Procurement_kpi_Analysis[[#This Row],[Unit_Price]]-Procurement_kpi_Analysis[[#This Row],[Negotiated_Price]])*Procurement_kpi_Analysis[[#This Row],[Quantity]]</f>
        <v>2617.7499999999918</v>
      </c>
      <c r="P769" s="2">
        <f>Procurement_kpi_Analysis[[#This Row],[Total Savings]]/Procurement_kpi_Analysis[[#This Row],[Total Spend]]</f>
        <v>2.3615011488383891E-2</v>
      </c>
      <c r="Q769" s="2" t="str">
        <f>IF(Procurement_kpi_Analysis[[#This Row],[Lead Time]]&lt;=14,"On Time","Late")</f>
        <v>On Time</v>
      </c>
      <c r="R769" s="2">
        <f>Procurement_kpi_Analysis[[#This Row],[Unit_Price]]*Procurement_kpi_Analysis[[#This Row],[Quantity]]</f>
        <v>113468.84999999999</v>
      </c>
      <c r="S769" s="2">
        <f>IF(Procurement_kpi_Analysis[[#This Row],[Compliance]]="Yes",1,0)</f>
        <v>1</v>
      </c>
      <c r="T769" s="2">
        <f>IF(Procurement_kpi_Analysis[[#This Row],[Compliance]]="No",1,0)</f>
        <v>0</v>
      </c>
    </row>
    <row r="770" spans="1:20" x14ac:dyDescent="0.3">
      <c r="A770" t="s">
        <v>795</v>
      </c>
      <c r="B770" t="s">
        <v>20</v>
      </c>
      <c r="C770" s="1">
        <v>44881</v>
      </c>
      <c r="D770" s="1">
        <v>44887</v>
      </c>
      <c r="E770" t="s">
        <v>26</v>
      </c>
      <c r="F770" t="s">
        <v>18</v>
      </c>
      <c r="G770">
        <v>446</v>
      </c>
      <c r="H770">
        <v>20.61</v>
      </c>
      <c r="I770">
        <v>19.46</v>
      </c>
      <c r="J770">
        <v>14</v>
      </c>
      <c r="K770" t="s">
        <v>15</v>
      </c>
      <c r="L770">
        <f>Procurement_kpi_Analysis[[#This Row],[Quantity]]*Procurement_kpi_Analysis[[#This Row],[Negotiated_Price]]</f>
        <v>8679.16</v>
      </c>
      <c r="M770">
        <f>IF(Procurement_kpi_Analysis[[#This Row],[Delivery_Date]]="","",Procurement_kpi_Analysis[[#This Row],[Delivery_Date]]-Procurement_kpi_Analysis[[#This Row],[Order_Date]])</f>
        <v>6</v>
      </c>
      <c r="N770" s="2">
        <f>Procurement_kpi_Analysis[[#This Row],[Defective_Units]]/Procurement_kpi_Analysis[[#This Row],[Quantity]]</f>
        <v>3.1390134529147982E-2</v>
      </c>
      <c r="O770" s="2">
        <f>(Procurement_kpi_Analysis[[#This Row],[Unit_Price]]-Procurement_kpi_Analysis[[#This Row],[Negotiated_Price]])*Procurement_kpi_Analysis[[#This Row],[Quantity]]</f>
        <v>512.89999999999941</v>
      </c>
      <c r="P770" s="2">
        <f>Procurement_kpi_Analysis[[#This Row],[Total Savings]]/Procurement_kpi_Analysis[[#This Row],[Total Spend]]</f>
        <v>5.9095580678314427E-2</v>
      </c>
      <c r="Q770" s="2" t="str">
        <f>IF(Procurement_kpi_Analysis[[#This Row],[Lead Time]]&lt;=14,"On Time","Late")</f>
        <v>On Time</v>
      </c>
      <c r="R770" s="2">
        <f>Procurement_kpi_Analysis[[#This Row],[Unit_Price]]*Procurement_kpi_Analysis[[#This Row],[Quantity]]</f>
        <v>9192.06</v>
      </c>
      <c r="S770" s="2">
        <f>IF(Procurement_kpi_Analysis[[#This Row],[Compliance]]="Yes",1,0)</f>
        <v>1</v>
      </c>
      <c r="T770" s="2">
        <f>IF(Procurement_kpi_Analysis[[#This Row],[Compliance]]="No",1,0)</f>
        <v>0</v>
      </c>
    </row>
    <row r="771" spans="1:20" x14ac:dyDescent="0.3">
      <c r="A771" t="s">
        <v>796</v>
      </c>
      <c r="B771" t="s">
        <v>29</v>
      </c>
      <c r="C771" s="1">
        <v>45151</v>
      </c>
      <c r="D771" s="1"/>
      <c r="E771" t="s">
        <v>13</v>
      </c>
      <c r="F771" t="s">
        <v>18</v>
      </c>
      <c r="G771">
        <v>748</v>
      </c>
      <c r="H771">
        <v>85.95</v>
      </c>
      <c r="I771">
        <v>79.16</v>
      </c>
      <c r="J771">
        <v>32</v>
      </c>
      <c r="K771" t="s">
        <v>15</v>
      </c>
      <c r="L771">
        <f>Procurement_kpi_Analysis[[#This Row],[Quantity]]*Procurement_kpi_Analysis[[#This Row],[Negotiated_Price]]</f>
        <v>59211.68</v>
      </c>
      <c r="M771" t="str">
        <f>IF(Procurement_kpi_Analysis[[#This Row],[Delivery_Date]]="","",Procurement_kpi_Analysis[[#This Row],[Delivery_Date]]-Procurement_kpi_Analysis[[#This Row],[Order_Date]])</f>
        <v/>
      </c>
      <c r="N771" s="2">
        <f>Procurement_kpi_Analysis[[#This Row],[Defective_Units]]/Procurement_kpi_Analysis[[#This Row],[Quantity]]</f>
        <v>4.2780748663101602E-2</v>
      </c>
      <c r="O771" s="2">
        <f>(Procurement_kpi_Analysis[[#This Row],[Unit_Price]]-Procurement_kpi_Analysis[[#This Row],[Negotiated_Price]])*Procurement_kpi_Analysis[[#This Row],[Quantity]]</f>
        <v>5078.9200000000046</v>
      </c>
      <c r="P771" s="2">
        <f>Procurement_kpi_Analysis[[#This Row],[Total Savings]]/Procurement_kpi_Analysis[[#This Row],[Total Spend]]</f>
        <v>8.5775644264780265E-2</v>
      </c>
      <c r="Q771" s="2" t="str">
        <f>IF(Procurement_kpi_Analysis[[#This Row],[Lead Time]]&lt;=14,"On Time","Late")</f>
        <v>Late</v>
      </c>
      <c r="R771" s="2">
        <f>Procurement_kpi_Analysis[[#This Row],[Unit_Price]]*Procurement_kpi_Analysis[[#This Row],[Quantity]]</f>
        <v>64290.6</v>
      </c>
      <c r="S771" s="2">
        <f>IF(Procurement_kpi_Analysis[[#This Row],[Compliance]]="Yes",1,0)</f>
        <v>1</v>
      </c>
      <c r="T771" s="2">
        <f>IF(Procurement_kpi_Analysis[[#This Row],[Compliance]]="No",1,0)</f>
        <v>0</v>
      </c>
    </row>
    <row r="772" spans="1:20" x14ac:dyDescent="0.3">
      <c r="A772" t="s">
        <v>797</v>
      </c>
      <c r="B772" t="s">
        <v>12</v>
      </c>
      <c r="C772" s="1">
        <v>45255</v>
      </c>
      <c r="D772" s="1">
        <v>45263</v>
      </c>
      <c r="E772" t="s">
        <v>39</v>
      </c>
      <c r="F772" t="s">
        <v>35</v>
      </c>
      <c r="G772">
        <v>1092</v>
      </c>
      <c r="H772">
        <v>65.17</v>
      </c>
      <c r="I772">
        <v>63.11</v>
      </c>
      <c r="J772">
        <v>21</v>
      </c>
      <c r="K772" t="s">
        <v>15</v>
      </c>
      <c r="L772">
        <f>Procurement_kpi_Analysis[[#This Row],[Quantity]]*Procurement_kpi_Analysis[[#This Row],[Negotiated_Price]]</f>
        <v>68916.12</v>
      </c>
      <c r="M772">
        <f>IF(Procurement_kpi_Analysis[[#This Row],[Delivery_Date]]="","",Procurement_kpi_Analysis[[#This Row],[Delivery_Date]]-Procurement_kpi_Analysis[[#This Row],[Order_Date]])</f>
        <v>8</v>
      </c>
      <c r="N772" s="2">
        <f>Procurement_kpi_Analysis[[#This Row],[Defective_Units]]/Procurement_kpi_Analysis[[#This Row],[Quantity]]</f>
        <v>1.9230769230769232E-2</v>
      </c>
      <c r="O772" s="2">
        <f>(Procurement_kpi_Analysis[[#This Row],[Unit_Price]]-Procurement_kpi_Analysis[[#This Row],[Negotiated_Price]])*Procurement_kpi_Analysis[[#This Row],[Quantity]]</f>
        <v>2249.5200000000023</v>
      </c>
      <c r="P772" s="2">
        <f>Procurement_kpi_Analysis[[#This Row],[Total Savings]]/Procurement_kpi_Analysis[[#This Row],[Total Spend]]</f>
        <v>3.2641419743305373E-2</v>
      </c>
      <c r="Q772" s="2" t="str">
        <f>IF(Procurement_kpi_Analysis[[#This Row],[Lead Time]]&lt;=14,"On Time","Late")</f>
        <v>On Time</v>
      </c>
      <c r="R772" s="2">
        <f>Procurement_kpi_Analysis[[#This Row],[Unit_Price]]*Procurement_kpi_Analysis[[#This Row],[Quantity]]</f>
        <v>71165.64</v>
      </c>
      <c r="S772" s="2">
        <f>IF(Procurement_kpi_Analysis[[#This Row],[Compliance]]="Yes",1,0)</f>
        <v>1</v>
      </c>
      <c r="T772" s="2">
        <f>IF(Procurement_kpi_Analysis[[#This Row],[Compliance]]="No",1,0)</f>
        <v>0</v>
      </c>
    </row>
    <row r="773" spans="1:20" x14ac:dyDescent="0.3">
      <c r="A773" t="s">
        <v>798</v>
      </c>
      <c r="B773" t="s">
        <v>23</v>
      </c>
      <c r="C773" s="1">
        <v>44946</v>
      </c>
      <c r="D773" s="1">
        <v>44959</v>
      </c>
      <c r="E773" t="s">
        <v>39</v>
      </c>
      <c r="F773" t="s">
        <v>18</v>
      </c>
      <c r="G773">
        <v>226</v>
      </c>
      <c r="H773">
        <v>102.47</v>
      </c>
      <c r="I773">
        <v>99.16</v>
      </c>
      <c r="J773">
        <v>28</v>
      </c>
      <c r="K773" t="s">
        <v>15</v>
      </c>
      <c r="L773">
        <f>Procurement_kpi_Analysis[[#This Row],[Quantity]]*Procurement_kpi_Analysis[[#This Row],[Negotiated_Price]]</f>
        <v>22410.16</v>
      </c>
      <c r="M773">
        <f>IF(Procurement_kpi_Analysis[[#This Row],[Delivery_Date]]="","",Procurement_kpi_Analysis[[#This Row],[Delivery_Date]]-Procurement_kpi_Analysis[[#This Row],[Order_Date]])</f>
        <v>13</v>
      </c>
      <c r="N773" s="2">
        <f>Procurement_kpi_Analysis[[#This Row],[Defective_Units]]/Procurement_kpi_Analysis[[#This Row],[Quantity]]</f>
        <v>0.12389380530973451</v>
      </c>
      <c r="O773" s="2">
        <f>(Procurement_kpi_Analysis[[#This Row],[Unit_Price]]-Procurement_kpi_Analysis[[#This Row],[Negotiated_Price]])*Procurement_kpi_Analysis[[#This Row],[Quantity]]</f>
        <v>748.06000000000051</v>
      </c>
      <c r="P773" s="2">
        <f>Procurement_kpi_Analysis[[#This Row],[Total Savings]]/Procurement_kpi_Analysis[[#This Row],[Total Spend]]</f>
        <v>3.3380395320693854E-2</v>
      </c>
      <c r="Q773" s="2" t="str">
        <f>IF(Procurement_kpi_Analysis[[#This Row],[Lead Time]]&lt;=14,"On Time","Late")</f>
        <v>On Time</v>
      </c>
      <c r="R773" s="2">
        <f>Procurement_kpi_Analysis[[#This Row],[Unit_Price]]*Procurement_kpi_Analysis[[#This Row],[Quantity]]</f>
        <v>23158.22</v>
      </c>
      <c r="S773" s="2">
        <f>IF(Procurement_kpi_Analysis[[#This Row],[Compliance]]="Yes",1,0)</f>
        <v>1</v>
      </c>
      <c r="T773" s="2">
        <f>IF(Procurement_kpi_Analysis[[#This Row],[Compliance]]="No",1,0)</f>
        <v>0</v>
      </c>
    </row>
    <row r="774" spans="1:20" x14ac:dyDescent="0.3">
      <c r="A774" t="s">
        <v>799</v>
      </c>
      <c r="B774" t="s">
        <v>17</v>
      </c>
      <c r="C774" s="1">
        <v>44968</v>
      </c>
      <c r="D774" s="1">
        <v>44977</v>
      </c>
      <c r="E774" t="s">
        <v>39</v>
      </c>
      <c r="F774" t="s">
        <v>18</v>
      </c>
      <c r="G774">
        <v>1685</v>
      </c>
      <c r="H774">
        <v>43.42</v>
      </c>
      <c r="I774">
        <v>42.24</v>
      </c>
      <c r="J774">
        <v>262</v>
      </c>
      <c r="K774" t="s">
        <v>15</v>
      </c>
      <c r="L774">
        <f>Procurement_kpi_Analysis[[#This Row],[Quantity]]*Procurement_kpi_Analysis[[#This Row],[Negotiated_Price]]</f>
        <v>71174.400000000009</v>
      </c>
      <c r="M774">
        <f>IF(Procurement_kpi_Analysis[[#This Row],[Delivery_Date]]="","",Procurement_kpi_Analysis[[#This Row],[Delivery_Date]]-Procurement_kpi_Analysis[[#This Row],[Order_Date]])</f>
        <v>9</v>
      </c>
      <c r="N774" s="2">
        <f>Procurement_kpi_Analysis[[#This Row],[Defective_Units]]/Procurement_kpi_Analysis[[#This Row],[Quantity]]</f>
        <v>0.15548961424332344</v>
      </c>
      <c r="O774" s="2">
        <f>(Procurement_kpi_Analysis[[#This Row],[Unit_Price]]-Procurement_kpi_Analysis[[#This Row],[Negotiated_Price]])*Procurement_kpi_Analysis[[#This Row],[Quantity]]</f>
        <v>1988.2999999999995</v>
      </c>
      <c r="P774" s="2">
        <f>Procurement_kpi_Analysis[[#This Row],[Total Savings]]/Procurement_kpi_Analysis[[#This Row],[Total Spend]]</f>
        <v>2.793560606060605E-2</v>
      </c>
      <c r="Q774" s="2" t="str">
        <f>IF(Procurement_kpi_Analysis[[#This Row],[Lead Time]]&lt;=14,"On Time","Late")</f>
        <v>On Time</v>
      </c>
      <c r="R774" s="2">
        <f>Procurement_kpi_Analysis[[#This Row],[Unit_Price]]*Procurement_kpi_Analysis[[#This Row],[Quantity]]</f>
        <v>73162.7</v>
      </c>
      <c r="S774" s="2">
        <f>IF(Procurement_kpi_Analysis[[#This Row],[Compliance]]="Yes",1,0)</f>
        <v>1</v>
      </c>
      <c r="T774" s="2">
        <f>IF(Procurement_kpi_Analysis[[#This Row],[Compliance]]="No",1,0)</f>
        <v>0</v>
      </c>
    </row>
    <row r="775" spans="1:20" x14ac:dyDescent="0.3">
      <c r="A775" t="s">
        <v>800</v>
      </c>
      <c r="B775" t="s">
        <v>12</v>
      </c>
      <c r="C775" s="1">
        <v>44765</v>
      </c>
      <c r="D775" s="1"/>
      <c r="E775" t="s">
        <v>13</v>
      </c>
      <c r="F775" t="s">
        <v>18</v>
      </c>
      <c r="G775">
        <v>445</v>
      </c>
      <c r="H775">
        <v>68.94</v>
      </c>
      <c r="I775">
        <v>60.35</v>
      </c>
      <c r="J775">
        <v>7</v>
      </c>
      <c r="K775" t="s">
        <v>15</v>
      </c>
      <c r="L775">
        <f>Procurement_kpi_Analysis[[#This Row],[Quantity]]*Procurement_kpi_Analysis[[#This Row],[Negotiated_Price]]</f>
        <v>26855.75</v>
      </c>
      <c r="M775" t="str">
        <f>IF(Procurement_kpi_Analysis[[#This Row],[Delivery_Date]]="","",Procurement_kpi_Analysis[[#This Row],[Delivery_Date]]-Procurement_kpi_Analysis[[#This Row],[Order_Date]])</f>
        <v/>
      </c>
      <c r="N775" s="2">
        <f>Procurement_kpi_Analysis[[#This Row],[Defective_Units]]/Procurement_kpi_Analysis[[#This Row],[Quantity]]</f>
        <v>1.5730337078651686E-2</v>
      </c>
      <c r="O775" s="2">
        <f>(Procurement_kpi_Analysis[[#This Row],[Unit_Price]]-Procurement_kpi_Analysis[[#This Row],[Negotiated_Price]])*Procurement_kpi_Analysis[[#This Row],[Quantity]]</f>
        <v>3822.5499999999984</v>
      </c>
      <c r="P775" s="2">
        <f>Procurement_kpi_Analysis[[#This Row],[Total Savings]]/Procurement_kpi_Analysis[[#This Row],[Total Spend]]</f>
        <v>0.14233637116818551</v>
      </c>
      <c r="Q775" s="2" t="str">
        <f>IF(Procurement_kpi_Analysis[[#This Row],[Lead Time]]&lt;=14,"On Time","Late")</f>
        <v>Late</v>
      </c>
      <c r="R775" s="2">
        <f>Procurement_kpi_Analysis[[#This Row],[Unit_Price]]*Procurement_kpi_Analysis[[#This Row],[Quantity]]</f>
        <v>30678.3</v>
      </c>
      <c r="S775" s="2">
        <f>IF(Procurement_kpi_Analysis[[#This Row],[Compliance]]="Yes",1,0)</f>
        <v>1</v>
      </c>
      <c r="T775" s="2">
        <f>IF(Procurement_kpi_Analysis[[#This Row],[Compliance]]="No",1,0)</f>
        <v>0</v>
      </c>
    </row>
    <row r="776" spans="1:20" x14ac:dyDescent="0.3">
      <c r="A776" t="s">
        <v>801</v>
      </c>
      <c r="B776" t="s">
        <v>20</v>
      </c>
      <c r="C776" s="1">
        <v>44639</v>
      </c>
      <c r="D776" s="1">
        <v>44658</v>
      </c>
      <c r="E776" t="s">
        <v>26</v>
      </c>
      <c r="F776" t="s">
        <v>18</v>
      </c>
      <c r="G776">
        <v>494</v>
      </c>
      <c r="H776">
        <v>94.82</v>
      </c>
      <c r="I776">
        <v>81.89</v>
      </c>
      <c r="J776">
        <v>29</v>
      </c>
      <c r="K776" t="s">
        <v>15</v>
      </c>
      <c r="L776">
        <f>Procurement_kpi_Analysis[[#This Row],[Quantity]]*Procurement_kpi_Analysis[[#This Row],[Negotiated_Price]]</f>
        <v>40453.660000000003</v>
      </c>
      <c r="M776">
        <f>IF(Procurement_kpi_Analysis[[#This Row],[Delivery_Date]]="","",Procurement_kpi_Analysis[[#This Row],[Delivery_Date]]-Procurement_kpi_Analysis[[#This Row],[Order_Date]])</f>
        <v>19</v>
      </c>
      <c r="N776" s="2">
        <f>Procurement_kpi_Analysis[[#This Row],[Defective_Units]]/Procurement_kpi_Analysis[[#This Row],[Quantity]]</f>
        <v>5.8704453441295545E-2</v>
      </c>
      <c r="O776" s="2">
        <f>(Procurement_kpi_Analysis[[#This Row],[Unit_Price]]-Procurement_kpi_Analysis[[#This Row],[Negotiated_Price]])*Procurement_kpi_Analysis[[#This Row],[Quantity]]</f>
        <v>6387.4199999999964</v>
      </c>
      <c r="P776" s="2">
        <f>Procurement_kpi_Analysis[[#This Row],[Total Savings]]/Procurement_kpi_Analysis[[#This Row],[Total Spend]]</f>
        <v>0.15789473684210517</v>
      </c>
      <c r="Q776" s="2" t="str">
        <f>IF(Procurement_kpi_Analysis[[#This Row],[Lead Time]]&lt;=14,"On Time","Late")</f>
        <v>Late</v>
      </c>
      <c r="R776" s="2">
        <f>Procurement_kpi_Analysis[[#This Row],[Unit_Price]]*Procurement_kpi_Analysis[[#This Row],[Quantity]]</f>
        <v>46841.079999999994</v>
      </c>
      <c r="S776" s="2">
        <f>IF(Procurement_kpi_Analysis[[#This Row],[Compliance]]="Yes",1,0)</f>
        <v>1</v>
      </c>
      <c r="T776" s="2">
        <f>IF(Procurement_kpi_Analysis[[#This Row],[Compliance]]="No",1,0)</f>
        <v>0</v>
      </c>
    </row>
    <row r="777" spans="1:20" x14ac:dyDescent="0.3">
      <c r="A777" t="s">
        <v>802</v>
      </c>
      <c r="B777" t="s">
        <v>23</v>
      </c>
      <c r="C777" s="1">
        <v>45168</v>
      </c>
      <c r="D777" s="1">
        <v>45180</v>
      </c>
      <c r="E777" t="s">
        <v>21</v>
      </c>
      <c r="F777" t="s">
        <v>18</v>
      </c>
      <c r="G777">
        <v>1306</v>
      </c>
      <c r="H777">
        <v>21.05</v>
      </c>
      <c r="I777">
        <v>18.27</v>
      </c>
      <c r="J777">
        <v>128</v>
      </c>
      <c r="K777" t="s">
        <v>15</v>
      </c>
      <c r="L777">
        <f>Procurement_kpi_Analysis[[#This Row],[Quantity]]*Procurement_kpi_Analysis[[#This Row],[Negotiated_Price]]</f>
        <v>23860.62</v>
      </c>
      <c r="M777">
        <f>IF(Procurement_kpi_Analysis[[#This Row],[Delivery_Date]]="","",Procurement_kpi_Analysis[[#This Row],[Delivery_Date]]-Procurement_kpi_Analysis[[#This Row],[Order_Date]])</f>
        <v>12</v>
      </c>
      <c r="N777" s="2">
        <f>Procurement_kpi_Analysis[[#This Row],[Defective_Units]]/Procurement_kpi_Analysis[[#This Row],[Quantity]]</f>
        <v>9.8009188361408886E-2</v>
      </c>
      <c r="O777" s="2">
        <f>(Procurement_kpi_Analysis[[#This Row],[Unit_Price]]-Procurement_kpi_Analysis[[#This Row],[Negotiated_Price]])*Procurement_kpi_Analysis[[#This Row],[Quantity]]</f>
        <v>3630.6800000000017</v>
      </c>
      <c r="P777" s="2">
        <f>Procurement_kpi_Analysis[[#This Row],[Total Savings]]/Procurement_kpi_Analysis[[#This Row],[Total Spend]]</f>
        <v>0.15216201423097983</v>
      </c>
      <c r="Q777" s="2" t="str">
        <f>IF(Procurement_kpi_Analysis[[#This Row],[Lead Time]]&lt;=14,"On Time","Late")</f>
        <v>On Time</v>
      </c>
      <c r="R777" s="2">
        <f>Procurement_kpi_Analysis[[#This Row],[Unit_Price]]*Procurement_kpi_Analysis[[#This Row],[Quantity]]</f>
        <v>27491.3</v>
      </c>
      <c r="S777" s="2">
        <f>IF(Procurement_kpi_Analysis[[#This Row],[Compliance]]="Yes",1,0)</f>
        <v>1</v>
      </c>
      <c r="T777" s="2">
        <f>IF(Procurement_kpi_Analysis[[#This Row],[Compliance]]="No",1,0)</f>
        <v>0</v>
      </c>
    </row>
    <row r="778" spans="1:20" x14ac:dyDescent="0.3">
      <c r="A778" t="s">
        <v>803</v>
      </c>
      <c r="B778" t="s">
        <v>23</v>
      </c>
      <c r="C778" s="1">
        <v>45269</v>
      </c>
      <c r="D778" s="1">
        <v>45271</v>
      </c>
      <c r="E778" t="s">
        <v>13</v>
      </c>
      <c r="F778" t="s">
        <v>18</v>
      </c>
      <c r="G778">
        <v>1988</v>
      </c>
      <c r="H778">
        <v>105.2</v>
      </c>
      <c r="I778">
        <v>93.23</v>
      </c>
      <c r="J778">
        <v>187</v>
      </c>
      <c r="K778" t="s">
        <v>15</v>
      </c>
      <c r="L778">
        <f>Procurement_kpi_Analysis[[#This Row],[Quantity]]*Procurement_kpi_Analysis[[#This Row],[Negotiated_Price]]</f>
        <v>185341.24000000002</v>
      </c>
      <c r="M778">
        <f>IF(Procurement_kpi_Analysis[[#This Row],[Delivery_Date]]="","",Procurement_kpi_Analysis[[#This Row],[Delivery_Date]]-Procurement_kpi_Analysis[[#This Row],[Order_Date]])</f>
        <v>2</v>
      </c>
      <c r="N778" s="2">
        <f>Procurement_kpi_Analysis[[#This Row],[Defective_Units]]/Procurement_kpi_Analysis[[#This Row],[Quantity]]</f>
        <v>9.406438631790745E-2</v>
      </c>
      <c r="O778" s="2">
        <f>(Procurement_kpi_Analysis[[#This Row],[Unit_Price]]-Procurement_kpi_Analysis[[#This Row],[Negotiated_Price]])*Procurement_kpi_Analysis[[#This Row],[Quantity]]</f>
        <v>23796.359999999997</v>
      </c>
      <c r="P778" s="2">
        <f>Procurement_kpi_Analysis[[#This Row],[Total Savings]]/Procurement_kpi_Analysis[[#This Row],[Total Spend]]</f>
        <v>0.12839214845006969</v>
      </c>
      <c r="Q778" s="2" t="str">
        <f>IF(Procurement_kpi_Analysis[[#This Row],[Lead Time]]&lt;=14,"On Time","Late")</f>
        <v>On Time</v>
      </c>
      <c r="R778" s="2">
        <f>Procurement_kpi_Analysis[[#This Row],[Unit_Price]]*Procurement_kpi_Analysis[[#This Row],[Quantity]]</f>
        <v>209137.6</v>
      </c>
      <c r="S778" s="2">
        <f>IF(Procurement_kpi_Analysis[[#This Row],[Compliance]]="Yes",1,0)</f>
        <v>1</v>
      </c>
      <c r="T778" s="2">
        <f>IF(Procurement_kpi_Analysis[[#This Row],[Compliance]]="No",1,0)</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B51E4-180B-4FB2-AB03-030ACFA1371A}">
  <dimension ref="B2:Q105"/>
  <sheetViews>
    <sheetView showGridLines="0" tabSelected="1" topLeftCell="A55" workbookViewId="0">
      <selection activeCell="J100" sqref="J100"/>
    </sheetView>
  </sheetViews>
  <sheetFormatPr defaultRowHeight="14.4" x14ac:dyDescent="0.3"/>
  <cols>
    <col min="2" max="2" width="17.6640625" bestFit="1" customWidth="1"/>
    <col min="3" max="3" width="18.6640625" bestFit="1" customWidth="1"/>
    <col min="4" max="4" width="19" bestFit="1" customWidth="1"/>
    <col min="5" max="6" width="14.109375" bestFit="1" customWidth="1"/>
    <col min="7" max="7" width="20" bestFit="1" customWidth="1"/>
    <col min="8" max="8" width="3.44140625" style="7" customWidth="1"/>
    <col min="10" max="10" width="25.5546875" bestFit="1" customWidth="1"/>
    <col min="11" max="11" width="19.33203125" bestFit="1" customWidth="1"/>
    <col min="12" max="12" width="22.77734375" bestFit="1" customWidth="1"/>
    <col min="13" max="13" width="27.109375" bestFit="1" customWidth="1"/>
    <col min="14" max="14" width="20.88671875" bestFit="1" customWidth="1"/>
    <col min="15" max="15" width="25.109375" bestFit="1" customWidth="1"/>
    <col min="16" max="16" width="18.88671875" bestFit="1" customWidth="1"/>
    <col min="17" max="17" width="26.21875" bestFit="1" customWidth="1"/>
    <col min="18" max="18" width="18.88671875" bestFit="1" customWidth="1"/>
    <col min="19" max="19" width="23.6640625" bestFit="1" customWidth="1"/>
    <col min="20" max="20" width="18.88671875" bestFit="1" customWidth="1"/>
    <col min="21" max="21" width="23.6640625" bestFit="1" customWidth="1"/>
    <col min="22" max="22" width="30.5546875" bestFit="1" customWidth="1"/>
  </cols>
  <sheetData>
    <row r="2" spans="2:15" x14ac:dyDescent="0.3">
      <c r="B2" s="6" t="s">
        <v>816</v>
      </c>
      <c r="C2" s="6"/>
      <c r="D2" s="6"/>
      <c r="E2" s="6"/>
    </row>
    <row r="3" spans="2:15" x14ac:dyDescent="0.3">
      <c r="B3" t="s">
        <v>814</v>
      </c>
      <c r="C3" t="s">
        <v>810</v>
      </c>
      <c r="D3" t="s">
        <v>817</v>
      </c>
      <c r="E3" t="s">
        <v>813</v>
      </c>
      <c r="J3" t="s">
        <v>840</v>
      </c>
      <c r="K3" t="s">
        <v>841</v>
      </c>
      <c r="L3" t="s">
        <v>853</v>
      </c>
      <c r="M3" t="s">
        <v>854</v>
      </c>
      <c r="N3" t="s">
        <v>845</v>
      </c>
      <c r="O3" t="s">
        <v>855</v>
      </c>
    </row>
    <row r="4" spans="2:15" x14ac:dyDescent="0.3">
      <c r="B4" s="2">
        <v>45373696.390000008</v>
      </c>
      <c r="C4" s="2">
        <v>3931126.47</v>
      </c>
      <c r="D4" s="15">
        <v>8.8782837587705402E-2</v>
      </c>
      <c r="E4" s="2">
        <v>777</v>
      </c>
      <c r="J4" s="2">
        <v>777</v>
      </c>
      <c r="K4" s="13">
        <v>10.776811594202899</v>
      </c>
      <c r="L4" s="2">
        <v>777</v>
      </c>
      <c r="M4" s="2">
        <v>777</v>
      </c>
      <c r="N4" s="2">
        <v>47949</v>
      </c>
      <c r="O4" s="12">
        <v>61.710424710424711</v>
      </c>
    </row>
    <row r="5" spans="2:15" x14ac:dyDescent="0.3">
      <c r="B5" s="9">
        <f>GETPIVOTDATA("Sum of Total Spend",$B$3)</f>
        <v>45373696.390000008</v>
      </c>
      <c r="C5" s="9">
        <f>GETPIVOTDATA("Sum of Total Savings",$B$3)</f>
        <v>3931126.47</v>
      </c>
      <c r="D5" s="10">
        <f>GETPIVOTDATA("Average of Savings %",$B$3)</f>
        <v>8.8782837587705402E-2</v>
      </c>
      <c r="E5">
        <f>GETPIVOTDATA("Count of PO_ID",$B$3)</f>
        <v>777</v>
      </c>
      <c r="K5" s="13">
        <f>GETPIVOTDATA("Average of Lead Time",$J$3)</f>
        <v>10.776811594202899</v>
      </c>
      <c r="N5" s="11">
        <f>GETPIVOTDATA("Sum of Defective_Units",$J$3)</f>
        <v>47949</v>
      </c>
      <c r="O5" s="12">
        <f>GETPIVOTDATA("Average of Defective_Units2",$J$3)</f>
        <v>61.710424710424711</v>
      </c>
    </row>
    <row r="7" spans="2:15" x14ac:dyDescent="0.3">
      <c r="J7" s="3" t="s">
        <v>1</v>
      </c>
      <c r="K7" t="s">
        <v>843</v>
      </c>
    </row>
    <row r="8" spans="2:15" x14ac:dyDescent="0.3">
      <c r="J8" t="s">
        <v>12</v>
      </c>
      <c r="K8" s="2">
        <v>141</v>
      </c>
    </row>
    <row r="9" spans="2:15" x14ac:dyDescent="0.3">
      <c r="J9" t="s">
        <v>20</v>
      </c>
      <c r="K9" s="2">
        <v>143</v>
      </c>
    </row>
    <row r="10" spans="2:15" x14ac:dyDescent="0.3">
      <c r="J10" t="s">
        <v>23</v>
      </c>
      <c r="K10" s="2">
        <v>156</v>
      </c>
    </row>
    <row r="11" spans="2:15" x14ac:dyDescent="0.3">
      <c r="B11" s="5" t="s">
        <v>836</v>
      </c>
      <c r="C11" s="5"/>
      <c r="J11" t="s">
        <v>29</v>
      </c>
      <c r="K11" s="2">
        <v>166</v>
      </c>
    </row>
    <row r="12" spans="2:15" x14ac:dyDescent="0.3">
      <c r="B12" s="3" t="s">
        <v>837</v>
      </c>
      <c r="C12" t="s">
        <v>813</v>
      </c>
      <c r="J12" t="s">
        <v>17</v>
      </c>
      <c r="K12" s="2">
        <v>171</v>
      </c>
    </row>
    <row r="13" spans="2:15" x14ac:dyDescent="0.3">
      <c r="B13" t="s">
        <v>821</v>
      </c>
      <c r="C13" s="2">
        <v>63</v>
      </c>
    </row>
    <row r="14" spans="2:15" x14ac:dyDescent="0.3">
      <c r="B14" t="s">
        <v>822</v>
      </c>
      <c r="C14" s="2">
        <v>55</v>
      </c>
    </row>
    <row r="15" spans="2:15" x14ac:dyDescent="0.3">
      <c r="B15" t="s">
        <v>823</v>
      </c>
      <c r="C15" s="2">
        <v>80</v>
      </c>
    </row>
    <row r="16" spans="2:15" x14ac:dyDescent="0.3">
      <c r="B16" t="s">
        <v>824</v>
      </c>
      <c r="C16" s="2">
        <v>68</v>
      </c>
    </row>
    <row r="17" spans="2:14" x14ac:dyDescent="0.3">
      <c r="B17" t="s">
        <v>825</v>
      </c>
      <c r="C17" s="2">
        <v>45</v>
      </c>
    </row>
    <row r="18" spans="2:14" x14ac:dyDescent="0.3">
      <c r="B18" t="s">
        <v>826</v>
      </c>
      <c r="C18" s="2">
        <v>60</v>
      </c>
      <c r="J18" s="3" t="s">
        <v>809</v>
      </c>
      <c r="K18" t="s">
        <v>840</v>
      </c>
    </row>
    <row r="19" spans="2:14" x14ac:dyDescent="0.3">
      <c r="B19" t="s">
        <v>827</v>
      </c>
      <c r="C19" s="2">
        <v>71</v>
      </c>
      <c r="J19" t="s">
        <v>838</v>
      </c>
      <c r="K19" s="2">
        <v>305</v>
      </c>
    </row>
    <row r="20" spans="2:14" x14ac:dyDescent="0.3">
      <c r="B20" t="s">
        <v>828</v>
      </c>
      <c r="C20" s="2">
        <v>74</v>
      </c>
      <c r="J20" t="s">
        <v>839</v>
      </c>
      <c r="K20" s="2">
        <v>472</v>
      </c>
    </row>
    <row r="21" spans="2:14" x14ac:dyDescent="0.3">
      <c r="B21" t="s">
        <v>829</v>
      </c>
      <c r="C21" s="2">
        <v>72</v>
      </c>
      <c r="J21" t="s">
        <v>812</v>
      </c>
      <c r="K21" s="2">
        <v>777</v>
      </c>
    </row>
    <row r="22" spans="2:14" x14ac:dyDescent="0.3">
      <c r="B22" t="s">
        <v>830</v>
      </c>
      <c r="C22" s="2">
        <v>60</v>
      </c>
    </row>
    <row r="23" spans="2:14" x14ac:dyDescent="0.3">
      <c r="B23" t="s">
        <v>831</v>
      </c>
      <c r="C23" s="2">
        <v>73</v>
      </c>
    </row>
    <row r="24" spans="2:14" x14ac:dyDescent="0.3">
      <c r="B24" t="s">
        <v>832</v>
      </c>
      <c r="C24" s="2">
        <v>56</v>
      </c>
    </row>
    <row r="27" spans="2:14" x14ac:dyDescent="0.3">
      <c r="J27" s="3" t="s">
        <v>1</v>
      </c>
      <c r="K27" t="s">
        <v>841</v>
      </c>
      <c r="L27" t="s">
        <v>813</v>
      </c>
      <c r="M27" t="str" cm="1">
        <f t="array" ref="M27:N32">J27:K32</f>
        <v>Supplier</v>
      </c>
      <c r="N27" t="str">
        <v>Average of Lead Time</v>
      </c>
    </row>
    <row r="28" spans="2:14" x14ac:dyDescent="0.3">
      <c r="J28" t="s">
        <v>20</v>
      </c>
      <c r="K28" s="12">
        <v>10.192307692307692</v>
      </c>
      <c r="L28" s="2">
        <v>143</v>
      </c>
      <c r="M28" t="str">
        <v>Gamma_Co</v>
      </c>
      <c r="N28" s="12">
        <v>10.192307692307692</v>
      </c>
    </row>
    <row r="29" spans="2:14" x14ac:dyDescent="0.3">
      <c r="J29" t="s">
        <v>12</v>
      </c>
      <c r="K29" s="12">
        <v>10.606837606837606</v>
      </c>
      <c r="L29" s="2">
        <v>141</v>
      </c>
      <c r="M29" t="str">
        <v>Alpha_Inc</v>
      </c>
      <c r="N29" s="12">
        <v>10.606837606837606</v>
      </c>
    </row>
    <row r="30" spans="2:14" x14ac:dyDescent="0.3">
      <c r="J30" t="s">
        <v>17</v>
      </c>
      <c r="K30" s="12">
        <v>10.85430463576159</v>
      </c>
      <c r="L30" s="2">
        <v>171</v>
      </c>
      <c r="M30" t="str">
        <v>Delta_Logistics</v>
      </c>
      <c r="N30" s="12">
        <v>10.85430463576159</v>
      </c>
    </row>
    <row r="31" spans="2:14" x14ac:dyDescent="0.3">
      <c r="B31" s="5" t="s">
        <v>834</v>
      </c>
      <c r="C31" s="5"/>
      <c r="J31" t="s">
        <v>29</v>
      </c>
      <c r="K31" s="12">
        <v>10.865771812080537</v>
      </c>
      <c r="L31" s="2">
        <v>166</v>
      </c>
      <c r="M31" t="str">
        <v>Epsilon_Group</v>
      </c>
      <c r="N31" s="12">
        <v>10.865771812080537</v>
      </c>
    </row>
    <row r="32" spans="2:14" x14ac:dyDescent="0.3">
      <c r="B32" s="3" t="s">
        <v>1</v>
      </c>
      <c r="C32" t="s">
        <v>814</v>
      </c>
      <c r="J32" t="s">
        <v>23</v>
      </c>
      <c r="K32" s="12">
        <v>11.272727272727273</v>
      </c>
      <c r="L32" s="2">
        <v>156</v>
      </c>
      <c r="M32" t="str">
        <v>Beta_Supplies</v>
      </c>
      <c r="N32" s="12">
        <v>11.272727272727273</v>
      </c>
    </row>
    <row r="33" spans="2:17" x14ac:dyDescent="0.3">
      <c r="B33" t="s">
        <v>23</v>
      </c>
      <c r="C33" s="2">
        <v>9858665.9000000022</v>
      </c>
      <c r="D33" t="str">
        <f>IF(C33&gt;=1000000,TEXT(C33/1000000,"$0.0")&amp;"M",IF(C33&gt;=1000,TEXT(C33/1000,"$0.0")&amp;"K"))</f>
        <v>$9.9M</v>
      </c>
      <c r="J33" t="s">
        <v>812</v>
      </c>
      <c r="K33" s="12">
        <v>10.776811594202899</v>
      </c>
      <c r="L33" s="2">
        <v>777</v>
      </c>
    </row>
    <row r="34" spans="2:17" x14ac:dyDescent="0.3">
      <c r="B34" t="s">
        <v>29</v>
      </c>
      <c r="C34" s="2">
        <v>9851156.0600000024</v>
      </c>
      <c r="D34" t="str">
        <f t="shared" ref="D34:D37" si="0">IF(C34&gt;=1000000,TEXT(C34/1000000,"$0.0")&amp;"M",IF(C34&gt;=1000,TEXT(C34/1000,"$0.0")&amp;"K"))</f>
        <v>$9.9M</v>
      </c>
    </row>
    <row r="35" spans="2:17" x14ac:dyDescent="0.3">
      <c r="B35" t="s">
        <v>17</v>
      </c>
      <c r="C35" s="2">
        <v>9236240.4699999988</v>
      </c>
      <c r="D35" t="str">
        <f t="shared" si="0"/>
        <v>$9.2M</v>
      </c>
    </row>
    <row r="36" spans="2:17" x14ac:dyDescent="0.3">
      <c r="B36" t="s">
        <v>20</v>
      </c>
      <c r="C36" s="2">
        <v>8587921.7099999972</v>
      </c>
      <c r="D36" t="str">
        <f t="shared" si="0"/>
        <v>$8.6M</v>
      </c>
    </row>
    <row r="37" spans="2:17" x14ac:dyDescent="0.3">
      <c r="B37" t="s">
        <v>12</v>
      </c>
      <c r="C37" s="2">
        <v>7839712.2500000028</v>
      </c>
      <c r="D37" t="str">
        <f t="shared" si="0"/>
        <v>$7.8M</v>
      </c>
    </row>
    <row r="39" spans="2:17" x14ac:dyDescent="0.3">
      <c r="B39">
        <f>COUNTA(B33:B37)</f>
        <v>5</v>
      </c>
      <c r="J39" s="3" t="s">
        <v>4</v>
      </c>
      <c r="K39" t="s">
        <v>844</v>
      </c>
      <c r="L39" t="s">
        <v>845</v>
      </c>
      <c r="M39" t="s">
        <v>813</v>
      </c>
      <c r="N39" t="s">
        <v>848</v>
      </c>
      <c r="O39" t="s">
        <v>850</v>
      </c>
      <c r="P39" t="s">
        <v>849</v>
      </c>
      <c r="Q39" t="s">
        <v>851</v>
      </c>
    </row>
    <row r="40" spans="2:17" x14ac:dyDescent="0.3">
      <c r="J40" t="s">
        <v>39</v>
      </c>
      <c r="K40" s="2">
        <v>164829</v>
      </c>
      <c r="L40" s="2">
        <v>8981</v>
      </c>
      <c r="M40" s="2">
        <v>152</v>
      </c>
      <c r="N40" s="2">
        <v>130</v>
      </c>
      <c r="O40" s="2">
        <v>22</v>
      </c>
      <c r="P40" s="10">
        <f>N40/$M$45</f>
        <v>0.16731016731016732</v>
      </c>
    </row>
    <row r="41" spans="2:17" x14ac:dyDescent="0.3">
      <c r="B41" s="5" t="s">
        <v>835</v>
      </c>
      <c r="C41" s="5"/>
      <c r="J41" t="s">
        <v>21</v>
      </c>
      <c r="K41" s="2">
        <v>187658</v>
      </c>
      <c r="L41" s="2">
        <v>9741</v>
      </c>
      <c r="M41" s="2">
        <v>164</v>
      </c>
      <c r="N41" s="2">
        <v>135</v>
      </c>
      <c r="O41" s="2">
        <v>29</v>
      </c>
      <c r="P41" s="10">
        <f>N41/$M$45</f>
        <v>0.17374517374517376</v>
      </c>
    </row>
    <row r="42" spans="2:17" x14ac:dyDescent="0.3">
      <c r="B42" s="3" t="s">
        <v>4</v>
      </c>
      <c r="C42" t="s">
        <v>814</v>
      </c>
      <c r="J42" t="s">
        <v>13</v>
      </c>
      <c r="K42" s="2">
        <v>179936</v>
      </c>
      <c r="L42" s="2">
        <v>11233</v>
      </c>
      <c r="M42" s="2">
        <v>174</v>
      </c>
      <c r="N42" s="2">
        <v>144</v>
      </c>
      <c r="O42" s="2">
        <v>30</v>
      </c>
      <c r="P42" s="10">
        <f>N42/$M$45</f>
        <v>0.18532818532818532</v>
      </c>
    </row>
    <row r="43" spans="2:17" x14ac:dyDescent="0.3">
      <c r="B43" t="s">
        <v>21</v>
      </c>
      <c r="C43" s="2">
        <v>10126608.859999996</v>
      </c>
      <c r="D43" t="str">
        <f>IF(C4&gt;=1000000,TEXT(C43/1000000,"$0.0")&amp;"M",IF(C43&gt;=1000,TEXT(C43/1000,"$0.0")&amp;"K"))</f>
        <v>$10.1M</v>
      </c>
      <c r="J43" t="s">
        <v>24</v>
      </c>
      <c r="K43" s="2">
        <v>166876</v>
      </c>
      <c r="L43" s="2">
        <v>8352</v>
      </c>
      <c r="M43" s="2">
        <v>148</v>
      </c>
      <c r="N43" s="2">
        <v>118</v>
      </c>
      <c r="O43" s="2">
        <v>30</v>
      </c>
      <c r="P43" s="10">
        <f>N43/$M$45</f>
        <v>0.15186615186615188</v>
      </c>
    </row>
    <row r="44" spans="2:17" x14ac:dyDescent="0.3">
      <c r="B44" t="s">
        <v>13</v>
      </c>
      <c r="C44" s="2">
        <v>10007583.030000001</v>
      </c>
      <c r="D44" t="str">
        <f t="shared" ref="D44:D47" si="1">IF(C5&gt;=1000000,TEXT(C44/1000000,"$0.0")&amp;"M",IF(C44&gt;=1000,TEXT(C44/1000,"$0.0")&amp;"K"))</f>
        <v>$10.0M</v>
      </c>
      <c r="J44" t="s">
        <v>26</v>
      </c>
      <c r="K44" s="2">
        <v>151252</v>
      </c>
      <c r="L44" s="2">
        <v>9642</v>
      </c>
      <c r="M44" s="2">
        <v>139</v>
      </c>
      <c r="N44" s="2">
        <v>113</v>
      </c>
      <c r="O44" s="2">
        <v>26</v>
      </c>
      <c r="P44" s="10">
        <f>N44/$M$45</f>
        <v>0.14543114543114544</v>
      </c>
    </row>
    <row r="45" spans="2:17" x14ac:dyDescent="0.3">
      <c r="B45" t="s">
        <v>39</v>
      </c>
      <c r="C45" s="2">
        <v>8642550.6000000071</v>
      </c>
      <c r="D45" t="str">
        <f t="shared" si="1"/>
        <v>$8642.6K</v>
      </c>
      <c r="J45" t="s">
        <v>812</v>
      </c>
      <c r="K45" s="2">
        <v>850551</v>
      </c>
      <c r="L45" s="2">
        <v>47949</v>
      </c>
      <c r="M45" s="2">
        <v>777</v>
      </c>
      <c r="N45" s="2">
        <v>640</v>
      </c>
      <c r="O45" s="2">
        <v>137</v>
      </c>
      <c r="P45" s="10">
        <f>N45/$M$45</f>
        <v>0.82368082368082363</v>
      </c>
    </row>
    <row r="46" spans="2:17" x14ac:dyDescent="0.3">
      <c r="B46" t="s">
        <v>26</v>
      </c>
      <c r="C46" s="2">
        <v>8471241.4199999999</v>
      </c>
      <c r="D46" t="str">
        <f t="shared" si="1"/>
        <v>$8471.2K</v>
      </c>
    </row>
    <row r="47" spans="2:17" x14ac:dyDescent="0.3">
      <c r="B47" t="s">
        <v>24</v>
      </c>
      <c r="C47" s="2">
        <v>8125712.4799999977</v>
      </c>
      <c r="D47" t="str">
        <f t="shared" si="1"/>
        <v>$8125.7K</v>
      </c>
    </row>
    <row r="50" spans="2:16" x14ac:dyDescent="0.3">
      <c r="B50" s="3" t="s">
        <v>5</v>
      </c>
      <c r="C50" t="s">
        <v>833</v>
      </c>
      <c r="D50" t="s">
        <v>814</v>
      </c>
      <c r="E50" t="s">
        <v>810</v>
      </c>
      <c r="J50" s="3" t="s">
        <v>1</v>
      </c>
      <c r="K50" t="s">
        <v>844</v>
      </c>
      <c r="L50" t="s">
        <v>845</v>
      </c>
      <c r="M50" t="s">
        <v>813</v>
      </c>
      <c r="N50" t="s">
        <v>848</v>
      </c>
      <c r="O50" t="s">
        <v>850</v>
      </c>
      <c r="P50" t="s">
        <v>849</v>
      </c>
    </row>
    <row r="51" spans="2:16" x14ac:dyDescent="0.3">
      <c r="B51" t="s">
        <v>18</v>
      </c>
      <c r="C51" s="2">
        <v>560</v>
      </c>
      <c r="D51" s="2">
        <v>32408662.819999989</v>
      </c>
      <c r="E51" s="2">
        <v>2760346.1999999997</v>
      </c>
      <c r="J51" t="s">
        <v>12</v>
      </c>
      <c r="K51" s="2">
        <v>150414</v>
      </c>
      <c r="L51" s="2">
        <v>2717</v>
      </c>
      <c r="M51" s="2">
        <v>141</v>
      </c>
      <c r="N51" s="2">
        <v>132</v>
      </c>
      <c r="O51" s="2">
        <v>9</v>
      </c>
      <c r="P51" s="10">
        <f>N51/$M$45</f>
        <v>0.16988416988416988</v>
      </c>
    </row>
    <row r="52" spans="2:16" x14ac:dyDescent="0.3">
      <c r="B52" t="s">
        <v>35</v>
      </c>
      <c r="C52" s="2">
        <v>81</v>
      </c>
      <c r="D52" s="2">
        <v>5306302.3099999987</v>
      </c>
      <c r="E52" s="2">
        <v>545765.0900000002</v>
      </c>
      <c r="J52" t="s">
        <v>23</v>
      </c>
      <c r="K52" s="2">
        <v>180516</v>
      </c>
      <c r="L52" s="2">
        <v>13838</v>
      </c>
      <c r="M52" s="2">
        <v>156</v>
      </c>
      <c r="N52" s="2">
        <v>118</v>
      </c>
      <c r="O52" s="2">
        <v>38</v>
      </c>
      <c r="P52" s="10">
        <f>N52/$M$45</f>
        <v>0.15186615186615188</v>
      </c>
    </row>
    <row r="53" spans="2:16" x14ac:dyDescent="0.3">
      <c r="B53" t="s">
        <v>33</v>
      </c>
      <c r="C53" s="2">
        <v>73</v>
      </c>
      <c r="D53" s="2">
        <v>4068236.1399999997</v>
      </c>
      <c r="E53" s="2">
        <v>332808.7900000001</v>
      </c>
      <c r="J53" t="s">
        <v>17</v>
      </c>
      <c r="K53" s="2">
        <v>181652</v>
      </c>
      <c r="L53" s="2">
        <v>19678</v>
      </c>
      <c r="M53" s="2">
        <v>171</v>
      </c>
      <c r="N53" s="2">
        <v>104</v>
      </c>
      <c r="O53" s="2">
        <v>67</v>
      </c>
      <c r="P53" s="10">
        <f>N53/$M$45</f>
        <v>0.13384813384813385</v>
      </c>
    </row>
    <row r="54" spans="2:16" x14ac:dyDescent="0.3">
      <c r="B54" t="s">
        <v>14</v>
      </c>
      <c r="C54" s="2">
        <v>63</v>
      </c>
      <c r="D54" s="2">
        <v>3590495.1199999992</v>
      </c>
      <c r="E54" s="2">
        <v>292206.39</v>
      </c>
      <c r="J54" t="s">
        <v>29</v>
      </c>
      <c r="K54" s="2">
        <v>180053</v>
      </c>
      <c r="L54" s="2">
        <v>4682</v>
      </c>
      <c r="M54" s="2">
        <v>166</v>
      </c>
      <c r="N54" s="2">
        <v>163</v>
      </c>
      <c r="O54" s="2">
        <v>3</v>
      </c>
      <c r="P54" s="10">
        <f>N54/$M$45</f>
        <v>0.20978120978120979</v>
      </c>
    </row>
    <row r="55" spans="2:16" x14ac:dyDescent="0.3">
      <c r="J55" t="s">
        <v>20</v>
      </c>
      <c r="K55" s="2">
        <v>157916</v>
      </c>
      <c r="L55" s="2">
        <v>7034</v>
      </c>
      <c r="M55" s="2">
        <v>143</v>
      </c>
      <c r="N55" s="2">
        <v>123</v>
      </c>
      <c r="O55" s="2">
        <v>20</v>
      </c>
      <c r="P55" s="10">
        <f>N55/$M$45</f>
        <v>0.15830115830115829</v>
      </c>
    </row>
    <row r="56" spans="2:16" x14ac:dyDescent="0.3">
      <c r="B56" t="str" cm="1">
        <f t="array" ref="B56:C60">B50:C54</f>
        <v>Order_Status</v>
      </c>
      <c r="C56" t="str">
        <v>Count of Order_Status</v>
      </c>
      <c r="J56" t="s">
        <v>812</v>
      </c>
      <c r="K56" s="2">
        <v>850551</v>
      </c>
      <c r="L56" s="2">
        <v>47949</v>
      </c>
      <c r="M56" s="2">
        <v>777</v>
      </c>
      <c r="N56" s="2">
        <v>640</v>
      </c>
      <c r="O56" s="2">
        <v>137</v>
      </c>
      <c r="P56" s="10">
        <f>N56/$M$45</f>
        <v>0.82368082368082363</v>
      </c>
    </row>
    <row r="57" spans="2:16" x14ac:dyDescent="0.3">
      <c r="B57" t="str">
        <v>Delivered</v>
      </c>
      <c r="C57">
        <v>560</v>
      </c>
    </row>
    <row r="58" spans="2:16" x14ac:dyDescent="0.3">
      <c r="B58" t="str">
        <v>Pending</v>
      </c>
      <c r="C58">
        <v>81</v>
      </c>
    </row>
    <row r="59" spans="2:16" x14ac:dyDescent="0.3">
      <c r="B59" t="str">
        <v>Partially Delivered</v>
      </c>
      <c r="C59">
        <v>73</v>
      </c>
    </row>
    <row r="60" spans="2:16" x14ac:dyDescent="0.3">
      <c r="B60" t="str">
        <v>Cancelled</v>
      </c>
      <c r="C60">
        <v>63</v>
      </c>
    </row>
    <row r="61" spans="2:16" x14ac:dyDescent="0.3">
      <c r="C61" s="10">
        <f>C60/777</f>
        <v>8.1081081081081086E-2</v>
      </c>
    </row>
    <row r="64" spans="2:16" x14ac:dyDescent="0.3">
      <c r="B64" s="3" t="s">
        <v>811</v>
      </c>
      <c r="C64" t="s">
        <v>817</v>
      </c>
    </row>
    <row r="65" spans="2:14" x14ac:dyDescent="0.3">
      <c r="B65" s="4" t="s">
        <v>818</v>
      </c>
      <c r="C65" s="15">
        <v>8.7611431004079365E-2</v>
      </c>
      <c r="J65" s="3" t="s">
        <v>843</v>
      </c>
      <c r="K65" s="3" t="s">
        <v>10</v>
      </c>
    </row>
    <row r="66" spans="2:14" x14ac:dyDescent="0.3">
      <c r="B66" s="4" t="s">
        <v>819</v>
      </c>
      <c r="C66" s="15">
        <v>8.9983440531459444E-2</v>
      </c>
      <c r="J66" s="3" t="s">
        <v>1</v>
      </c>
      <c r="K66" t="s">
        <v>27</v>
      </c>
      <c r="L66" t="s">
        <v>15</v>
      </c>
    </row>
    <row r="67" spans="2:14" x14ac:dyDescent="0.3">
      <c r="B67" s="4" t="s">
        <v>820</v>
      </c>
      <c r="C67" s="15">
        <v>9.3207083304300845E-2</v>
      </c>
      <c r="J67" t="s">
        <v>12</v>
      </c>
      <c r="K67" s="2">
        <v>9</v>
      </c>
      <c r="L67" s="2">
        <v>132</v>
      </c>
      <c r="M67" s="8">
        <f>K67/777</f>
        <v>1.1583011583011582E-2</v>
      </c>
      <c r="N67" s="8">
        <f>L67/777</f>
        <v>0.16988416988416988</v>
      </c>
    </row>
    <row r="68" spans="2:14" x14ac:dyDescent="0.3">
      <c r="B68" s="4" t="s">
        <v>812</v>
      </c>
      <c r="C68" s="15">
        <v>8.8782837587705457E-2</v>
      </c>
      <c r="J68" t="s">
        <v>23</v>
      </c>
      <c r="K68" s="2">
        <v>38</v>
      </c>
      <c r="L68" s="2">
        <v>118</v>
      </c>
      <c r="M68" s="8">
        <f>K68/777</f>
        <v>4.8906048906048903E-2</v>
      </c>
      <c r="N68" s="8">
        <f t="shared" ref="N68:N71" si="2">L68/777</f>
        <v>0.15186615186615188</v>
      </c>
    </row>
    <row r="69" spans="2:14" x14ac:dyDescent="0.3">
      <c r="J69" t="s">
        <v>17</v>
      </c>
      <c r="K69" s="2">
        <v>67</v>
      </c>
      <c r="L69" s="2">
        <v>104</v>
      </c>
      <c r="M69" s="8">
        <f t="shared" ref="M68:M71" si="3">K69/777</f>
        <v>8.6229086229086233E-2</v>
      </c>
      <c r="N69" s="8">
        <f t="shared" si="2"/>
        <v>0.13384813384813385</v>
      </c>
    </row>
    <row r="70" spans="2:14" x14ac:dyDescent="0.3">
      <c r="J70" t="s">
        <v>29</v>
      </c>
      <c r="K70" s="2">
        <v>3</v>
      </c>
      <c r="L70" s="2">
        <v>163</v>
      </c>
      <c r="M70" s="8">
        <f t="shared" si="3"/>
        <v>3.8610038610038611E-3</v>
      </c>
      <c r="N70" s="8">
        <f t="shared" si="2"/>
        <v>0.20978120978120979</v>
      </c>
    </row>
    <row r="71" spans="2:14" x14ac:dyDescent="0.3">
      <c r="J71" t="s">
        <v>20</v>
      </c>
      <c r="K71" s="2">
        <v>20</v>
      </c>
      <c r="L71" s="2">
        <v>123</v>
      </c>
      <c r="M71" s="8">
        <f t="shared" si="3"/>
        <v>2.5740025740025738E-2</v>
      </c>
      <c r="N71" s="8">
        <f t="shared" si="2"/>
        <v>0.15830115830115829</v>
      </c>
    </row>
    <row r="72" spans="2:14" x14ac:dyDescent="0.3">
      <c r="J72" t="s">
        <v>812</v>
      </c>
      <c r="K72" s="2">
        <v>137</v>
      </c>
      <c r="L72" s="2">
        <v>640</v>
      </c>
    </row>
    <row r="77" spans="2:14" x14ac:dyDescent="0.3">
      <c r="J77" s="3" t="s">
        <v>809</v>
      </c>
      <c r="K77" t="s">
        <v>840</v>
      </c>
      <c r="L77" t="s">
        <v>853</v>
      </c>
    </row>
    <row r="78" spans="2:14" x14ac:dyDescent="0.3">
      <c r="J78" t="s">
        <v>838</v>
      </c>
      <c r="K78" s="2">
        <v>305</v>
      </c>
      <c r="L78" s="2">
        <v>305</v>
      </c>
    </row>
    <row r="79" spans="2:14" x14ac:dyDescent="0.3">
      <c r="J79" t="s">
        <v>839</v>
      </c>
      <c r="K79" s="2">
        <v>472</v>
      </c>
      <c r="L79" s="2">
        <v>472</v>
      </c>
    </row>
    <row r="80" spans="2:14" x14ac:dyDescent="0.3">
      <c r="J80" t="s">
        <v>812</v>
      </c>
      <c r="K80" s="2">
        <v>777</v>
      </c>
      <c r="L80" s="2">
        <v>777</v>
      </c>
    </row>
    <row r="82" spans="10:14" x14ac:dyDescent="0.3">
      <c r="J82" t="s">
        <v>852</v>
      </c>
      <c r="K82" s="8">
        <f>K79/K80</f>
        <v>0.60746460746460751</v>
      </c>
    </row>
    <row r="83" spans="10:14" x14ac:dyDescent="0.3">
      <c r="K83" t="str">
        <f>K79 &amp; " of  " &amp; K80 &amp; " of POs"</f>
        <v>472 of  777 of POs</v>
      </c>
    </row>
    <row r="89" spans="10:14" x14ac:dyDescent="0.3">
      <c r="J89" s="3" t="s">
        <v>10</v>
      </c>
      <c r="K89" t="s">
        <v>843</v>
      </c>
      <c r="M89" s="3" t="s">
        <v>809</v>
      </c>
      <c r="N89" t="s">
        <v>840</v>
      </c>
    </row>
    <row r="90" spans="10:14" x14ac:dyDescent="0.3">
      <c r="J90" t="s">
        <v>27</v>
      </c>
      <c r="K90" s="2">
        <v>137</v>
      </c>
      <c r="M90" t="s">
        <v>838</v>
      </c>
      <c r="N90" s="2">
        <v>305</v>
      </c>
    </row>
    <row r="91" spans="10:14" x14ac:dyDescent="0.3">
      <c r="J91" t="s">
        <v>15</v>
      </c>
      <c r="K91" s="2">
        <v>640</v>
      </c>
      <c r="M91" t="s">
        <v>839</v>
      </c>
      <c r="N91" s="2">
        <v>472</v>
      </c>
    </row>
    <row r="92" spans="10:14" x14ac:dyDescent="0.3">
      <c r="J92" t="s">
        <v>812</v>
      </c>
      <c r="K92" s="2">
        <v>777</v>
      </c>
      <c r="M92" t="s">
        <v>812</v>
      </c>
      <c r="N92" s="2">
        <v>777</v>
      </c>
    </row>
    <row r="95" spans="10:14" x14ac:dyDescent="0.3">
      <c r="J95" t="s">
        <v>856</v>
      </c>
      <c r="K95">
        <f>GETPIVOTDATA("Compliance",$J$89,"Compliance","Yes")</f>
        <v>640</v>
      </c>
      <c r="L95" s="10">
        <f>K95/$K$97</f>
        <v>0.82368082368082363</v>
      </c>
    </row>
    <row r="96" spans="10:14" x14ac:dyDescent="0.3">
      <c r="J96" t="s">
        <v>857</v>
      </c>
      <c r="K96">
        <f>GETPIVOTDATA("Compliance",$J$89,"Compliance","No")</f>
        <v>137</v>
      </c>
      <c r="L96" s="10">
        <f>K96/$K$97</f>
        <v>0.17631917631917632</v>
      </c>
    </row>
    <row r="97" spans="10:11" x14ac:dyDescent="0.3">
      <c r="K97">
        <f>GETPIVOTDATA("Compliance",$J$89)</f>
        <v>777</v>
      </c>
    </row>
    <row r="100" spans="10:11" x14ac:dyDescent="0.3">
      <c r="J100" s="3" t="s">
        <v>1</v>
      </c>
      <c r="K100" t="s">
        <v>842</v>
      </c>
    </row>
    <row r="101" spans="10:11" x14ac:dyDescent="0.3">
      <c r="J101" t="s">
        <v>12</v>
      </c>
      <c r="K101" s="14">
        <v>1.8905480249045158E-2</v>
      </c>
    </row>
    <row r="102" spans="10:11" x14ac:dyDescent="0.3">
      <c r="J102" t="s">
        <v>29</v>
      </c>
      <c r="K102" s="14">
        <v>2.6062688536434179E-2</v>
      </c>
    </row>
    <row r="103" spans="10:11" x14ac:dyDescent="0.3">
      <c r="J103" t="s">
        <v>20</v>
      </c>
      <c r="K103" s="14">
        <v>4.4975366268364222E-2</v>
      </c>
    </row>
    <row r="104" spans="10:11" x14ac:dyDescent="0.3">
      <c r="J104" t="s">
        <v>23</v>
      </c>
      <c r="K104" s="14">
        <v>8.2723266148986341E-2</v>
      </c>
    </row>
    <row r="105" spans="10:11" x14ac:dyDescent="0.3">
      <c r="J105" t="s">
        <v>17</v>
      </c>
      <c r="K105" s="14">
        <v>0.10866574358013059</v>
      </c>
    </row>
  </sheetData>
  <mergeCells count="4">
    <mergeCell ref="B2:E2"/>
    <mergeCell ref="B31:C31"/>
    <mergeCell ref="B41:C41"/>
    <mergeCell ref="B11: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DD02-5BA4-4D2B-9885-F71F8BBEE761}">
  <dimension ref="U7"/>
  <sheetViews>
    <sheetView showGridLines="0" workbookViewId="0">
      <selection activeCell="U9" sqref="U9"/>
    </sheetView>
  </sheetViews>
  <sheetFormatPr defaultRowHeight="14.4" x14ac:dyDescent="0.3"/>
  <sheetData>
    <row r="7" spans="21:21" x14ac:dyDescent="0.3">
      <c r="U7"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882C7-79A8-483D-BA76-E171C865EDE2}">
  <dimension ref="A1"/>
  <sheetViews>
    <sheetView showGridLines="0" workbookViewId="0">
      <selection activeCell="V8" sqref="V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89E84-4D20-4CF3-89F2-D44DB7D00EBB}">
  <dimension ref="A1"/>
  <sheetViews>
    <sheetView showGridLines="0" topLeftCell="A31"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EA6D9A-06ED-4A7F-AB56-21A613BB92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Procurement KPI Analysis Datase</vt:lpstr>
      <vt:lpstr>Procurement kpi Analysis</vt:lpstr>
      <vt:lpstr>Analyis</vt:lpstr>
      <vt:lpstr>Procurement Overview</vt:lpstr>
      <vt:lpstr>Supplier Performance</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Teslim Akintunde</cp:lastModifiedBy>
  <dcterms:created xsi:type="dcterms:W3CDTF">2026-04-26T07:58:23Z</dcterms:created>
  <dcterms:modified xsi:type="dcterms:W3CDTF">2026-04-27T15:43:42Z</dcterms:modified>
</cp:coreProperties>
</file>